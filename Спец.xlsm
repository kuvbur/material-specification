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5"/>
  </bookViews>
  <sheets>
    <sheet name="|Содержание|" sheetId="661" r:id="rId1"/>
    <sheet name="|Лог|" sheetId="669" state="hidden" r:id="rId2"/>
    <sheet name="Пс9.5_спец" sheetId="656" r:id="rId3"/>
    <sheet name="Подпорная_спец" sheetId="651" r:id="rId4"/>
    <sheet name="Подпорная1_спец" sheetId="662" r:id="rId5"/>
    <sheet name="Изделия_спец.И" sheetId="696" r:id="rId6"/>
    <sheet name="Ведомость отделки АБК_вед" sheetId="637" r:id="rId7"/>
    <sheet name="Ведомость отделки АБК_правила" sheetId="660" r:id="rId8"/>
    <sheet name="Пс9.5_об" sheetId="697" r:id="rId9"/>
    <sheet name="Пс9.5 " sheetId="698" r:id="rId10"/>
    <sheet name="Пс9.5_гр" sheetId="699" r:id="rId11"/>
    <sheet name="Пс9.5_кж" sheetId="700" r:id="rId12"/>
    <sheet name="Пс9.5_грс" sheetId="701" r:id="rId13"/>
    <sheet name="Подпорная_об" sheetId="702" r:id="rId14"/>
    <sheet name="Подпорная " sheetId="703" r:id="rId15"/>
    <sheet name="Подпорная_гр" sheetId="704" r:id="rId16"/>
    <sheet name="Подпорная_кж" sheetId="705" r:id="rId17"/>
    <sheet name="Подпорная1_об" sheetId="706" r:id="rId18"/>
    <sheet name="Подпорная1 " sheetId="707" r:id="rId19"/>
    <sheet name="Подпорная1_гр" sheetId="708" r:id="rId20"/>
    <sheet name="Подпорная1_кж" sheetId="709" r:id="rId21"/>
    <sheet name="!System" sheetId="413" state="hidden" r:id="rId22"/>
  </sheets>
  <functionGroups builtInGroupCount="18"/>
  <definedNames>
    <definedName name="_xlnm.Print_Area" localSheetId="6">'Ведомость отделки АБК_вед'!$A$1:$L$40</definedName>
    <definedName name="_xlnm.Print_Area" localSheetId="14">'Подпорная '!$A$1:$F$2</definedName>
    <definedName name="_xlnm.Print_Area" localSheetId="15">Подпорная_гр!$A$1:$F$2</definedName>
    <definedName name="_xlnm.Print_Area" localSheetId="16">Подпорная_кж!$A$1:$I$6</definedName>
    <definedName name="_xlnm.Print_Area" localSheetId="13">Подпорная_об!$A$1:$F$16</definedName>
    <definedName name="_xlnm.Print_Area" localSheetId="18">'Подпорная1 '!$A$1:$F$2</definedName>
    <definedName name="_xlnm.Print_Area" localSheetId="19">Подпорная1_гр!$A$1:$F$2</definedName>
    <definedName name="_xlnm.Print_Area" localSheetId="20">Подпорная1_кж!$A$1:$I$6</definedName>
    <definedName name="_xlnm.Print_Area" localSheetId="17">Подпорная1_об!$A$1:$F$16</definedName>
    <definedName name="_xlnm.Print_Area" localSheetId="9">'Пс9.5 '!$A$1:$F$11</definedName>
    <definedName name="_xlnm.Print_Area" localSheetId="10">'Пс9.5_гр'!$A$1:$F$2</definedName>
    <definedName name="_xlnm.Print_Area" localSheetId="12">'Пс9.5_грс'!$A$1:$L$38</definedName>
    <definedName name="_xlnm.Print_Area" localSheetId="11">'Пс9.5_кж'!$A$1:$I$11</definedName>
    <definedName name="_xlnm.Print_Area" localSheetId="8">'Пс9.5_об'!$A$1:$F$70</definedName>
  </definedNames>
  <calcPr calcId="162913"/>
</workbook>
</file>

<file path=xl/calcChain.xml><?xml version="1.0" encoding="utf-8"?>
<calcChain xmlns="http://schemas.openxmlformats.org/spreadsheetml/2006/main">
  <c r="A4" i="662" l="1"/>
  <c r="A3" i="662"/>
  <c r="A4" i="656" l="1"/>
  <c r="A3" i="656"/>
  <c r="A4" i="651" l="1"/>
  <c r="A3" i="651"/>
</calcChain>
</file>

<file path=xl/comments1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2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0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1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8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9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6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A5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  <comment ref="A15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</commentList>
</comments>
</file>

<file path=xl/sharedStrings.xml><?xml version="1.0" encoding="utf-8"?>
<sst xmlns="http://schemas.openxmlformats.org/spreadsheetml/2006/main" count="5204" uniqueCount="2792">
  <si>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</si>
  <si>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</si>
  <si>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</si>
  <si>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</si>
  <si>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</si>
  <si>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</si>
  <si>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</si>
  <si>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</si>
  <si>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</si>
  <si>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</si>
  <si>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</si>
  <si>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</si>
  <si>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</si>
  <si>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</si>
  <si>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</si>
  <si>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</si>
  <si>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</si>
  <si>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</si>
  <si>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</si>
  <si>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</si>
  <si>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</si>
  <si>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</si>
  <si>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</si>
  <si>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</si>
  <si>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</si>
  <si>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</si>
  <si>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</si>
  <si>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</si>
  <si>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</si>
  <si>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</si>
  <si>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</si>
  <si>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</si>
  <si>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</si>
  <si>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</si>
  <si>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</si>
  <si>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</si>
  <si>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</si>
  <si>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</si>
  <si>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</si>
  <si>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</si>
  <si>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</si>
  <si>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</si>
  <si>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</si>
  <si>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</si>
  <si>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</si>
  <si>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</si>
  <si>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</si>
  <si>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</si>
  <si>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</si>
  <si>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</si>
  <si>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</si>
  <si>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</si>
  <si>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</si>
  <si>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</si>
  <si>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</si>
  <si>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</si>
  <si>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</si>
  <si>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</si>
  <si>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</si>
  <si>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</si>
  <si>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</si>
  <si>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</si>
  <si>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</si>
  <si>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</si>
  <si>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</si>
  <si>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</si>
  <si>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</si>
  <si>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</si>
  <si>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</si>
  <si>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</si>
  <si>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</si>
  <si>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</si>
  <si>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</si>
  <si>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</si>
  <si>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</si>
  <si>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</si>
  <si>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</si>
  <si>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</si>
  <si>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</si>
  <si>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</si>
  <si>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</si>
  <si>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</si>
  <si>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</si>
  <si>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</si>
  <si>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</si>
  <si>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</si>
  <si>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</si>
  <si>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</si>
  <si>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</si>
  <si>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</si>
  <si>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</si>
  <si>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</si>
  <si>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</si>
  <si>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</si>
  <si>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</si>
  <si>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</si>
  <si>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</si>
  <si>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</si>
  <si>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</si>
  <si>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</si>
  <si>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</si>
  <si>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</si>
  <si>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</si>
  <si>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</si>
  <si>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</si>
  <si>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</si>
  <si>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</si>
  <si>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</si>
  <si>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</si>
  <si>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</si>
  <si>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</si>
  <si>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</si>
  <si>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</si>
  <si>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</si>
  <si>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</si>
  <si>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</si>
  <si>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</si>
  <si>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</si>
  <si>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</si>
  <si>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</si>
  <si>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</si>
  <si>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</si>
  <si>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</si>
  <si>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</si>
  <si>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</si>
  <si>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</si>
  <si>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</si>
  <si>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</si>
  <si>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</si>
  <si>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</si>
  <si>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</si>
  <si>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</si>
  <si>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</si>
  <si>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</si>
  <si>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</si>
  <si>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</si>
  <si>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</si>
  <si>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</si>
  <si>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</si>
  <si>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</si>
  <si>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</si>
  <si>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</si>
  <si>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</si>
  <si>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</si>
  <si>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</si>
  <si>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</si>
  <si>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</si>
  <si>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</si>
  <si>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</si>
  <si>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</si>
  <si>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</si>
  <si>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</si>
  <si>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</si>
  <si>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</si>
  <si>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</si>
  <si>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</si>
  <si>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</si>
  <si>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</si>
  <si>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</si>
  <si>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</si>
  <si>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</si>
  <si>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</si>
  <si>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</si>
  <si>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</si>
  <si>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</si>
  <si>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</si>
  <si>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</si>
  <si>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</si>
  <si>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</si>
  <si>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</si>
  <si>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</si>
  <si>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</si>
  <si>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</si>
  <si>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</si>
  <si>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</si>
  <si>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</si>
  <si>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</si>
  <si>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</si>
  <si>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</si>
  <si>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</si>
  <si>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</si>
  <si>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</si>
  <si>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</si>
  <si>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</si>
  <si>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</si>
  <si>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</si>
  <si>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</si>
  <si>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</si>
  <si>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</si>
  <si>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</si>
  <si>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</si>
  <si>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</si>
  <si>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</si>
  <si>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</si>
  <si>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</si>
  <si>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</si>
  <si>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</si>
  <si>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</si>
  <si>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</si>
  <si>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</si>
  <si>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</si>
  <si>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</si>
  <si>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</si>
  <si>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</si>
  <si>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</si>
  <si>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</si>
  <si>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</si>
  <si>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</si>
  <si>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</si>
  <si>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</si>
  <si>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</si>
  <si>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</si>
  <si>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</si>
  <si>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</si>
  <si>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</si>
  <si>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</si>
  <si>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</si>
  <si>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</si>
  <si>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</si>
  <si>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</si>
  <si>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</si>
  <si>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</si>
  <si>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</si>
  <si>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</si>
  <si>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</si>
  <si>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</si>
  <si>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</si>
  <si>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</si>
  <si>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</si>
  <si>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</si>
  <si>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</si>
  <si>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</si>
  <si>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</si>
  <si>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</si>
  <si>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</si>
  <si>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</si>
  <si>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</si>
  <si>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</si>
  <si>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</si>
  <si>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</si>
  <si>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</si>
  <si>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</si>
  <si>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</si>
  <si>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</si>
  <si>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</si>
  <si>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</si>
  <si>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</si>
  <si>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</si>
  <si>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</si>
  <si>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</si>
  <si>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</si>
  <si>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</si>
  <si>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</si>
  <si>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</si>
  <si>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</si>
  <si>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</si>
  <si>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</si>
  <si>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</si>
  <si>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</si>
  <si>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</si>
  <si>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</si>
  <si>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</si>
  <si>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</si>
  <si>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</si>
  <si>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</si>
  <si>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</si>
  <si>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</si>
  <si>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</si>
  <si>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</si>
  <si>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</si>
  <si>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</si>
  <si>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</si>
  <si>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</si>
  <si>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</si>
  <si>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</si>
  <si>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</si>
  <si>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</si>
  <si>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</si>
  <si>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</si>
  <si>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</si>
  <si>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</si>
  <si>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</si>
  <si>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</si>
  <si>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</si>
  <si>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</si>
  <si>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</si>
  <si>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</si>
  <si>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</si>
  <si>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</si>
  <si>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</si>
  <si>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</si>
  <si>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</si>
  <si>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</si>
  <si>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</si>
  <si>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</si>
  <si>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</si>
  <si>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</si>
  <si>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</si>
  <si>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</si>
  <si>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</si>
  <si>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</si>
  <si>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</si>
  <si>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</si>
  <si>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</si>
  <si>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</si>
  <si>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</si>
  <si>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</si>
  <si>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</si>
  <si>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</si>
  <si>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</si>
  <si>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</si>
  <si>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</si>
  <si>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</si>
  <si>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</si>
  <si>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</si>
  <si>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</si>
  <si>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</si>
  <si>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</si>
  <si>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</si>
  <si>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</si>
  <si>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</si>
  <si>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</si>
  <si>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</si>
  <si>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</si>
  <si>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</si>
  <si>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</si>
  <si>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</si>
  <si>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</si>
  <si>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</si>
  <si>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</si>
  <si>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</si>
  <si>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</si>
  <si>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</si>
  <si>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</si>
  <si>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</si>
  <si>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</si>
  <si>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</si>
  <si>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</si>
  <si>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</si>
  <si>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</si>
  <si>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</si>
  <si>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</si>
  <si>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</si>
  <si>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</si>
  <si>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</si>
  <si>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</si>
  <si>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</si>
  <si>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</si>
  <si>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</si>
  <si>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</si>
  <si>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</si>
  <si>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</si>
  <si>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</si>
  <si>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</si>
  <si>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</si>
  <si>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</si>
  <si>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</si>
  <si>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</si>
  <si>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</si>
  <si>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</si>
  <si>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</si>
  <si>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</si>
  <si>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</si>
  <si>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</si>
  <si>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</si>
  <si>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</si>
  <si>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</si>
  <si>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</si>
  <si>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</si>
  <si>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</si>
  <si>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</si>
  <si>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</si>
  <si>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</si>
  <si>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</si>
  <si>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</si>
  <si>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</si>
  <si>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</si>
  <si>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</si>
  <si>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</si>
  <si>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</si>
  <si>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</si>
  <si>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</si>
  <si>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</si>
  <si>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</si>
  <si>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</si>
  <si>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</si>
  <si>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</si>
  <si>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</si>
  <si>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</si>
  <si>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</si>
  <si>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</si>
  <si>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</si>
  <si>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</si>
  <si>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</si>
  <si>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</si>
  <si>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</si>
  <si>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</si>
  <si>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</si>
  <si>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</si>
  <si>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</si>
  <si>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</si>
  <si>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</si>
  <si>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</si>
  <si>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</si>
  <si>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</si>
  <si>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</si>
  <si>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</si>
  <si>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</si>
  <si>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</si>
  <si>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</si>
  <si>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</si>
  <si>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</si>
  <si>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</si>
  <si>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</si>
  <si>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</si>
  <si>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</si>
  <si>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</si>
  <si>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</si>
  <si>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</si>
  <si>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</si>
  <si>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</si>
  <si>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</si>
  <si>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</si>
  <si>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</si>
  <si>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</si>
  <si>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</si>
  <si>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</si>
  <si>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</si>
  <si>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</si>
  <si>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</si>
  <si>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</si>
  <si>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</si>
  <si>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</si>
  <si>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</si>
  <si>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</si>
  <si>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</si>
  <si>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</si>
  <si>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</si>
  <si>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</si>
  <si>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</si>
  <si>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</si>
  <si>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</si>
  <si>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</si>
  <si>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</si>
  <si>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</si>
  <si>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</si>
  <si>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</si>
  <si>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</si>
  <si>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</si>
  <si>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</si>
  <si>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</si>
  <si>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</si>
  <si>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</si>
  <si>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</si>
  <si>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</si>
  <si>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</si>
  <si>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</si>
  <si>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</si>
  <si>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</si>
  <si>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</si>
  <si>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</si>
  <si>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</si>
  <si>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</si>
  <si>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</si>
  <si>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</si>
  <si>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</si>
  <si>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</si>
  <si>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</si>
  <si>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</si>
  <si>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</si>
  <si>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</si>
  <si>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</si>
  <si>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</si>
  <si>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</si>
  <si>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</si>
  <si>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</si>
  <si>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</si>
  <si>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</si>
  <si>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</si>
  <si>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</si>
  <si>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</si>
  <si>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</si>
  <si>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</si>
  <si>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</si>
  <si>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</si>
  <si>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</si>
  <si>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</si>
  <si>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</si>
  <si>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</si>
  <si>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</si>
  <si>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</si>
  <si>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</si>
  <si>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</si>
  <si>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</si>
  <si>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</si>
  <si>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</si>
  <si>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</si>
  <si>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</si>
  <si>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</si>
  <si>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</si>
  <si>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</si>
  <si>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</si>
  <si>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</si>
  <si>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</si>
  <si>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</si>
  <si>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</si>
  <si>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</si>
  <si>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</si>
  <si>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</si>
  <si>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</si>
  <si>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</si>
  <si>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</si>
  <si>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</si>
  <si>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</si>
  <si>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</si>
  <si>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</si>
  <si>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</si>
  <si>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</si>
  <si>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</si>
  <si>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</si>
  <si>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</si>
  <si>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</si>
  <si>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</si>
  <si>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</si>
  <si>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</si>
  <si>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</si>
  <si>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</si>
  <si>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</si>
  <si>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</si>
  <si>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</si>
  <si>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</si>
  <si>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</si>
  <si>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</si>
  <si>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</si>
  <si>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</si>
  <si>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</si>
  <si>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</si>
  <si>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</si>
  <si>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</si>
  <si>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</si>
  <si>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</si>
  <si>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</si>
  <si>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</si>
  <si>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</si>
  <si>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</si>
  <si>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</si>
  <si>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</si>
  <si>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</si>
  <si>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</si>
  <si>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</si>
  <si>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</si>
  <si>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</si>
  <si>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</si>
  <si>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</si>
  <si>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</si>
  <si>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</si>
  <si>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</si>
  <si>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</si>
  <si>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</si>
  <si>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</si>
  <si>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</si>
  <si>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</si>
  <si>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</si>
  <si>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</si>
  <si>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</si>
  <si>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</si>
  <si>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</si>
  <si>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</si>
  <si>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</si>
  <si>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</si>
  <si>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</si>
  <si>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</si>
  <si>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</si>
  <si>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</si>
  <si>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</si>
  <si>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</si>
  <si>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</si>
  <si>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</si>
  <si>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</si>
  <si>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</si>
  <si>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</si>
  <si>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</si>
  <si>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</si>
  <si>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</si>
  <si>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</si>
  <si>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</si>
  <si>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</si>
  <si>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</si>
  <si>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</si>
  <si>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</si>
  <si>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</si>
  <si>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</si>
  <si>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</si>
  <si>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</si>
  <si>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</si>
  <si>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</si>
  <si>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</si>
  <si>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</si>
  <si>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</si>
  <si>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</si>
  <si>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</si>
  <si>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</si>
  <si>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</si>
  <si>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</si>
  <si>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</si>
  <si>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</si>
  <si>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</si>
  <si>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</si>
  <si>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</si>
  <si>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</si>
  <si>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</si>
  <si>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</si>
  <si>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</si>
  <si>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</si>
  <si>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</si>
  <si>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</si>
  <si>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</si>
  <si>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</si>
  <si>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</si>
  <si>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</si>
  <si>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</si>
  <si>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</si>
  <si>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</si>
  <si>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</si>
  <si>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</si>
  <si>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</si>
  <si>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</si>
  <si>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</si>
  <si>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</si>
  <si>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</si>
  <si>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</si>
  <si>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</si>
  <si>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</si>
  <si>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</si>
  <si>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</si>
  <si>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</si>
  <si>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</si>
  <si>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</si>
  <si>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</si>
  <si>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</si>
  <si>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</si>
  <si>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</si>
  <si>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</si>
  <si>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</si>
  <si>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</si>
  <si>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</si>
  <si>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</si>
  <si>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</si>
  <si>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</si>
  <si>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</si>
  <si>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</si>
  <si>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</si>
  <si>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</si>
  <si>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</si>
  <si>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</si>
  <si>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</si>
  <si>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</si>
  <si>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</si>
  <si>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</si>
  <si>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</si>
  <si>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</si>
  <si>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</si>
  <si>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</si>
  <si>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</si>
  <si>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</si>
  <si>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</si>
  <si>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</si>
  <si>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</si>
  <si>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</si>
  <si>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</si>
  <si>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</si>
  <si>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</si>
  <si>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</si>
  <si>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</si>
  <si>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</si>
  <si>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</si>
  <si>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</si>
  <si>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</si>
  <si>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</si>
  <si>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</si>
  <si>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</si>
  <si>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</si>
  <si>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</si>
  <si>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</si>
  <si>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</si>
  <si>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</si>
  <si>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</si>
  <si>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</si>
  <si>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</si>
  <si>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</si>
  <si>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</si>
  <si>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</si>
  <si>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</si>
  <si>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</si>
  <si>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</si>
  <si>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</si>
  <si>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</si>
  <si>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</si>
  <si>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</si>
  <si>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</si>
  <si>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</si>
  <si>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</si>
  <si>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</si>
  <si>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</si>
  <si>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</si>
  <si>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</si>
  <si>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</si>
  <si>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</si>
  <si>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</si>
  <si>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</si>
  <si>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</si>
  <si>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</si>
  <si>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</si>
  <si>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</si>
  <si>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</si>
  <si>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</si>
  <si>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</si>
  <si>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</si>
  <si>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</si>
  <si>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</si>
  <si>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</si>
  <si>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</si>
  <si>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</si>
  <si>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</si>
  <si>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</si>
  <si>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</si>
  <si>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</si>
  <si>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</si>
  <si>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</si>
  <si>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</si>
  <si>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</si>
  <si>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</si>
  <si>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</si>
  <si>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</si>
  <si>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</si>
  <si>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</si>
  <si>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</si>
  <si>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</si>
  <si>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</si>
  <si>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</si>
  <si>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</si>
  <si>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</si>
  <si>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</si>
  <si>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</si>
  <si>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</si>
  <si>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</si>
  <si>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</si>
  <si>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</si>
  <si>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</si>
  <si>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</si>
  <si>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</si>
  <si>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</si>
  <si>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</si>
  <si>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</si>
  <si>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</si>
  <si>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</si>
  <si>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</si>
  <si>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</si>
  <si>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</si>
  <si>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</si>
  <si>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</si>
  <si>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</si>
  <si>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</si>
  <si>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</si>
  <si>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</si>
  <si>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</si>
  <si>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</si>
  <si>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</si>
  <si>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</si>
  <si>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</si>
  <si>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</si>
  <si>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</si>
  <si>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</si>
  <si>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</si>
  <si>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</si>
  <si>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</si>
  <si>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</si>
  <si>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</si>
  <si>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</si>
  <si>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</si>
  <si>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</si>
  <si>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</si>
  <si>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</si>
  <si>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</si>
  <si>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</si>
  <si>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</si>
  <si>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</si>
  <si>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</si>
  <si>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</si>
  <si>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</si>
  <si>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</si>
  <si>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</si>
  <si>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</si>
  <si>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</si>
  <si>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</si>
  <si>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</si>
  <si>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</si>
  <si>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</si>
  <si>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</si>
  <si>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</si>
  <si>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</si>
  <si>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</si>
  <si>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</si>
  <si>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</si>
  <si>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</si>
  <si>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</si>
  <si>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</si>
  <si>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</si>
  <si>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</si>
  <si>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</si>
  <si>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</si>
  <si>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</si>
  <si>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</si>
  <si>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</si>
  <si>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</si>
  <si>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</si>
  <si>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</si>
  <si>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</si>
  <si>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</si>
  <si>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</si>
  <si>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</si>
  <si>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</si>
  <si>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</si>
  <si>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</si>
  <si>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</si>
  <si>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</si>
  <si>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</si>
  <si>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</si>
  <si>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</si>
  <si>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</si>
  <si>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</si>
  <si>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</si>
  <si>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</si>
  <si>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</si>
  <si>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</si>
  <si>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</si>
  <si>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</si>
  <si>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</si>
  <si>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</si>
  <si>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</si>
  <si>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</si>
  <si>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</si>
  <si>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</si>
  <si>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</si>
  <si>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</si>
  <si>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</si>
  <si>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</si>
  <si>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</si>
  <si>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</si>
  <si>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</si>
  <si>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</si>
  <si>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</si>
  <si>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</si>
  <si>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</si>
  <si>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</si>
  <si>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</si>
  <si>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</si>
  <si>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</si>
  <si>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</si>
  <si>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</si>
  <si>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</si>
  <si>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</si>
  <si>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</si>
  <si>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</si>
  <si>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</si>
  <si>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</si>
  <si>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</si>
  <si>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</si>
  <si>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</si>
  <si>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</si>
  <si>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</si>
  <si>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</si>
  <si>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</si>
  <si>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</si>
  <si>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</si>
  <si>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</si>
  <si>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</si>
  <si>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</si>
  <si>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</si>
  <si>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</si>
  <si>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</si>
  <si>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</si>
  <si>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</si>
  <si>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</si>
  <si>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</si>
  <si>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</si>
  <si>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</si>
  <si>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</si>
  <si>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</si>
  <si>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</si>
  <si>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</si>
  <si>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</si>
  <si>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</si>
  <si>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</si>
  <si>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</si>
  <si>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</si>
  <si>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</si>
  <si>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</si>
  <si>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</si>
  <si>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</si>
  <si>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</si>
  <si>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</si>
  <si>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</si>
  <si>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</si>
  <si>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</si>
  <si>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</si>
  <si>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</si>
  <si>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</si>
  <si>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</si>
  <si>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</si>
  <si>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</si>
  <si>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</si>
  <si>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</si>
  <si>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</si>
  <si>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</si>
  <si>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</si>
  <si>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</si>
  <si>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</si>
  <si>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</si>
  <si>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</si>
  <si>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</si>
  <si>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</si>
  <si>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</si>
  <si>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</si>
  <si>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</si>
  <si>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</si>
  <si>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</si>
  <si>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</si>
  <si>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</si>
  <si>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</si>
  <si>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</si>
  <si>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</si>
  <si>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</si>
  <si>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</si>
  <si>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</si>
  <si>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</si>
  <si>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</si>
  <si>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</si>
  <si>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</si>
  <si>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</si>
  <si>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</si>
  <si>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</si>
  <si>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</si>
  <si>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</si>
  <si>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</si>
  <si>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</si>
  <si>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</si>
  <si>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</si>
  <si>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</si>
  <si>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</si>
  <si>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</si>
  <si>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</si>
  <si>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</si>
  <si>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</si>
  <si>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</si>
  <si>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</si>
  <si>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</si>
  <si>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</si>
  <si>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</si>
  <si>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</si>
  <si>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</si>
  <si>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</si>
  <si>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</si>
  <si>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</si>
  <si>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</si>
  <si>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</si>
  <si>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</si>
  <si>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</si>
  <si>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</si>
  <si>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</si>
  <si>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</si>
  <si>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</si>
  <si>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</si>
  <si>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</si>
  <si>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</si>
  <si>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</si>
  <si>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</si>
  <si>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</si>
  <si>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</si>
  <si>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</si>
  <si>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</si>
  <si>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</si>
  <si>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</si>
  <si>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</si>
  <si>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</si>
  <si>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</si>
  <si>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</si>
  <si>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</si>
  <si>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</si>
  <si>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</si>
  <si>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</si>
  <si>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</si>
  <si>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</si>
  <si>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</si>
  <si>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</si>
  <si>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</si>
  <si>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</si>
  <si>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</si>
  <si>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</si>
  <si>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</si>
  <si>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</si>
  <si>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</si>
  <si>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</si>
  <si>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</si>
  <si>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</si>
  <si>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</si>
  <si>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</si>
  <si>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</si>
  <si>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</si>
  <si>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</si>
  <si>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</si>
  <si>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</si>
  <si>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</si>
  <si>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</si>
  <si>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</si>
  <si>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</si>
  <si>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</si>
  <si>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</si>
  <si>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</si>
  <si>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</si>
  <si>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</si>
  <si>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</si>
  <si>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</si>
  <si>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</si>
  <si>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</si>
  <si>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</si>
  <si>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</si>
  <si>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</si>
  <si>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</si>
  <si>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</si>
  <si>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</si>
  <si>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</si>
  <si>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</si>
  <si>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</si>
  <si>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</si>
  <si>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</si>
  <si>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</si>
  <si>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</si>
  <si>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</si>
  <si>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</si>
  <si>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</si>
  <si>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</si>
  <si>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</si>
  <si>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</si>
  <si>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</si>
  <si>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</si>
  <si>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</si>
  <si>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</si>
  <si>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</si>
  <si>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</si>
  <si>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</si>
  <si>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</si>
  <si>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</si>
  <si>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</si>
  <si>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</si>
  <si>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</si>
  <si>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</si>
  <si>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</si>
  <si>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</si>
  <si>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</si>
  <si>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</si>
  <si>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</si>
  <si>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</si>
  <si>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</si>
  <si>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</si>
  <si>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</si>
  <si>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</si>
  <si>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</si>
  <si>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</si>
  <si>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</si>
  <si>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</si>
  <si>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</si>
  <si>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</si>
  <si>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</si>
  <si>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</si>
  <si>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</si>
  <si>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</si>
  <si>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</si>
  <si>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</si>
  <si>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</si>
  <si>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</si>
  <si>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</si>
  <si>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</si>
  <si>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</si>
  <si>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</si>
  <si>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</si>
  <si>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</si>
  <si>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</si>
  <si>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</si>
  <si>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</si>
  <si>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</si>
  <si>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</si>
  <si>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</si>
  <si>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</si>
  <si>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</si>
  <si>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</si>
  <si>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</si>
  <si>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</si>
  <si>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</si>
  <si>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</si>
  <si>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</si>
  <si>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</si>
  <si>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</si>
  <si>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</si>
  <si>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</si>
  <si>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</si>
  <si>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</si>
  <si>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</si>
  <si>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</si>
  <si>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</si>
  <si>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</si>
  <si>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</si>
  <si>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</si>
  <si>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</si>
  <si>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</si>
  <si>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</si>
  <si>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</si>
  <si>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</si>
  <si>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</si>
  <si>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</si>
  <si>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</si>
  <si>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</si>
  <si>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</si>
  <si>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</si>
  <si>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</si>
  <si>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</si>
  <si>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</si>
  <si>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</si>
  <si>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</si>
  <si>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</si>
  <si>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</si>
  <si>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</si>
  <si>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</si>
  <si>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</si>
  <si>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</si>
  <si>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</si>
  <si>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</si>
  <si>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</si>
  <si>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</si>
  <si>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</si>
  <si>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</si>
  <si>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</si>
  <si>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</si>
  <si>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</si>
  <si>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</si>
  <si>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</si>
  <si>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</si>
  <si>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</si>
  <si>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</si>
  <si>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</si>
  <si>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</si>
  <si>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</si>
  <si>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</si>
  <si>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</si>
  <si>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</si>
  <si>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</si>
  <si>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</si>
  <si>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</si>
  <si>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</si>
  <si>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</si>
  <si>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</si>
  <si>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</si>
  <si>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</si>
  <si>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</si>
  <si>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</si>
  <si>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</si>
  <si>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</si>
  <si>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</si>
  <si>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</si>
  <si>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</si>
  <si>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</si>
  <si>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</si>
  <si>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</si>
  <si>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</si>
  <si>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</si>
  <si>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</si>
  <si>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</si>
  <si>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</si>
  <si>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</si>
  <si>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</si>
  <si>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</si>
  <si>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</si>
  <si>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</si>
  <si>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</si>
  <si>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</si>
  <si>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</si>
  <si>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</si>
  <si>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</si>
  <si>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</si>
  <si>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</si>
  <si>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</si>
  <si>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</si>
  <si>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</si>
  <si>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</si>
  <si>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</si>
  <si>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</si>
  <si>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</si>
  <si>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</si>
  <si>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</si>
  <si>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</si>
  <si>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</si>
  <si>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</si>
  <si>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</si>
  <si>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</si>
  <si>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</si>
  <si>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</si>
  <si>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</si>
  <si>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</si>
  <si>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</si>
  <si>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</si>
  <si>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</si>
  <si>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</si>
  <si>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</si>
  <si>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</si>
  <si>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</si>
  <si>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</si>
  <si>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</si>
  <si>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</si>
  <si>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</si>
  <si>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</si>
  <si>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</si>
  <si>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</si>
  <si>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</si>
  <si>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</si>
  <si>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</si>
  <si>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</si>
  <si>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</si>
  <si>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</si>
  <si>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</si>
  <si>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</si>
  <si>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</si>
  <si>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</si>
  <si>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</si>
  <si>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</si>
  <si>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</si>
  <si>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</si>
  <si>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</si>
  <si>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</si>
  <si>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</si>
  <si>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</si>
  <si>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</si>
  <si>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</si>
  <si>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</si>
  <si>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</si>
  <si>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</si>
  <si>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</si>
  <si>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</si>
  <si>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</si>
  <si>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</si>
  <si>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</si>
  <si>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</si>
  <si>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</si>
  <si>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</si>
  <si>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</si>
  <si>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</si>
  <si>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</si>
  <si>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</si>
  <si>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</si>
  <si>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</si>
  <si>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</si>
  <si>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</si>
  <si>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</si>
  <si>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</si>
  <si>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</si>
  <si>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</si>
  <si>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</si>
  <si>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</si>
  <si>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</si>
  <si>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</si>
  <si>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</si>
  <si>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</si>
  <si>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</si>
  <si>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</si>
  <si>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</si>
  <si>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</si>
  <si>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</si>
  <si>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</si>
  <si>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</si>
  <si>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</si>
  <si>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</si>
  <si>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</si>
  <si>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</si>
  <si>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</si>
  <si>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</si>
  <si>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</si>
  <si>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</si>
  <si>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</si>
  <si>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</si>
  <si>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</si>
  <si>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</si>
  <si>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</si>
  <si>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</si>
  <si>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</si>
  <si>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</si>
  <si>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</si>
  <si>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</si>
  <si>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</si>
  <si>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</si>
  <si>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</si>
  <si>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</si>
  <si>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</si>
  <si>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</si>
  <si>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</si>
  <si>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</si>
  <si>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</si>
  <si>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</si>
  <si>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</si>
  <si>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</si>
  <si>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</si>
  <si>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</si>
  <si>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</si>
  <si>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</si>
  <si>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</si>
  <si>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</si>
  <si>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</si>
  <si>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</si>
  <si>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</si>
  <si>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</si>
  <si>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</si>
  <si>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</si>
  <si>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</si>
  <si>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</si>
  <si>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</si>
  <si>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</si>
  <si>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</si>
  <si>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</si>
  <si>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</si>
  <si>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</si>
  <si>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</si>
  <si>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</si>
  <si>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</si>
  <si>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</si>
  <si>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</si>
  <si>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</si>
  <si>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</si>
  <si>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</si>
  <si>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</si>
  <si>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</si>
  <si>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</si>
  <si>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</si>
  <si>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</si>
  <si>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</si>
  <si>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</si>
  <si>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</si>
  <si>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</si>
  <si>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</si>
  <si>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</si>
  <si>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</si>
  <si>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</si>
  <si>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</si>
  <si>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</si>
  <si>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</si>
  <si>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</si>
  <si>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</si>
  <si>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</si>
  <si>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</si>
  <si>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</si>
  <si>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</si>
  <si>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</si>
  <si>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</si>
  <si>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</si>
  <si>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</si>
  <si>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</si>
  <si>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</si>
  <si>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</si>
  <si>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</si>
  <si>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</si>
  <si>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</si>
  <si>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</si>
  <si>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</si>
  <si>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</si>
  <si>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</si>
  <si>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</si>
  <si>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</si>
  <si>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</si>
  <si>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</si>
  <si>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</si>
  <si>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</si>
  <si>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</si>
  <si>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</si>
  <si>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</si>
  <si>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</si>
  <si>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</si>
  <si>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</si>
  <si>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</si>
  <si>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</si>
  <si>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</si>
  <si>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</si>
  <si>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</si>
  <si>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</si>
  <si>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</si>
  <si>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</si>
  <si>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</si>
  <si>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</si>
  <si>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</si>
  <si>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</si>
  <si>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</si>
  <si>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</si>
  <si>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</si>
  <si>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</si>
  <si>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</si>
  <si>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</si>
  <si>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</si>
  <si>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</si>
  <si>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</si>
  <si>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</si>
  <si>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</si>
  <si>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</si>
  <si>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</si>
  <si>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</si>
  <si>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</si>
  <si>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</si>
  <si>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</si>
  <si>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</si>
  <si>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</si>
  <si>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</si>
  <si>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</si>
  <si>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</si>
  <si>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</si>
  <si>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</si>
  <si>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</si>
  <si>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</si>
  <si>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</si>
  <si>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</si>
  <si>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</si>
  <si>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</si>
  <si>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</si>
  <si>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</si>
  <si>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</si>
  <si>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</si>
  <si>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</si>
  <si>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</si>
  <si>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</si>
  <si>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</si>
  <si>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</si>
  <si>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</si>
  <si>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</si>
  <si>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</si>
  <si>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</si>
  <si>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</si>
  <si>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</si>
  <si>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</si>
  <si>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</si>
  <si>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</si>
  <si>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</si>
  <si>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</si>
  <si>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</si>
  <si>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</si>
  <si>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</si>
  <si>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</si>
  <si>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</si>
  <si>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</si>
  <si>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</si>
  <si>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</si>
  <si>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</si>
  <si>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</si>
  <si>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</si>
  <si>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</si>
  <si>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</si>
  <si>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</si>
  <si>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</si>
  <si>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</si>
  <si>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</si>
  <si>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</si>
  <si>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</si>
  <si>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</si>
  <si>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</si>
  <si>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</si>
  <si>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</si>
  <si>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</si>
  <si>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</si>
  <si>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</si>
  <si>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</si>
  <si>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</si>
  <si>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</si>
  <si>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</si>
  <si>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</si>
  <si>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</si>
  <si>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</si>
  <si>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</si>
  <si>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</si>
  <si>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</si>
  <si>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</si>
  <si>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</si>
  <si>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</si>
  <si>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</si>
  <si>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</si>
  <si>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</si>
  <si>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</si>
  <si>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</si>
  <si>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</si>
  <si>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</si>
  <si>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</si>
  <si>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</si>
  <si>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</si>
  <si>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</si>
  <si>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</si>
  <si>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</si>
  <si>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</si>
  <si>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</si>
  <si>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</si>
  <si>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</si>
  <si>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</si>
  <si>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</si>
  <si>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</si>
  <si>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</si>
  <si>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</si>
  <si>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</si>
  <si>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</si>
  <si>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</si>
  <si>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</si>
  <si>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</si>
  <si>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</si>
  <si>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</si>
  <si>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</si>
  <si>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</si>
  <si>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</si>
  <si>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</si>
  <si>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</si>
  <si>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</si>
  <si>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</si>
  <si>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</si>
  <si>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</si>
  <si>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</si>
  <si>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</si>
  <si>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</si>
  <si>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</si>
  <si>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</si>
  <si>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</si>
  <si>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</si>
  <si>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</si>
  <si>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</si>
  <si>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</si>
  <si>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</si>
  <si>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</si>
  <si>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</si>
  <si>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</si>
  <si>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</si>
  <si>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</si>
  <si>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</si>
  <si>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</si>
  <si>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</si>
  <si>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</si>
  <si>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</si>
  <si>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</si>
  <si>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</si>
  <si>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</si>
  <si>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</si>
  <si>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</si>
  <si>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</si>
  <si>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</si>
  <si>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</si>
  <si>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</si>
  <si>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</si>
  <si>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</si>
  <si>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</si>
  <si>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</si>
  <si>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</si>
  <si>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</si>
  <si>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</si>
  <si>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</si>
  <si>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</si>
  <si>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</si>
  <si>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</si>
  <si>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</si>
  <si>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</si>
  <si>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</si>
  <si>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</si>
  <si>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</si>
  <si>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</si>
  <si>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</si>
  <si>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</si>
  <si>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</si>
  <si>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</si>
  <si>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</si>
  <si>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</si>
  <si>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</si>
  <si>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</si>
  <si>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</si>
  <si>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</si>
  <si>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</si>
  <si>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</si>
  <si>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</si>
  <si>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</si>
  <si>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</si>
  <si>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</si>
  <si>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</si>
  <si>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</si>
  <si>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</si>
  <si>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</si>
  <si>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</si>
  <si>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</si>
  <si>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</si>
  <si>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</si>
  <si>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</si>
  <si>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</si>
  <si>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</si>
  <si>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</si>
  <si>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</si>
  <si>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</si>
  <si>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</si>
  <si>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</si>
  <si>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</si>
  <si>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</si>
  <si>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</si>
  <si>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</si>
  <si>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</si>
  <si>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</si>
  <si>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</si>
  <si>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</si>
  <si>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</si>
  <si>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</si>
  <si>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</si>
  <si>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</si>
  <si>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</si>
  <si>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</si>
  <si>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</si>
  <si>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</si>
  <si>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</si>
  <si>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</si>
  <si>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</si>
  <si>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</si>
  <si>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</si>
  <si>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</si>
  <si>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</si>
  <si>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</si>
  <si>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</si>
  <si>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</si>
  <si>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</si>
  <si>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</si>
  <si>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</si>
  <si>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</si>
  <si>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</si>
  <si>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</si>
  <si>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</si>
  <si>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</si>
  <si>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</si>
  <si>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</si>
  <si>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</si>
  <si>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</si>
  <si>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</si>
  <si>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</si>
  <si>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</si>
  <si>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</si>
  <si>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</si>
  <si>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</si>
  <si>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</si>
  <si>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</si>
  <si>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</si>
  <si>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</si>
  <si>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</si>
  <si>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</si>
  <si>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</si>
  <si>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</si>
  <si>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</si>
  <si>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</si>
  <si>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</si>
  <si>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</si>
  <si>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</si>
  <si>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</si>
  <si>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</si>
  <si>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</si>
  <si>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</si>
  <si>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</si>
  <si>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</si>
  <si>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</si>
  <si>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</si>
  <si>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</si>
  <si>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</si>
  <si>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</si>
  <si>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</si>
  <si>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</si>
  <si>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</si>
  <si>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</si>
  <si>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</si>
  <si>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</si>
  <si>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</si>
  <si>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</si>
  <si>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</si>
  <si>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</si>
  <si>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</si>
  <si>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</si>
  <si>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</si>
  <si>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</si>
  <si>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</si>
  <si>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</si>
  <si>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</si>
  <si>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</si>
  <si>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</si>
  <si>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</si>
  <si>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</si>
  <si>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</si>
  <si>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</si>
  <si>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</si>
  <si>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</si>
  <si>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</si>
  <si>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</si>
  <si>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</si>
  <si>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</si>
  <si>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</si>
  <si>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</si>
  <si>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</si>
  <si>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</si>
  <si>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</si>
  <si>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</si>
  <si>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</si>
  <si>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</si>
  <si>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</si>
  <si>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</si>
  <si>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</si>
  <si>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</si>
  <si>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</si>
  <si>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</si>
  <si>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</si>
  <si>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</si>
  <si>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</si>
  <si>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</si>
  <si>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</si>
  <si>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</si>
  <si>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</si>
  <si>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</si>
  <si>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</si>
  <si>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</si>
  <si>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</si>
  <si>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</si>
  <si>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</si>
  <si>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</si>
  <si>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</si>
  <si>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</si>
  <si>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</si>
  <si>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</si>
  <si>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</si>
  <si>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</si>
  <si>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</si>
  <si>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</si>
  <si>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</si>
  <si>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</si>
  <si>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</si>
  <si>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</si>
  <si>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</si>
  <si>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</si>
  <si>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</si>
  <si>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</si>
  <si>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</si>
  <si>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</si>
  <si>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</si>
  <si>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</si>
  <si>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</si>
  <si>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</si>
  <si>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</si>
  <si>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</si>
  <si>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</si>
  <si>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</si>
  <si>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</si>
  <si>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</si>
  <si>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</si>
  <si>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</si>
  <si>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</si>
  <si>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</si>
  <si>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</si>
  <si>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</si>
  <si>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</si>
  <si>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</si>
  <si>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</si>
  <si>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</si>
  <si>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</si>
  <si>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</si>
  <si>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</si>
  <si>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</si>
  <si>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</si>
  <si>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</si>
  <si>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</si>
  <si>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</si>
  <si>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</si>
  <si>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</si>
  <si>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</si>
  <si>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</si>
  <si>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</si>
  <si>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</si>
  <si>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</si>
  <si>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</si>
  <si>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</si>
  <si>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</si>
  <si>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</si>
  <si>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</si>
  <si>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</si>
  <si>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</si>
  <si>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</si>
  <si>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</si>
  <si>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</si>
  <si>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</si>
  <si>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</si>
  <si>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</si>
  <si>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</si>
  <si>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</si>
  <si>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</si>
  <si>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</si>
  <si>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</si>
  <si>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</si>
  <si>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</si>
  <si>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</si>
  <si>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</si>
  <si>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</si>
  <si>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</si>
  <si>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</si>
  <si>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</si>
  <si>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</si>
  <si>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</si>
  <si>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</si>
  <si>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</si>
  <si>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</si>
  <si>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</si>
  <si>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</si>
  <si>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</si>
  <si>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</si>
  <si>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</si>
  <si>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</si>
  <si>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</si>
  <si>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</si>
  <si>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</si>
  <si>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</si>
  <si>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</si>
  <si>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</si>
  <si>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</si>
  <si>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</si>
  <si>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</si>
  <si>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</si>
  <si>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</si>
  <si>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</si>
  <si>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</si>
  <si>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</si>
  <si>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</si>
  <si>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</si>
  <si>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</si>
  <si>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</si>
  <si>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</si>
  <si>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</si>
  <si>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</si>
  <si>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</si>
  <si>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</si>
  <si>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</si>
  <si>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</si>
  <si>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</si>
  <si>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</si>
  <si>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</si>
  <si>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</si>
  <si>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</si>
  <si>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</si>
  <si>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</si>
  <si>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</si>
  <si>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</si>
  <si>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</si>
  <si>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</si>
  <si>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</si>
  <si>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</si>
  <si>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</si>
  <si>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</si>
  <si>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</si>
  <si>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</si>
  <si>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</si>
  <si>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</si>
  <si>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</si>
  <si>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</si>
  <si>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</si>
  <si>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</si>
  <si>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</si>
  <si>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</si>
  <si>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</si>
  <si>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</si>
  <si>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</si>
  <si>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</si>
  <si>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</si>
  <si>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</si>
  <si>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</si>
  <si>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</si>
  <si>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</si>
  <si>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</si>
  <si>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</si>
  <si>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</si>
  <si>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</si>
  <si>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</si>
  <si>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</si>
  <si>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</si>
  <si>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</si>
  <si>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</si>
  <si>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</si>
  <si>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</si>
  <si>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</si>
  <si>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</si>
  <si>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</si>
  <si>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</si>
  <si>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</si>
  <si>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</si>
  <si>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</si>
  <si>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</si>
  <si>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</si>
  <si>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</si>
  <si>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</si>
  <si>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</si>
  <si>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</si>
  <si>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</si>
  <si>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</si>
  <si>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</si>
  <si>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</si>
  <si>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</si>
  <si>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</si>
  <si>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</si>
  <si>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</si>
  <si>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</si>
  <si>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</si>
  <si>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</si>
  <si>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</si>
  <si>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</si>
  <si>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</si>
  <si>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</si>
  <si>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</si>
  <si>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</si>
  <si>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</si>
  <si>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</si>
  <si>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</si>
  <si>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</si>
  <si>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</si>
  <si>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</si>
  <si>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</si>
  <si>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</si>
  <si>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</si>
  <si>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</si>
  <si>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</si>
  <si>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</si>
  <si>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</si>
  <si>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</si>
  <si>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</si>
  <si>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</si>
  <si>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</si>
  <si>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</si>
  <si>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</si>
  <si>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</si>
  <si>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</si>
  <si>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</si>
  <si>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</si>
  <si>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</si>
  <si>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</si>
  <si>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</si>
  <si>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</si>
  <si>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</si>
  <si>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</si>
  <si>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</si>
  <si>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</si>
  <si>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</si>
  <si>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</si>
  <si>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</si>
  <si>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</si>
  <si>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</si>
  <si>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</si>
  <si>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</si>
  <si>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</si>
  <si>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</si>
  <si>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</si>
  <si>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</si>
  <si>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</si>
  <si>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</si>
  <si>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</si>
  <si>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</si>
  <si>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</si>
  <si>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</si>
  <si>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</si>
  <si>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</si>
  <si>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</si>
  <si>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</si>
  <si>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</si>
  <si>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</si>
  <si>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</si>
  <si>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</si>
  <si>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</si>
  <si>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</si>
  <si>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</si>
  <si>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</si>
  <si>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</si>
  <si>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</si>
  <si>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</si>
  <si>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</si>
  <si>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</si>
  <si>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</si>
  <si>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</si>
  <si>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</si>
  <si>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</si>
  <si>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</si>
  <si>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</si>
  <si>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</si>
  <si>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</si>
  <si>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</si>
  <si>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</si>
  <si>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</si>
  <si>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</si>
  <si>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</si>
  <si>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</si>
  <si>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</si>
  <si>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</si>
  <si>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</si>
  <si>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</si>
  <si>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</si>
  <si>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</si>
  <si>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</si>
  <si>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</si>
  <si>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</si>
  <si>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</si>
  <si>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</si>
  <si>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</si>
  <si>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</si>
  <si>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</si>
  <si>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</si>
  <si>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</si>
  <si>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</si>
  <si>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</si>
  <si>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</si>
  <si>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</si>
  <si>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</si>
  <si>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</si>
  <si>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</si>
  <si>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</si>
  <si>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</si>
  <si>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</si>
  <si>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</si>
  <si>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</si>
  <si>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</si>
  <si>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</si>
  <si>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</si>
  <si>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</si>
  <si>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</si>
  <si>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</si>
  <si>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</si>
  <si>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</si>
  <si>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</si>
  <si>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</si>
  <si>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</si>
  <si>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</si>
  <si>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</si>
  <si>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</si>
  <si>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</si>
  <si>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</si>
  <si>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</si>
  <si>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</si>
  <si>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</si>
  <si>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</si>
  <si>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</si>
  <si>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</si>
  <si>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</si>
  <si>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</si>
  <si>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</si>
  <si>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</si>
  <si>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</si>
  <si>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</si>
  <si>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</si>
  <si>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</si>
  <si>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</si>
  <si>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</si>
  <si>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</si>
  <si>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</si>
  <si>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</si>
  <si>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</si>
  <si>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</si>
  <si>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</si>
  <si>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</si>
  <si>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</si>
  <si>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</si>
  <si>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</si>
  <si>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</si>
  <si>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</si>
  <si>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</si>
  <si>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</si>
  <si>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</si>
  <si>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</si>
  <si>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</si>
  <si>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</si>
  <si>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</si>
  <si>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</si>
  <si>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</si>
  <si>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</si>
  <si>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</si>
  <si>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</si>
  <si>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</si>
  <si>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</si>
  <si>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</si>
  <si>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</si>
  <si>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</si>
  <si>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</si>
  <si>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</si>
  <si>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</si>
  <si>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</si>
  <si>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</si>
  <si>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</si>
  <si>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</si>
  <si>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</si>
  <si>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</si>
  <si>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</si>
  <si>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</si>
  <si>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</si>
  <si>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</si>
  <si>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</si>
  <si>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</si>
  <si>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</si>
  <si>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</si>
  <si>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</si>
  <si>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</si>
  <si>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</si>
  <si>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</si>
  <si>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</si>
  <si>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</si>
  <si>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</si>
  <si>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</si>
  <si>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</si>
  <si>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</si>
  <si>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</si>
  <si>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</si>
  <si>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</si>
  <si>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</si>
  <si>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</si>
  <si>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</si>
  <si>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</si>
  <si>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</si>
  <si>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</si>
  <si>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</si>
  <si>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</si>
  <si>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</si>
  <si>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</si>
  <si>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</si>
  <si>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</si>
  <si>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</si>
  <si>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</si>
  <si>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</si>
  <si>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</si>
  <si>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</si>
  <si>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</si>
  <si>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</si>
  <si>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</si>
  <si>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</si>
  <si>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</si>
  <si>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</si>
  <si>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</si>
  <si>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</si>
  <si>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</si>
  <si>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</si>
  <si>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</si>
  <si>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</si>
  <si>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</si>
  <si>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</si>
  <si>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</si>
  <si>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</si>
  <si>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</si>
  <si>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</si>
  <si>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</si>
  <si>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</si>
  <si>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</si>
  <si>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</si>
  <si>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</si>
  <si>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</si>
  <si>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</si>
  <si>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</si>
  <si>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</si>
  <si>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</si>
  <si>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</si>
  <si>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</si>
  <si>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</si>
  <si>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</si>
  <si>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</si>
  <si>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</si>
  <si>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</si>
  <si>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</si>
  <si>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</si>
  <si>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</si>
  <si>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</si>
  <si>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</si>
  <si>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</si>
  <si>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</si>
  <si>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</si>
  <si>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</si>
  <si>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</si>
  <si>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</si>
  <si>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</si>
  <si>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</si>
  <si>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</si>
  <si>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</si>
  <si>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</si>
  <si>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</si>
  <si>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</si>
  <si>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</si>
  <si>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</si>
  <si>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</si>
  <si>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</si>
  <si>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</si>
  <si>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</si>
  <si>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</si>
  <si>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</si>
  <si>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</si>
  <si>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</si>
  <si>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</si>
  <si>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</si>
  <si>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</si>
  <si>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</si>
  <si>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</si>
  <si>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</si>
  <si>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</si>
  <si>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</si>
  <si>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</si>
  <si>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</si>
  <si>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</si>
  <si>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</si>
  <si>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</si>
  <si>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</si>
  <si>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</si>
  <si>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</si>
  <si>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</si>
  <si>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</si>
  <si>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</si>
  <si>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</si>
  <si>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</si>
  <si>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</si>
  <si>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</si>
  <si>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</si>
  <si>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</si>
  <si>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</si>
  <si>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</si>
  <si>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</si>
  <si>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</si>
  <si>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</si>
  <si>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</si>
  <si>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</si>
  <si>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</si>
  <si>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</si>
  <si>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</si>
  <si>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</si>
  <si>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</si>
  <si>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</si>
  <si>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</si>
  <si>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</si>
  <si>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</si>
  <si>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</si>
  <si>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</si>
  <si>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</si>
  <si>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</si>
  <si>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</si>
  <si>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</si>
  <si>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</si>
  <si>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</si>
  <si>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</si>
  <si>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</si>
  <si>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</si>
  <si>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</si>
  <si>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</si>
  <si>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</si>
  <si>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</si>
  <si>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</si>
  <si>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</si>
  <si>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</si>
  <si>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</si>
  <si>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</si>
  <si>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</si>
  <si>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</si>
  <si>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</si>
  <si>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</si>
  <si>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</si>
  <si>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</si>
  <si>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</si>
  <si>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</si>
  <si>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</si>
  <si>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</si>
  <si>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</si>
  <si>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</si>
  <si>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</si>
  <si>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</si>
  <si>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</si>
  <si>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</si>
  <si>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</si>
  <si>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</si>
  <si>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</si>
  <si>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</si>
  <si>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</si>
  <si>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</si>
  <si>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</si>
  <si>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</si>
  <si>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</si>
  <si>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</si>
  <si>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</si>
  <si>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</si>
  <si>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</si>
  <si>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</si>
  <si>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</si>
  <si>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</si>
  <si>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</si>
  <si>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</si>
  <si>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</si>
  <si>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</si>
  <si>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</si>
  <si>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</si>
  <si>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</si>
  <si>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</si>
  <si>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</si>
  <si>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</si>
  <si>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</si>
  <si>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</si>
  <si>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</si>
  <si>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</si>
  <si>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</si>
  <si>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</si>
  <si>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</si>
  <si>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</si>
  <si>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</si>
  <si>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</si>
  <si>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</si>
  <si>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</si>
  <si>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</si>
  <si>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</si>
  <si>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</si>
  <si>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</si>
  <si>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</si>
  <si>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</si>
  <si>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</si>
  <si>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</si>
  <si>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</si>
  <si>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</si>
  <si>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</si>
  <si>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</si>
  <si>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</si>
  <si>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</si>
  <si>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</si>
  <si>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</si>
  <si>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</si>
  <si>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</si>
  <si>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</si>
  <si>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</si>
  <si>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</si>
  <si>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</si>
  <si>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</si>
  <si>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</si>
  <si>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</si>
  <si>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</si>
  <si>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</si>
  <si>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</si>
  <si>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</si>
  <si>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</si>
  <si>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</si>
  <si>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</si>
  <si>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</si>
  <si>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</si>
  <si>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</si>
  <si>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</si>
  <si>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</si>
  <si>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</si>
  <si>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</si>
  <si>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</si>
  <si>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</si>
  <si>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</si>
  <si>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</si>
  <si>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</si>
  <si>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</si>
  <si>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</si>
  <si>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</si>
  <si>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</si>
  <si>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</si>
  <si>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</si>
  <si>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</si>
  <si>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</si>
  <si>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</si>
  <si>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</si>
  <si>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</si>
  <si>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</si>
  <si>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</si>
  <si>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</si>
  <si>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</si>
  <si>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</si>
  <si>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</si>
  <si>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</si>
  <si>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</si>
  <si>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</si>
  <si>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</si>
  <si>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</si>
  <si>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</si>
  <si>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</si>
  <si>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</si>
  <si>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</si>
  <si>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</si>
  <si>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</si>
  <si>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</si>
  <si>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</si>
  <si>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</si>
  <si>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</si>
  <si>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</si>
  <si>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</si>
  <si>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</si>
  <si>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</si>
  <si>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</si>
  <si>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</si>
  <si>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</si>
  <si>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</si>
  <si>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</si>
  <si>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</si>
  <si>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</si>
  <si>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</si>
  <si>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</si>
  <si>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</si>
  <si>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</si>
  <si>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</si>
  <si>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</si>
  <si>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</si>
  <si>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</si>
  <si>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</si>
  <si>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</si>
  <si>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</si>
  <si>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</si>
  <si>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</si>
  <si>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</si>
  <si>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</si>
  <si>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Поз.</t>
  </si>
  <si>
    <t>Обозначение</t>
  </si>
  <si>
    <t>Наименование</t>
  </si>
  <si>
    <t>Кол-во</t>
  </si>
  <si>
    <t>Масса ед., кг.</t>
  </si>
  <si>
    <t>ГОСТ Р 52544—2006</t>
  </si>
  <si>
    <t>2*</t>
  </si>
  <si>
    <t>ГОСТ 5781-82*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</si>
  <si>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</si>
  <si>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</si>
  <si>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</si>
  <si>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</si>
  <si>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</si>
  <si>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</si>
  <si>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</si>
  <si>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</si>
  <si>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</si>
  <si>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</si>
  <si>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</si>
  <si>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⌀6</t>
  </si>
  <si>
    <t>Ведомость отделки АБК_правила</t>
  </si>
  <si>
    <t>данный лист</t>
  </si>
  <si>
    <t>Итого</t>
  </si>
  <si>
    <t>Кол-во на все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</si>
  <si>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</si>
  <si>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</si>
  <si>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</si>
  <si>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</si>
  <si>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</si>
  <si>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</si>
  <si>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</si>
  <si>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</si>
  <si>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</si>
  <si>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</si>
  <si>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</si>
  <si>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</si>
  <si>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</si>
  <si>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</si>
  <si>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</si>
  <si>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</si>
  <si>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</si>
  <si>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</si>
  <si>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</si>
  <si>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</si>
  <si>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</si>
  <si>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</si>
  <si>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</si>
  <si>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</si>
  <si>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</si>
  <si>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</si>
  <si>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</si>
  <si>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</si>
  <si>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</si>
  <si>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</si>
  <si>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</si>
  <si>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</si>
  <si>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</si>
  <si>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</si>
  <si>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</si>
  <si>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>⌀16 A500C L= п.м.</t>
  </si>
  <si>
    <t>⌀12</t>
  </si>
  <si>
    <t>⌀16</t>
  </si>
  <si>
    <t>⌀18</t>
  </si>
  <si>
    <t>Пс6.1.1, на все</t>
  </si>
  <si>
    <t>|Лог|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</si>
  <si>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</si>
  <si>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</si>
  <si>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</si>
  <si>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</si>
  <si>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</si>
  <si>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</si>
  <si>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</si>
  <si>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</si>
  <si>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</si>
  <si>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</si>
  <si>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</si>
  <si>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</si>
  <si>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</si>
  <si>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</si>
  <si>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</si>
  <si>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</si>
  <si>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</si>
  <si>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</si>
  <si>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</si>
  <si>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</si>
  <si>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</si>
  <si>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</si>
  <si>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</si>
  <si>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</si>
  <si>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</si>
  <si>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</si>
  <si>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</si>
  <si>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</si>
  <si>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</si>
  <si>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</si>
  <si>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</si>
  <si>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ОК</t>
  </si>
  <si>
    <t>БНТ 100 ГОСТ 1839-80</t>
  </si>
  <si>
    <t>ГОСТ 1839-80</t>
  </si>
  <si>
    <t>Прокладка Вилатерм</t>
  </si>
  <si>
    <t>Битум 70/30</t>
  </si>
  <si>
    <t>ГОСТ 6617-76</t>
  </si>
  <si>
    <t>Эмаль ПФ-115</t>
  </si>
  <si>
    <t>ГОСТ 6465-76</t>
  </si>
  <si>
    <t>Песок</t>
  </si>
  <si>
    <t>ГОСТ 8736-93</t>
  </si>
  <si>
    <t>Щебень (д600; фр.5-20)</t>
  </si>
  <si>
    <t>ГОСТ 8267-93</t>
  </si>
  <si>
    <t>Бетон кл. В7,5 (подготовка)</t>
  </si>
  <si>
    <t>Монолитная подпорная стена Пс9.5.5</t>
  </si>
  <si>
    <t>Бетон В25</t>
  </si>
  <si>
    <t>Монолитная подпорная стена Пс9.5.4</t>
  </si>
  <si>
    <t>Монолитная подпорная стена Пс9.5.3</t>
  </si>
  <si>
    <t>Монолитная подпорная стена Пс9.5.2</t>
  </si>
  <si>
    <t>Монолитная подпорная стена Пс9.5.1</t>
  </si>
  <si>
    <t>Пс9.5_спец</t>
  </si>
  <si>
    <t>Пс9.5.4</t>
  </si>
  <si>
    <t>Пс9.5.5</t>
  </si>
  <si>
    <t>⌀12 A500C L=3150мм.</t>
  </si>
  <si>
    <t>⌀14 A500C L=1490мм.</t>
  </si>
  <si>
    <t>⌀12 A500C L=1290мм.</t>
  </si>
  <si>
    <t>⌀14 A500C L=3255мм.</t>
  </si>
  <si>
    <t>⌀16 A500C L=2750мм.</t>
  </si>
  <si>
    <t>⌀16 A500C L=1770мм.</t>
  </si>
  <si>
    <t>⌀12 A500C L=1390мм.</t>
  </si>
  <si>
    <t>⌀6 A-I(A240) L=270мм.</t>
  </si>
  <si>
    <t>⌀12 A500C L=5630мм.</t>
  </si>
  <si>
    <t>⌀12 A500C L=1625мм.</t>
  </si>
  <si>
    <t>⌀12 A500C L=750мм.</t>
  </si>
  <si>
    <t xml:space="preserve"> Прочие элементы </t>
  </si>
  <si>
    <t>3*</t>
  </si>
  <si>
    <t>4*</t>
  </si>
  <si>
    <t>5*</t>
  </si>
  <si>
    <t>8*</t>
  </si>
  <si>
    <t>9*</t>
  </si>
  <si>
    <t>10*</t>
  </si>
  <si>
    <t>Пс9.5.1</t>
  </si>
  <si>
    <t>С-образная попер. В подошве</t>
  </si>
  <si>
    <t>Пс9.5.2</t>
  </si>
  <si>
    <t>Пс9.5.3</t>
  </si>
  <si>
    <t>Монолитная подпорная стена Пс9.5.1, на все</t>
  </si>
  <si>
    <t>⌀12 A500C L=4470мм.</t>
  </si>
  <si>
    <t>⌀12 A500C L=1220мм.</t>
  </si>
  <si>
    <t>Монолитная подпорная стена Пс9.5.2, на все</t>
  </si>
  <si>
    <t>⌀12 A500C L=5900мм.</t>
  </si>
  <si>
    <t>Монолитная подпорная стена Пс9.5.3, на все</t>
  </si>
  <si>
    <t>Монолитная подпорная стена Пс9.5.4, на все</t>
  </si>
  <si>
    <t>Монолитная подпорная стена Пс9.5.5, на все</t>
  </si>
  <si>
    <t>13*</t>
  </si>
  <si>
    <t>6*</t>
  </si>
  <si>
    <t>Шпатлёвка</t>
  </si>
  <si>
    <t>Затирка; Шпатлёвка</t>
  </si>
  <si>
    <t>Армстронг; Без отделки</t>
  </si>
  <si>
    <t>Исключить</t>
  </si>
  <si>
    <t>Добавить</t>
  </si>
  <si>
    <t>Данные отсутвуют</t>
  </si>
  <si>
    <t>Кирпич 510 штукатурка с 2х сторон с навесным фасадом</t>
  </si>
  <si>
    <t>Кирпич 510 штукатурка с 2х сторон</t>
  </si>
  <si>
    <t>Затирка</t>
  </si>
  <si>
    <t>Номера помещений</t>
  </si>
  <si>
    <t>ПВО</t>
  </si>
  <si>
    <t>ПО</t>
  </si>
  <si>
    <t>9, 10, 104, 105</t>
  </si>
  <si>
    <t>П</t>
  </si>
  <si>
    <t>УПО</t>
  </si>
  <si>
    <t>ЭО</t>
  </si>
  <si>
    <t>1, 2, 3, 23, 24, 100, 101, 102, 201, 202, 203</t>
  </si>
  <si>
    <t>Потолок: Окраска краской Вд-ва-224 (ГОСТ 28196-89)</t>
  </si>
  <si>
    <t>Потолок: Шпатлёвка ж/б плит</t>
  </si>
  <si>
    <t>Низ стен/колонн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</si>
  <si>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</si>
  <si>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</si>
  <si>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Шпатлёвка под плиткой</t>
  </si>
  <si>
    <t>5, 7, 8, 13, 15, 16, 18, 22, 108, 112, 114, 116, 117, 119, 120, 123, 204, 205, 208</t>
  </si>
  <si>
    <t>12, 14, 17, 19, 20, 21, 109, 110, 111, 113, 115, 118, 121, 122, 124, 125, 126, 206, 207</t>
  </si>
  <si>
    <t>4, 6, 11, 103, 106, 107, 209, 210, 211, 212</t>
  </si>
  <si>
    <t>check</t>
  </si>
  <si>
    <t>decode</t>
  </si>
  <si>
    <t>Lперим=321,8п.м.</t>
  </si>
  <si>
    <t>Lперим=124,8п.м.</t>
  </si>
  <si>
    <t>Lперим=243,8п.м.</t>
  </si>
  <si>
    <t>Lперим=253,7п.м.</t>
  </si>
  <si>
    <t>Lперим=412,6п.м.</t>
  </si>
  <si>
    <t>Подпорная_об</t>
  </si>
  <si>
    <t>Подпорная_кж</t>
  </si>
  <si>
    <t>Пс9.5_об</t>
  </si>
  <si>
    <t>---</t>
  </si>
  <si>
    <t>Подпорная1_спец</t>
  </si>
  <si>
    <t>Автовывод</t>
  </si>
  <si>
    <t>Начало</t>
  </si>
  <si>
    <t>⌀18 A500C L=2610мм.</t>
  </si>
  <si>
    <t>⌀12 A500C L=1850мм.</t>
  </si>
  <si>
    <t>⌀18 A500C L=5575мм.</t>
  </si>
  <si>
    <t>⌀6 A-I(A240) L=470мм.</t>
  </si>
  <si>
    <t>⌀18 A500C L=5550мм.</t>
  </si>
  <si>
    <t>⌀18 A500C L=2660мм.</t>
  </si>
  <si>
    <t>⌀16 A500C L=2400мм.</t>
  </si>
  <si>
    <t>⌀18 A500C L=3300мм.</t>
  </si>
  <si>
    <t>11*</t>
  </si>
  <si>
    <t>⌀18 A500C L=2140мм.</t>
  </si>
  <si>
    <t>12*</t>
  </si>
  <si>
    <t>⌀12 A500C L=1560мм.</t>
  </si>
  <si>
    <t>_об</t>
  </si>
  <si>
    <t>Подпорная1_об</t>
  </si>
  <si>
    <t>D:\Рогожин ДА\prog\YandexDisk\Работа\material-specification\list\Спец_Подпорная1_об_10.pdf</t>
  </si>
  <si>
    <t>PDF</t>
  </si>
  <si>
    <t xml:space="preserve">Подпорная1 </t>
  </si>
  <si>
    <t>D:\Рогожин ДА\prog\YandexDisk\Работа\material-specification\list\Спец_Подпорная1 _10.pdf</t>
  </si>
  <si>
    <t>_гр</t>
  </si>
  <si>
    <t>Подпорная1_гр</t>
  </si>
  <si>
    <t>D:\Рогожин ДА\prog\YandexDisk\Работа\material-specification\list\Спец_Подпорная1_гр_10.pdf</t>
  </si>
  <si>
    <t>_кж</t>
  </si>
  <si>
    <t>Подпорная1_кж</t>
  </si>
  <si>
    <t>D:\Рогожин ДА\prog\YandexDisk\Работа\material-specification\list\Спец_Подпорная1_кж_10.pdf</t>
  </si>
  <si>
    <t>Ошибка спецификации</t>
  </si>
  <si>
    <t>Сборок меньше двух. Создана общестроительная спецификаця</t>
  </si>
  <si>
    <t>_грс</t>
  </si>
  <si>
    <t>Очистка листов</t>
  </si>
  <si>
    <t>DEL</t>
  </si>
  <si>
    <t>Удалено  листов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</si>
  <si>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</si>
  <si>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</si>
  <si>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</si>
  <si>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</si>
  <si>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</si>
  <si>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</si>
  <si>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</si>
  <si>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</si>
  <si>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</si>
  <si>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</si>
  <si>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</si>
  <si>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</si>
  <si>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</si>
  <si>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</si>
  <si>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 xml:space="preserve"> 93.06 кг.</t>
  </si>
  <si>
    <t xml:space="preserve"> 44.104 кг.</t>
  </si>
  <si>
    <t xml:space="preserve"> 23.84 кг.</t>
  </si>
  <si>
    <t xml:space="preserve"> 112.8 кг.</t>
  </si>
  <si>
    <t xml:space="preserve"> 3.84 кг.</t>
  </si>
  <si>
    <t xml:space="preserve"> 26.1 кг.</t>
  </si>
  <si>
    <t xml:space="preserve"> 67.21 кг.</t>
  </si>
  <si>
    <t xml:space="preserve"> 16.1 кг.</t>
  </si>
  <si>
    <t xml:space="preserve"> 42.3 кг.</t>
  </si>
  <si>
    <t xml:space="preserve"> 245.52 кг.</t>
  </si>
  <si>
    <t xml:space="preserve"> 91.26 кг.</t>
  </si>
  <si>
    <t xml:space="preserve"> 52.15 кг.</t>
  </si>
  <si>
    <t xml:space="preserve"> 11.04 кг.</t>
  </si>
  <si>
    <t xml:space="preserve"> 440.7 кг.</t>
  </si>
  <si>
    <t xml:space="preserve"> 265.98 кг.</t>
  </si>
  <si>
    <t xml:space="preserve"> 283.92 кг.</t>
  </si>
  <si>
    <t xml:space="preserve"> 57.96 кг.</t>
  </si>
  <si>
    <t xml:space="preserve"> 1784.71 кг.</t>
  </si>
  <si>
    <t xml:space="preserve"> 1521 кг.</t>
  </si>
  <si>
    <t xml:space="preserve"> 262.24 кг.</t>
  </si>
  <si>
    <t xml:space="preserve"> 6656 кг.</t>
  </si>
  <si>
    <t xml:space="preserve"> 182.56 кг.</t>
  </si>
  <si>
    <t xml:space="preserve"> 7345 кг.</t>
  </si>
  <si>
    <t xml:space="preserve"> 925.26 кг.</t>
  </si>
  <si>
    <t xml:space="preserve"> 4732 кг.</t>
  </si>
  <si>
    <t xml:space="preserve"> 293.02 кг.</t>
  </si>
  <si>
    <t xml:space="preserve"> 131.04 кг.</t>
  </si>
  <si>
    <t xml:space="preserve"> 98.28 кг.</t>
  </si>
  <si>
    <t xml:space="preserve"> 424.96 кг.</t>
  </si>
  <si>
    <t xml:space="preserve"> 11.76 кг.</t>
  </si>
  <si>
    <t xml:space="preserve"> 468.95 кг.</t>
  </si>
  <si>
    <t xml:space="preserve"> 138.32 кг.</t>
  </si>
  <si>
    <t xml:space="preserve"> 302.12 кг.</t>
  </si>
  <si>
    <t xml:space="preserve"> 110.5 кг.</t>
  </si>
  <si>
    <t xml:space="preserve"> 56.62 кг.</t>
  </si>
  <si>
    <t xml:space="preserve"> 141 кг.</t>
  </si>
  <si>
    <t xml:space="preserve"> 8.88 кг.</t>
  </si>
  <si>
    <t xml:space="preserve"> 128.76 кг.</t>
  </si>
  <si>
    <t xml:space="preserve"> 78 кг.</t>
  </si>
  <si>
    <t xml:space="preserve"> 238.28 кг.</t>
  </si>
  <si>
    <t>1,3</t>
  </si>
  <si>
    <t>D:\Рогожин ДА\prog\YandexDisk\Работа\material-specification\list\Спец_Пс9.5_об_13.pdf</t>
  </si>
  <si>
    <t xml:space="preserve"> 330.854 кг.</t>
  </si>
  <si>
    <t xml:space="preserve">Пс9.5 </t>
  </si>
  <si>
    <t>D:\Рогожин ДА\prog\YandexDisk\Работа\material-specification\list\Спец_Пс9.5 _13.pdf</t>
  </si>
  <si>
    <t>Небивка массы на  149.66 груп= 650.15, общая= 500.49</t>
  </si>
  <si>
    <t>Пс9.5_гр</t>
  </si>
  <si>
    <t>D:\Рогожин ДА\prog\YandexDisk\Работа\material-specification\list\Спец_Пс9.5_гр_13.pdf</t>
  </si>
  <si>
    <t>⌀14</t>
  </si>
  <si>
    <t>Пс9.5.1, на все</t>
  </si>
  <si>
    <t>Пс9.5.2, на все</t>
  </si>
  <si>
    <t>Пс9.5.3, на все</t>
  </si>
  <si>
    <t>Пс9.5.4, на все</t>
  </si>
  <si>
    <t>Пс9.5.5, на все</t>
  </si>
  <si>
    <t>Пс9.5_кж</t>
  </si>
  <si>
    <t>D:\Рогожин ДА\prog\YandexDisk\Работа\material-specification\list\Спец_Пс9.5_кж_13.pdf</t>
  </si>
  <si>
    <t>Прочее</t>
  </si>
  <si>
    <t xml:space="preserve"> 100.724 кг.</t>
  </si>
  <si>
    <t xml:space="preserve"> 1710.54 кг.</t>
  </si>
  <si>
    <t xml:space="preserve"> 414.22 кг.</t>
  </si>
  <si>
    <t xml:space="preserve"> 14.88 кг.</t>
  </si>
  <si>
    <t xml:space="preserve"> 7080.96 кг.</t>
  </si>
  <si>
    <t xml:space="preserve"> 20.64 кг.</t>
  </si>
  <si>
    <t xml:space="preserve"> 7813.95 кг.</t>
  </si>
  <si>
    <t xml:space="preserve"> 312.34 кг.</t>
  </si>
  <si>
    <t xml:space="preserve"> 5034.12 кг.</t>
  </si>
  <si>
    <t xml:space="preserve"> 367.08 кг.</t>
  </si>
  <si>
    <t>Пс9.5_грс</t>
  </si>
  <si>
    <t>D:\Рогожин ДА\prog\YandexDisk\Работа\material-specification\list\Спец_Пс9.5_грс_13.pdf</t>
  </si>
  <si>
    <t>D:\Рогожин ДА\prog\YandexDisk\Работа\material-specification\list\Спец_Подпорная_об_13.pdf</t>
  </si>
  <si>
    <t xml:space="preserve">Подпорная </t>
  </si>
  <si>
    <t>D:\Рогожин ДА\prog\YandexDisk\Работа\material-specification\list\Спец_Подпорная _13.pdf</t>
  </si>
  <si>
    <t>Небивка массы на  75.75 груп= 329.34, общая= 253.59</t>
  </si>
  <si>
    <t>Подпорная_гр</t>
  </si>
  <si>
    <t>D:\Рогожин ДА\prog\YandexDisk\Работа\material-specification\list\Спец_Подпорная_гр_13.pdf</t>
  </si>
  <si>
    <t>D:\Рогожин ДА\prog\YandexDisk\Работа\material-specification\list\Спец_Подпорная_кж_13.pdf</t>
  </si>
  <si>
    <t>D:\Рогожин ДА\prog\YandexDisk\Работа\material-specification\list\Спец_Подпорная1_об_13.pdf</t>
  </si>
  <si>
    <t>D:\Рогожин ДА\prog\YandexDisk\Работа\material-specification\list\Спец_Подпорная1 _13.pdf</t>
  </si>
  <si>
    <t>D:\Рогожин ДА\prog\YandexDisk\Работа\material-specification\list\Спец_Подпорная1_гр_13.pdf</t>
  </si>
  <si>
    <t>D:\Рогожин ДА\prog\YandexDisk\Работа\material-specification\list\Спец_Подпорная1_кж_13.pdf</t>
  </si>
  <si>
    <t>Конец</t>
  </si>
  <si>
    <t>Включена автонастройка листов</t>
  </si>
  <si>
    <t>D:\Рогожин ДА\prog\YandexDisk\Работа\material-specification\list\Спец_Пс9.5_об_10.pdf</t>
  </si>
  <si>
    <t>D:\Рогожин ДА\prog\YandexDisk\Работа\material-specification\list\Спец_Пс9.5 _10.pdf</t>
  </si>
  <si>
    <t>D:\Рогожин ДА\prog\YandexDisk\Работа\material-specification\list\Спец_Пс9.5_гр_10.pdf</t>
  </si>
  <si>
    <t>D:\Рогожин ДА\prog\YandexDisk\Работа\material-specification\list\Спец_Пс9.5_кж_10.pdf</t>
  </si>
  <si>
    <t>D:\Рогожин ДА\prog\YandexDisk\Работа\material-specification\list\Спец_Пс9.5_грс_10.pdf</t>
  </si>
  <si>
    <t>D:\Рогожин ДА\prog\YandexDisk\Работа\material-specification\list\Спец_Подпорная_об_10.pdf</t>
  </si>
  <si>
    <t>D:\Рогожин ДА\prog\YandexDisk\Работа\material-specification\list\Спец_Подпорная _10.pdf</t>
  </si>
  <si>
    <t>D:\Рогожин ДА\prog\YandexDisk\Работа\material-specification\list\Спец_Подпорная_гр_10.pdf</t>
  </si>
  <si>
    <t>D:\Рогожин ДА\prog\YandexDisk\Работа\material-specification\list\Спец_Подпорная_кж_10.pdf</t>
  </si>
  <si>
    <t>!Кр1</t>
  </si>
  <si>
    <t>!1</t>
  </si>
  <si>
    <t>!2</t>
  </si>
  <si>
    <t>Изделия_спец.И</t>
  </si>
  <si>
    <t>Повторное определение сборки Кр1</t>
  </si>
  <si>
    <t>ERROR</t>
  </si>
  <si>
    <t>19 1 10/ 16 2 54</t>
  </si>
  <si>
    <t xml:space="preserve"> 1116.95 кг.</t>
  </si>
  <si>
    <t xml:space="preserve"> 18856.92 кг.</t>
  </si>
  <si>
    <t xml:space="preserve"> 1298.95 кг.</t>
  </si>
  <si>
    <t xml:space="preserve"> 616.11 кг.</t>
  </si>
  <si>
    <t>19 1 10/ 16 2 55</t>
  </si>
  <si>
    <t>19 1 10/ 16 2 56</t>
  </si>
  <si>
    <t>19 1 10/ 16 2 57</t>
  </si>
  <si>
    <t xml:space="preserve"> 1014.28 кг.</t>
  </si>
  <si>
    <t xml:space="preserve"> 1286.56 кг.</t>
  </si>
  <si>
    <t xml:space="preserve"> 179.4 кг.</t>
  </si>
  <si>
    <t xml:space="preserve"> 5506.8 кг.</t>
  </si>
  <si>
    <t xml:space="preserve"> 103.5 кг.</t>
  </si>
  <si>
    <t xml:space="preserve"> 5482.09 кг.</t>
  </si>
  <si>
    <t xml:space="preserve"> 935.58 кг.</t>
  </si>
  <si>
    <t xml:space="preserve"> 2629.85 кг.</t>
  </si>
  <si>
    <t xml:space="preserve"> 414.18 кг.</t>
  </si>
  <si>
    <t xml:space="preserve"> 1626.24 кг.</t>
  </si>
  <si>
    <t xml:space="preserve"> 1054.24 кг.</t>
  </si>
  <si>
    <t xml:space="preserve"> 151.32 кг.</t>
  </si>
  <si>
    <t>1,4</t>
  </si>
  <si>
    <t>19 1 10/ 16 2 58</t>
  </si>
  <si>
    <t>D:\Рогожин ДА\prog\YandexDisk\Работа\material-specification\list\Спец_Подпорная_об_14.pdf</t>
  </si>
  <si>
    <t xml:space="preserve"> 15123.33 кг.</t>
  </si>
  <si>
    <t>D:\Рогожин ДА\prog\YandexDisk\Работа\material-specification\list\Спец_Подпорная _14.pdf</t>
  </si>
  <si>
    <t>19 1 10/ 16 2 59</t>
  </si>
  <si>
    <t>D:\Рогожин ДА\prog\YandexDisk\Работа\material-specification\list\Спец_Подпорная_гр_14.pdf</t>
  </si>
  <si>
    <t>D:\Рогожин ДА\prog\YandexDisk\Работа\material-specification\list\Спец_Подпорная_кж_14.pdf</t>
  </si>
  <si>
    <t xml:space="preserve"> 1086.73 кг.</t>
  </si>
  <si>
    <t xml:space="preserve"> 1479.87 кг.</t>
  </si>
  <si>
    <t xml:space="preserve"> 207.48 кг.</t>
  </si>
  <si>
    <t xml:space="preserve"> 6316.38 кг.</t>
  </si>
  <si>
    <t xml:space="preserve"> 118.24 кг.</t>
  </si>
  <si>
    <t xml:space="preserve"> 6289.92 кг.</t>
  </si>
  <si>
    <t xml:space="preserve"> 1002.41 кг.</t>
  </si>
  <si>
    <t xml:space="preserve"> 3016.44 кг.</t>
  </si>
  <si>
    <t xml:space="preserve"> 477.96 кг.</t>
  </si>
  <si>
    <t xml:space="preserve"> 1871.1 кг.</t>
  </si>
  <si>
    <t xml:space="preserve"> 1213.38 кг.</t>
  </si>
  <si>
    <t xml:space="preserve"> 174.72 кг.</t>
  </si>
  <si>
    <t>1,5</t>
  </si>
  <si>
    <t>19 1 10/ 16 3 1</t>
  </si>
  <si>
    <t>D:\Рогожин ДА\prog\YandexDisk\Работа\material-specification\list\Спец_Подпорная1_об_15.pdf</t>
  </si>
  <si>
    <t xml:space="preserve"> 16204.56 кг.</t>
  </si>
  <si>
    <t>D:\Рогожин ДА\prog\YandexDisk\Работа\material-specification\list\Спец_Подпорная1 _15.pdf</t>
  </si>
  <si>
    <t>19 1 10/ 16 3 2</t>
  </si>
  <si>
    <t>D:\Рогожин ДА\prog\YandexDisk\Работа\material-specification\list\Спец_Подпорная1_гр_15.pdf</t>
  </si>
  <si>
    <t>D:\Рогожин ДА\prog\YandexDisk\Работа\material-specification\list\Спец_Подпорная1_кж_15.pdf</t>
  </si>
  <si>
    <t>Ошибка имени листа или файла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</si>
</sst>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99">
    <xf numFmtId="0" fontId="0" fillId="0" borderId="0" xfId="0"/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6" fillId="0" borderId="0" xfId="0" applyFont="1" applyBorder="1"/>
    <xf numFmtId="0" fontId="2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0" xfId="0" applyNumberFormat="1" applyFont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30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3"/>
  <sheetViews>
    <sheetView topLeftCell="D1" workbookViewId="0">
      <selection activeCell="H28" sqref="H28"/>
    </sheetView>
  </sheetViews>
  <sheetFormatPr defaultRowHeight="15" x14ac:dyDescent="0.25"/>
  <cols>
    <col min="1" max="5" width="36.7109375" style="45" customWidth="1"/>
    <col min="6" max="6" width="9.140625" style="45"/>
    <col min="7" max="7" width="8.7109375" style="45" customWidth="1"/>
    <col min="8" max="8" width="15.7109375" style="45" customWidth="1"/>
    <col min="9" max="22" width="10.7109375" style="45" customWidth="1"/>
    <col min="23" max="16384" width="9.140625" style="1"/>
  </cols>
  <sheetData>
    <row r="1" spans="1:22" s="43" customFormat="1" ht="27.95" customHeight="1" x14ac:dyDescent="0.25">
      <c r="A1" s="44" t="s">
        <v>2491</v>
      </c>
      <c r="B1" s="44" t="s">
        <v>2492</v>
      </c>
      <c r="C1" s="44" t="s">
        <v>2365</v>
      </c>
      <c r="D1" s="44" t="s">
        <v>2366</v>
      </c>
      <c r="E1" s="44" t="s">
        <v>2367</v>
      </c>
      <c r="F1" s="44"/>
      <c r="G1" s="44" t="s">
        <v>2493</v>
      </c>
      <c r="H1" s="44" t="s">
        <v>2494</v>
      </c>
      <c r="I1" s="44" t="s">
        <v>2495</v>
      </c>
      <c r="J1" s="44" t="s">
        <v>2496</v>
      </c>
      <c r="K1" s="44" t="s">
        <v>2497</v>
      </c>
      <c r="L1" s="44" t="s">
        <v>2498</v>
      </c>
      <c r="M1" s="44" t="s">
        <v>2499</v>
      </c>
      <c r="N1" s="44" t="s">
        <v>2500</v>
      </c>
      <c r="O1" s="44" t="s">
        <v>2501</v>
      </c>
      <c r="P1" s="44" t="s">
        <v>2502</v>
      </c>
      <c r="Q1" s="44" t="s">
        <v>2503</v>
      </c>
      <c r="R1" s="44" t="s">
        <v>2504</v>
      </c>
      <c r="S1" s="44" t="s">
        <v>2505</v>
      </c>
      <c r="T1" s="44" t="s">
        <v>2506</v>
      </c>
      <c r="U1" s="44" t="s">
        <v>2507</v>
      </c>
      <c r="V1" s="44" t="s">
        <v>2589</v>
      </c>
    </row>
    <row r="2" spans="1:22" x14ac:dyDescent="0.25">
      <c r="E2" s="46" t="s">
        <v>2432</v>
      </c>
      <c r="G2" s="45">
        <v>1.2</v>
      </c>
      <c r="H2" s="45" t="s">
        <v>2598</v>
      </c>
      <c r="I2" s="45" t="b">
        <v>0</v>
      </c>
      <c r="J2" s="45" t="b">
        <v>0</v>
      </c>
      <c r="K2" s="45" t="b">
        <v>0</v>
      </c>
      <c r="L2" s="45" t="b">
        <v>0</v>
      </c>
      <c r="M2" s="45" t="b">
        <v>1</v>
      </c>
      <c r="N2" s="45" t="b">
        <v>0</v>
      </c>
      <c r="O2" s="45" t="b">
        <v>1</v>
      </c>
      <c r="P2" s="45" t="b">
        <v>1</v>
      </c>
      <c r="Q2" s="45" t="b">
        <v>0</v>
      </c>
      <c r="R2" s="45" t="b">
        <v>0</v>
      </c>
      <c r="S2" s="45" t="b">
        <v>1</v>
      </c>
      <c r="T2" s="45" t="b">
        <v>0</v>
      </c>
      <c r="U2" s="45" t="b">
        <v>0</v>
      </c>
      <c r="V2" s="45" t="b">
        <v>1</v>
      </c>
    </row>
    <row r="3" spans="1:22" x14ac:dyDescent="0.25">
      <c r="C3" s="46" t="s">
        <v>2411</v>
      </c>
      <c r="G3" s="45">
        <v>1.1000000000000001</v>
      </c>
      <c r="H3" s="45" t="s">
        <v>2598</v>
      </c>
      <c r="I3" s="45" t="b">
        <v>0</v>
      </c>
      <c r="J3" s="45" t="b">
        <v>0</v>
      </c>
      <c r="K3" s="45" t="b">
        <v>0</v>
      </c>
      <c r="L3" s="45" t="b">
        <v>0</v>
      </c>
      <c r="M3" s="45" t="b">
        <v>1</v>
      </c>
      <c r="N3" s="45" t="b">
        <v>0</v>
      </c>
      <c r="O3" s="45" t="b">
        <v>1</v>
      </c>
      <c r="P3" s="45" t="b">
        <v>1</v>
      </c>
      <c r="Q3" s="45" t="b">
        <v>0</v>
      </c>
      <c r="R3" s="45" t="b">
        <v>0</v>
      </c>
      <c r="S3" s="45" t="b">
        <v>1</v>
      </c>
      <c r="T3" s="45" t="b">
        <v>0</v>
      </c>
      <c r="U3" s="45" t="b">
        <v>0</v>
      </c>
      <c r="V3" s="45" t="b">
        <v>1</v>
      </c>
    </row>
    <row r="4" spans="1:22" x14ac:dyDescent="0.25">
      <c r="C4" s="46" t="s">
        <v>2740</v>
      </c>
      <c r="G4" s="45">
        <v>1</v>
      </c>
      <c r="H4" s="45" t="s">
        <v>2598</v>
      </c>
      <c r="I4" s="45" t="b">
        <v>0</v>
      </c>
      <c r="J4" s="45" t="b">
        <v>0</v>
      </c>
      <c r="K4" s="45" t="b">
        <v>0</v>
      </c>
      <c r="L4" s="45" t="b">
        <v>0</v>
      </c>
      <c r="M4" s="45" t="b">
        <v>1</v>
      </c>
      <c r="N4" s="45" t="b">
        <v>0</v>
      </c>
      <c r="O4" s="45" t="b">
        <v>1</v>
      </c>
      <c r="P4" s="45" t="b">
        <v>1</v>
      </c>
      <c r="Q4" s="45" t="b">
        <v>0</v>
      </c>
      <c r="R4" s="45" t="b">
        <v>0</v>
      </c>
      <c r="S4" s="45" t="b">
        <v>1</v>
      </c>
      <c r="T4" s="45" t="b">
        <v>0</v>
      </c>
      <c r="U4" s="45" t="b">
        <v>0</v>
      </c>
      <c r="V4" s="45" t="b">
        <v>0</v>
      </c>
    </row>
    <row r="5" spans="1:22" x14ac:dyDescent="0.25">
      <c r="E5" s="46" t="s">
        <v>2599</v>
      </c>
      <c r="G5" s="45">
        <v>1.5</v>
      </c>
      <c r="H5" s="45" t="s">
        <v>2598</v>
      </c>
      <c r="I5" s="45" t="b">
        <v>0</v>
      </c>
      <c r="J5" s="45" t="b">
        <v>0</v>
      </c>
      <c r="K5" s="45" t="b">
        <v>0</v>
      </c>
      <c r="L5" s="45" t="b">
        <v>0</v>
      </c>
      <c r="M5" s="45" t="b">
        <v>1</v>
      </c>
      <c r="N5" s="45" t="b">
        <v>0</v>
      </c>
      <c r="O5" s="45" t="b">
        <v>1</v>
      </c>
      <c r="P5" s="45" t="b">
        <v>1</v>
      </c>
      <c r="Q5" s="45" t="b">
        <v>0</v>
      </c>
      <c r="R5" s="45" t="b">
        <v>0</v>
      </c>
      <c r="S5" s="45" t="b">
        <v>1</v>
      </c>
      <c r="T5" s="45" t="b">
        <v>0</v>
      </c>
      <c r="U5" s="45" t="b">
        <v>0</v>
      </c>
      <c r="V5" s="45" t="b">
        <v>1</v>
      </c>
    </row>
    <row r="6" spans="1:22" x14ac:dyDescent="0.25">
      <c r="E6" s="46" t="s">
        <v>2456</v>
      </c>
      <c r="G6" s="45">
        <v>1.4</v>
      </c>
      <c r="H6" s="45" t="s">
        <v>2598</v>
      </c>
      <c r="I6" s="45" t="b">
        <v>0</v>
      </c>
      <c r="J6" s="45" t="b">
        <v>0</v>
      </c>
      <c r="K6" s="45" t="b">
        <v>0</v>
      </c>
      <c r="L6" s="45" t="b">
        <v>0</v>
      </c>
      <c r="M6" s="45" t="b">
        <v>1</v>
      </c>
      <c r="N6" s="45" t="b">
        <v>0</v>
      </c>
      <c r="O6" s="45" t="b">
        <v>1</v>
      </c>
      <c r="P6" s="45" t="b">
        <v>1</v>
      </c>
      <c r="Q6" s="45" t="b">
        <v>0</v>
      </c>
      <c r="R6" s="45" t="b">
        <v>0</v>
      </c>
      <c r="S6" s="45" t="b">
        <v>1</v>
      </c>
      <c r="T6" s="45" t="b">
        <v>0</v>
      </c>
      <c r="U6" s="45" t="b">
        <v>0</v>
      </c>
      <c r="V6" s="45" t="b">
        <v>1</v>
      </c>
    </row>
    <row r="7" spans="1:22" x14ac:dyDescent="0.25">
      <c r="E7" s="46" t="s">
        <v>2527</v>
      </c>
      <c r="G7" s="45">
        <v>1.3</v>
      </c>
      <c r="H7" s="45" t="s">
        <v>2598</v>
      </c>
      <c r="I7" s="45" t="b">
        <v>0</v>
      </c>
      <c r="J7" s="45" t="b">
        <v>0</v>
      </c>
      <c r="K7" s="45" t="b">
        <v>0</v>
      </c>
      <c r="L7" s="45" t="b">
        <v>0</v>
      </c>
      <c r="M7" s="45" t="b">
        <v>1</v>
      </c>
      <c r="N7" s="45" t="b">
        <v>0</v>
      </c>
      <c r="O7" s="45" t="b">
        <v>1</v>
      </c>
      <c r="P7" s="45" t="b">
        <v>1</v>
      </c>
      <c r="Q7" s="45" t="b">
        <v>0</v>
      </c>
      <c r="R7" s="45" t="b">
        <v>0</v>
      </c>
      <c r="S7" s="45" t="b">
        <v>1</v>
      </c>
      <c r="T7" s="45" t="b">
        <v>0</v>
      </c>
      <c r="U7" s="45" t="b">
        <v>0</v>
      </c>
      <c r="V7" s="45" t="b">
        <v>1</v>
      </c>
    </row>
    <row r="8" spans="1:22" x14ac:dyDescent="0.25">
      <c r="D8" s="46" t="s">
        <v>2597</v>
      </c>
      <c r="G8" s="45" t="s">
        <v>2686</v>
      </c>
      <c r="H8" s="45" t="s">
        <v>2743</v>
      </c>
      <c r="I8" s="45" t="b">
        <v>0</v>
      </c>
      <c r="J8" s="45" t="b">
        <v>0</v>
      </c>
      <c r="K8" s="45" t="b">
        <v>0</v>
      </c>
      <c r="L8" s="45" t="b">
        <v>0</v>
      </c>
      <c r="M8" s="45" t="b">
        <v>1</v>
      </c>
      <c r="N8" s="45" t="b">
        <v>0</v>
      </c>
      <c r="O8" s="45" t="b">
        <v>1</v>
      </c>
      <c r="P8" s="45" t="b">
        <v>1</v>
      </c>
      <c r="Q8" s="45" t="b">
        <v>0</v>
      </c>
      <c r="R8" s="45" t="b">
        <v>0</v>
      </c>
      <c r="S8" s="45" t="b">
        <v>1</v>
      </c>
      <c r="T8" s="45" t="b">
        <v>0</v>
      </c>
      <c r="U8" s="45" t="b">
        <v>0</v>
      </c>
      <c r="V8" s="45" t="b">
        <v>1</v>
      </c>
    </row>
    <row r="9" spans="1:22" x14ac:dyDescent="0.25">
      <c r="D9" s="46" t="s">
        <v>2689</v>
      </c>
      <c r="G9" s="45" t="s">
        <v>2686</v>
      </c>
      <c r="H9" s="45" t="s">
        <v>2748</v>
      </c>
      <c r="I9" s="45" t="b">
        <v>0</v>
      </c>
      <c r="J9" s="45" t="b">
        <v>0</v>
      </c>
      <c r="K9" s="45" t="b">
        <v>0</v>
      </c>
      <c r="L9" s="45" t="b">
        <v>0</v>
      </c>
      <c r="M9" s="45" t="b">
        <v>1</v>
      </c>
      <c r="N9" s="45" t="b">
        <v>0</v>
      </c>
      <c r="O9" s="45" t="b">
        <v>1</v>
      </c>
      <c r="P9" s="45" t="b">
        <v>1</v>
      </c>
      <c r="Q9" s="45" t="b">
        <v>0</v>
      </c>
      <c r="R9" s="45" t="b">
        <v>0</v>
      </c>
      <c r="S9" s="45" t="b">
        <v>1</v>
      </c>
      <c r="T9" s="45" t="b">
        <v>0</v>
      </c>
      <c r="U9" s="45" t="b">
        <v>0</v>
      </c>
      <c r="V9" s="45" t="b">
        <v>1</v>
      </c>
    </row>
    <row r="10" spans="1:22" x14ac:dyDescent="0.25">
      <c r="D10" s="46" t="s">
        <v>2692</v>
      </c>
      <c r="G10" s="45" t="s">
        <v>2686</v>
      </c>
      <c r="H10" s="45" t="s">
        <v>2749</v>
      </c>
      <c r="I10" s="45" t="b">
        <v>0</v>
      </c>
      <c r="J10" s="45" t="b">
        <v>0</v>
      </c>
      <c r="K10" s="45" t="b">
        <v>0</v>
      </c>
      <c r="L10" s="45" t="b">
        <v>0</v>
      </c>
      <c r="M10" s="45" t="b">
        <v>1</v>
      </c>
      <c r="N10" s="45" t="b">
        <v>0</v>
      </c>
      <c r="O10" s="45" t="b">
        <v>1</v>
      </c>
      <c r="P10" s="45" t="b">
        <v>1</v>
      </c>
      <c r="Q10" s="45" t="b">
        <v>0</v>
      </c>
      <c r="R10" s="45" t="b">
        <v>0</v>
      </c>
      <c r="S10" s="45" t="b">
        <v>1</v>
      </c>
      <c r="T10" s="45" t="b">
        <v>0</v>
      </c>
      <c r="U10" s="45" t="b">
        <v>0</v>
      </c>
      <c r="V10" s="45" t="b">
        <v>1</v>
      </c>
    </row>
    <row r="11" spans="1:22" x14ac:dyDescent="0.25">
      <c r="D11" s="46" t="s">
        <v>2700</v>
      </c>
      <c r="G11" s="45" t="s">
        <v>2686</v>
      </c>
      <c r="H11" s="45" t="s">
        <v>2749</v>
      </c>
      <c r="I11" s="45" t="b">
        <v>0</v>
      </c>
      <c r="J11" s="45" t="b">
        <v>0</v>
      </c>
      <c r="K11" s="45" t="b">
        <v>0</v>
      </c>
      <c r="L11" s="45" t="b">
        <v>0</v>
      </c>
      <c r="M11" s="45" t="b">
        <v>1</v>
      </c>
      <c r="N11" s="45" t="b">
        <v>0</v>
      </c>
      <c r="O11" s="45" t="b">
        <v>1</v>
      </c>
      <c r="P11" s="45" t="b">
        <v>1</v>
      </c>
      <c r="Q11" s="45" t="b">
        <v>0</v>
      </c>
      <c r="R11" s="45" t="b">
        <v>0</v>
      </c>
      <c r="S11" s="45" t="b">
        <v>1</v>
      </c>
      <c r="T11" s="45" t="b">
        <v>0</v>
      </c>
      <c r="U11" s="45" t="b">
        <v>0</v>
      </c>
      <c r="V11" s="45" t="b">
        <v>1</v>
      </c>
    </row>
    <row r="12" spans="1:22" x14ac:dyDescent="0.25">
      <c r="D12" s="46" t="s">
        <v>2713</v>
      </c>
      <c r="G12" s="45" t="s">
        <v>2686</v>
      </c>
      <c r="H12" s="45" t="s">
        <v>2750</v>
      </c>
      <c r="I12" s="45" t="b">
        <v>0</v>
      </c>
      <c r="J12" s="45" t="b">
        <v>0</v>
      </c>
      <c r="K12" s="45" t="b">
        <v>0</v>
      </c>
      <c r="L12" s="45" t="b">
        <v>0</v>
      </c>
      <c r="M12" s="45" t="b">
        <v>1</v>
      </c>
      <c r="N12" s="45" t="b">
        <v>0</v>
      </c>
      <c r="O12" s="45" t="b">
        <v>1</v>
      </c>
      <c r="P12" s="45" t="b">
        <v>1</v>
      </c>
      <c r="Q12" s="45" t="b">
        <v>0</v>
      </c>
      <c r="R12" s="45" t="b">
        <v>0</v>
      </c>
      <c r="S12" s="45" t="b">
        <v>1</v>
      </c>
      <c r="T12" s="45" t="b">
        <v>0</v>
      </c>
      <c r="U12" s="45" t="b">
        <v>0</v>
      </c>
      <c r="V12" s="45" t="b">
        <v>1</v>
      </c>
    </row>
    <row r="13" spans="1:22" x14ac:dyDescent="0.25">
      <c r="D13" s="46" t="s">
        <v>2595</v>
      </c>
      <c r="G13" s="45" t="s">
        <v>2763</v>
      </c>
      <c r="H13" s="45" t="s">
        <v>2764</v>
      </c>
      <c r="I13" s="45" t="b">
        <v>0</v>
      </c>
      <c r="J13" s="45" t="b">
        <v>0</v>
      </c>
      <c r="K13" s="45" t="b">
        <v>0</v>
      </c>
      <c r="L13" s="45" t="b">
        <v>0</v>
      </c>
      <c r="M13" s="45" t="b">
        <v>1</v>
      </c>
      <c r="N13" s="45" t="b">
        <v>0</v>
      </c>
      <c r="O13" s="45" t="b">
        <v>1</v>
      </c>
      <c r="P13" s="45" t="b">
        <v>1</v>
      </c>
      <c r="Q13" s="45" t="b">
        <v>0</v>
      </c>
      <c r="R13" s="45" t="b">
        <v>0</v>
      </c>
      <c r="S13" s="45" t="b">
        <v>1</v>
      </c>
      <c r="T13" s="45" t="b">
        <v>0</v>
      </c>
      <c r="U13" s="45" t="b">
        <v>0</v>
      </c>
      <c r="V13" s="45" t="b">
        <v>1</v>
      </c>
    </row>
    <row r="14" spans="1:22" x14ac:dyDescent="0.25">
      <c r="D14" s="46" t="s">
        <v>2716</v>
      </c>
      <c r="G14" s="45" t="s">
        <v>2763</v>
      </c>
      <c r="H14" s="45" t="s">
        <v>2764</v>
      </c>
      <c r="I14" s="45" t="b">
        <v>0</v>
      </c>
      <c r="J14" s="45" t="b">
        <v>0</v>
      </c>
      <c r="K14" s="45" t="b">
        <v>0</v>
      </c>
      <c r="L14" s="45" t="b">
        <v>0</v>
      </c>
      <c r="M14" s="45" t="b">
        <v>1</v>
      </c>
      <c r="N14" s="45" t="b">
        <v>0</v>
      </c>
      <c r="O14" s="45" t="b">
        <v>1</v>
      </c>
      <c r="P14" s="45" t="b">
        <v>1</v>
      </c>
      <c r="Q14" s="45" t="b">
        <v>0</v>
      </c>
      <c r="R14" s="45" t="b">
        <v>0</v>
      </c>
      <c r="S14" s="45" t="b">
        <v>1</v>
      </c>
      <c r="T14" s="45" t="b">
        <v>0</v>
      </c>
      <c r="U14" s="45" t="b">
        <v>0</v>
      </c>
      <c r="V14" s="45" t="b">
        <v>1</v>
      </c>
    </row>
    <row r="15" spans="1:22" x14ac:dyDescent="0.25">
      <c r="D15" s="46" t="s">
        <v>2719</v>
      </c>
      <c r="G15" s="45" t="s">
        <v>2763</v>
      </c>
      <c r="H15" s="45" t="s">
        <v>2768</v>
      </c>
      <c r="I15" s="45" t="b">
        <v>0</v>
      </c>
      <c r="J15" s="45" t="b">
        <v>0</v>
      </c>
      <c r="K15" s="45" t="b">
        <v>0</v>
      </c>
      <c r="L15" s="45" t="b">
        <v>0</v>
      </c>
      <c r="M15" s="45" t="b">
        <v>1</v>
      </c>
      <c r="N15" s="45" t="b">
        <v>0</v>
      </c>
      <c r="O15" s="45" t="b">
        <v>1</v>
      </c>
      <c r="P15" s="45" t="b">
        <v>1</v>
      </c>
      <c r="Q15" s="45" t="b">
        <v>0</v>
      </c>
      <c r="R15" s="45" t="b">
        <v>0</v>
      </c>
      <c r="S15" s="45" t="b">
        <v>1</v>
      </c>
      <c r="T15" s="45" t="b">
        <v>0</v>
      </c>
      <c r="U15" s="45" t="b">
        <v>0</v>
      </c>
      <c r="V15" s="45" t="b">
        <v>1</v>
      </c>
    </row>
    <row r="16" spans="1:22" x14ac:dyDescent="0.25">
      <c r="D16" s="46" t="s">
        <v>2596</v>
      </c>
      <c r="G16" s="45" t="s">
        <v>2763</v>
      </c>
      <c r="H16" s="45" t="s">
        <v>2768</v>
      </c>
      <c r="I16" s="45" t="b">
        <v>0</v>
      </c>
      <c r="J16" s="45" t="b">
        <v>0</v>
      </c>
      <c r="K16" s="45" t="b">
        <v>0</v>
      </c>
      <c r="L16" s="45" t="b">
        <v>0</v>
      </c>
      <c r="M16" s="45" t="b">
        <v>1</v>
      </c>
      <c r="N16" s="45" t="b">
        <v>0</v>
      </c>
      <c r="O16" s="45" t="b">
        <v>1</v>
      </c>
      <c r="P16" s="45" t="b">
        <v>1</v>
      </c>
      <c r="Q16" s="45" t="b">
        <v>0</v>
      </c>
      <c r="R16" s="45" t="b">
        <v>0</v>
      </c>
      <c r="S16" s="45" t="b">
        <v>1</v>
      </c>
      <c r="T16" s="45" t="b">
        <v>0</v>
      </c>
      <c r="U16" s="45" t="b">
        <v>0</v>
      </c>
      <c r="V16" s="45" t="b">
        <v>1</v>
      </c>
    </row>
    <row r="17" spans="1:22" x14ac:dyDescent="0.25">
      <c r="D17" s="46" t="s">
        <v>2615</v>
      </c>
      <c r="G17" s="45" t="s">
        <v>2783</v>
      </c>
      <c r="H17" s="45" t="s">
        <v>2784</v>
      </c>
      <c r="I17" s="45" t="b">
        <v>0</v>
      </c>
      <c r="J17" s="45" t="b">
        <v>0</v>
      </c>
      <c r="K17" s="45" t="b">
        <v>0</v>
      </c>
      <c r="L17" s="45" t="b">
        <v>0</v>
      </c>
      <c r="M17" s="45" t="b">
        <v>1</v>
      </c>
      <c r="N17" s="45" t="b">
        <v>0</v>
      </c>
      <c r="O17" s="45" t="b">
        <v>1</v>
      </c>
      <c r="P17" s="45" t="b">
        <v>1</v>
      </c>
      <c r="Q17" s="45" t="b">
        <v>0</v>
      </c>
      <c r="R17" s="45" t="b">
        <v>0</v>
      </c>
      <c r="S17" s="45" t="b">
        <v>1</v>
      </c>
      <c r="T17" s="45" t="b">
        <v>0</v>
      </c>
      <c r="U17" s="45" t="b">
        <v>0</v>
      </c>
      <c r="V17" s="45" t="b">
        <v>1</v>
      </c>
    </row>
    <row r="18" spans="1:22" x14ac:dyDescent="0.25">
      <c r="D18" s="46" t="s">
        <v>2618</v>
      </c>
      <c r="G18" s="45" t="s">
        <v>2783</v>
      </c>
      <c r="H18" s="45" t="s">
        <v>2784</v>
      </c>
      <c r="I18" s="45" t="b">
        <v>0</v>
      </c>
      <c r="J18" s="45" t="b">
        <v>0</v>
      </c>
      <c r="K18" s="45" t="b">
        <v>0</v>
      </c>
      <c r="L18" s="45" t="b">
        <v>0</v>
      </c>
      <c r="M18" s="45" t="b">
        <v>1</v>
      </c>
      <c r="N18" s="45" t="b">
        <v>0</v>
      </c>
      <c r="O18" s="45" t="b">
        <v>1</v>
      </c>
      <c r="P18" s="45" t="b">
        <v>1</v>
      </c>
      <c r="Q18" s="45" t="b">
        <v>0</v>
      </c>
      <c r="R18" s="45" t="b">
        <v>0</v>
      </c>
      <c r="S18" s="45" t="b">
        <v>1</v>
      </c>
      <c r="T18" s="45" t="b">
        <v>0</v>
      </c>
      <c r="U18" s="45" t="b">
        <v>0</v>
      </c>
      <c r="V18" s="45" t="b">
        <v>1</v>
      </c>
    </row>
    <row r="19" spans="1:22" x14ac:dyDescent="0.25">
      <c r="D19" s="46" t="s">
        <v>2621</v>
      </c>
      <c r="G19" s="45" t="s">
        <v>2783</v>
      </c>
      <c r="H19" s="45" t="s">
        <v>2788</v>
      </c>
      <c r="I19" s="45" t="b">
        <v>0</v>
      </c>
      <c r="J19" s="45" t="b">
        <v>0</v>
      </c>
      <c r="K19" s="45" t="b">
        <v>0</v>
      </c>
      <c r="L19" s="45" t="b">
        <v>0</v>
      </c>
      <c r="M19" s="45" t="b">
        <v>1</v>
      </c>
      <c r="N19" s="45" t="b">
        <v>0</v>
      </c>
      <c r="O19" s="45" t="b">
        <v>1</v>
      </c>
      <c r="P19" s="45" t="b">
        <v>1</v>
      </c>
      <c r="Q19" s="45" t="b">
        <v>0</v>
      </c>
      <c r="R19" s="45" t="b">
        <v>0</v>
      </c>
      <c r="S19" s="45" t="b">
        <v>1</v>
      </c>
      <c r="T19" s="45" t="b">
        <v>0</v>
      </c>
      <c r="U19" s="45" t="b">
        <v>0</v>
      </c>
      <c r="V19" s="45" t="b">
        <v>1</v>
      </c>
    </row>
    <row r="20" spans="1:22" x14ac:dyDescent="0.25">
      <c r="D20" s="46" t="s">
        <v>2624</v>
      </c>
      <c r="G20" s="45" t="s">
        <v>2783</v>
      </c>
      <c r="H20" s="45" t="s">
        <v>2788</v>
      </c>
      <c r="I20" s="45" t="b">
        <v>0</v>
      </c>
      <c r="J20" s="45" t="b">
        <v>0</v>
      </c>
      <c r="K20" s="45" t="b">
        <v>0</v>
      </c>
      <c r="L20" s="45" t="b">
        <v>0</v>
      </c>
      <c r="M20" s="45" t="b">
        <v>1</v>
      </c>
      <c r="N20" s="45" t="b">
        <v>0</v>
      </c>
      <c r="O20" s="45" t="b">
        <v>1</v>
      </c>
      <c r="P20" s="45" t="b">
        <v>1</v>
      </c>
      <c r="Q20" s="45" t="b">
        <v>0</v>
      </c>
      <c r="R20" s="45" t="b">
        <v>0</v>
      </c>
      <c r="S20" s="45" t="b">
        <v>1</v>
      </c>
      <c r="T20" s="45" t="b">
        <v>0</v>
      </c>
      <c r="U20" s="45" t="b">
        <v>0</v>
      </c>
      <c r="V20" s="45" t="b">
        <v>1</v>
      </c>
    </row>
    <row r="21" spans="1:22" x14ac:dyDescent="0.25">
      <c r="B21" s="46" t="s">
        <v>2374</v>
      </c>
    </row>
    <row r="22" spans="1:22" x14ac:dyDescent="0.25">
      <c r="A22" s="46" t="s">
        <v>2373</v>
      </c>
    </row>
    <row r="23" spans="1:22" x14ac:dyDescent="0.25">
      <c r="A23" s="46" t="s">
        <v>2476</v>
      </c>
    </row>
  </sheetData>
  <sortState ref="A2:V600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21" location="'!System'!B2" display="'!System'!B2"/>
    <hyperlink ref="A22" location="'|Содержание|'!A1" display="'|Содержание|'!A1"/>
    <hyperlink ref="A23" location="'|Лог|'!A1" display="'|Лог|'!A1"/>
    <hyperlink ref="E2" location="'Ведомость отделки АБК_правила'!E3" display="'Ведомость отделки АБК_правила'!E3"/>
    <hyperlink ref="C3" location="'Ведомость отделки АБК_вед'!C3" display="'Ведомость отделки АБК_вед'!C3"/>
    <hyperlink ref="C4" location="'Изделия_спец.И'!C3" display="'Изделия_спец.И'!C3"/>
    <hyperlink ref="E5" location="'Подпорная1_спец'!E3" display="'Подпорная1_спец'!E3"/>
    <hyperlink ref="E6" location="'Подпорная_спец'!E3" display="'Подпорная_спец'!E3"/>
    <hyperlink ref="E7" location="'Пс9.5_спец'!E3" display="'Пс9.5_спец'!E3"/>
    <hyperlink ref="D8" location="'Пс9.5_об'!D4" display="'Пс9.5_об'!D4"/>
    <hyperlink ref="D9" location="'Пс9.5 '!D4" display="'Пс9.5 '!D4"/>
    <hyperlink ref="D10" location="'Пс9.5_гр'!D4" display="'Пс9.5_гр'!D4"/>
    <hyperlink ref="D11" location="'Пс9.5_кж'!D4" display="'Пс9.5_кж'!D4"/>
    <hyperlink ref="D12" location="'Пс9.5_грс'!D4" display="'Пс9.5_грс'!D4"/>
    <hyperlink ref="D13" location="'Подпорная_об'!D4" display="'Подпорная_об'!D4"/>
    <hyperlink ref="D14" location="'Подпорная '!D4" display="'Подпорная '!D4"/>
    <hyperlink ref="D15" location="'Подпорная_гр'!D4" display="'Подпорная_гр'!D4"/>
    <hyperlink ref="D16" location="'Подпорная_кж'!D4" display="'Подпорная_кж'!D4"/>
    <hyperlink ref="D17" location="'Подпорная1_об'!D4" display="'Подпорная1_об'!D4"/>
    <hyperlink ref="D18" location="'Подпорная1 '!D4" display="'Подпорная1 '!D4"/>
    <hyperlink ref="D19" location="'Подпорная1_гр'!D4" display="'Подпорная1_гр'!D4"/>
    <hyperlink ref="D20" location="'Подпорная1_кж'!D4" display="'Подпорная1_кж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000000" tint="1"/>
  </sheetPr>
  <dimension ref="A1:O1000"/>
  <sheetViews>
    <sheetView topLeftCell="A58" workbookViewId="0">
      <selection activeCell="H90" sqref="H90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8" t="s">
        <v>2632</v>
      </c>
      <c r="B1" s="18" t="s">
        <v>2633</v>
      </c>
      <c r="C1" s="18" t="s">
        <v>2634</v>
      </c>
      <c r="D1" s="18" t="s">
        <v>2370</v>
      </c>
      <c r="E1" s="19" t="s">
        <v>2635</v>
      </c>
      <c r="F1" s="19" t="s">
        <v>2636</v>
      </c>
      <c r="G1" s="19" t="s">
        <v>2637</v>
      </c>
      <c r="H1" s="19" t="s">
        <v>2638</v>
      </c>
      <c r="I1" s="19" t="s">
        <v>2639</v>
      </c>
      <c r="J1" s="19" t="s">
        <v>2640</v>
      </c>
      <c r="K1" s="19" t="s">
        <v>2641</v>
      </c>
      <c r="L1" s="19" t="s">
        <v>2642</v>
      </c>
      <c r="M1" s="19" t="s">
        <v>2643</v>
      </c>
      <c r="N1" s="19" t="s">
        <v>2644</v>
      </c>
      <c r="O1" s="19" t="s">
        <v>2645</v>
      </c>
    </row>
    <row r="2" spans="1:15" ht="15.95" customHeight="1" x14ac:dyDescent="0.25">
      <c r="A2" s="20">
        <v>43475.612256944441</v>
      </c>
      <c r="B2" s="17" t="s">
        <v>2489</v>
      </c>
      <c r="C2" s="17" t="s">
        <v>2629</v>
      </c>
      <c r="D2" s="17"/>
      <c r="E2" s="17">
        <v>1</v>
      </c>
      <c r="F2" s="17">
        <v>3.25</v>
      </c>
      <c r="G2" s="17">
        <v>3.6</v>
      </c>
      <c r="H2" s="17">
        <v>3.9</v>
      </c>
      <c r="I2" s="17">
        <v>0</v>
      </c>
      <c r="J2" s="17" t="b">
        <v>0</v>
      </c>
      <c r="K2" s="17" t="b">
        <v>0</v>
      </c>
      <c r="L2" s="17" t="b">
        <v>0</v>
      </c>
      <c r="M2" s="17" t="b">
        <v>0</v>
      </c>
      <c r="N2" s="17" t="b">
        <v>1</v>
      </c>
      <c r="O2" s="17" t="b">
        <v>0</v>
      </c>
    </row>
    <row r="3" spans="1:15" ht="15.95" customHeight="1" x14ac:dyDescent="0.25">
      <c r="A3" s="20">
        <v>43475.612268518518</v>
      </c>
      <c r="B3" s="17" t="s">
        <v>2489</v>
      </c>
      <c r="C3" s="17" t="s">
        <v>2631</v>
      </c>
      <c r="D3" s="17"/>
      <c r="E3" s="17">
        <v>1</v>
      </c>
      <c r="F3" s="17">
        <v>3.25</v>
      </c>
      <c r="G3" s="17">
        <v>3.6</v>
      </c>
      <c r="H3" s="17">
        <v>3.9</v>
      </c>
      <c r="I3" s="17">
        <v>0</v>
      </c>
      <c r="J3" s="17" t="b">
        <v>0</v>
      </c>
      <c r="K3" s="17" t="b">
        <v>0</v>
      </c>
      <c r="L3" s="17" t="b">
        <v>0</v>
      </c>
      <c r="M3" s="17" t="b">
        <v>0</v>
      </c>
      <c r="N3" s="17" t="b">
        <v>1</v>
      </c>
      <c r="O3" s="17" t="b">
        <v>0</v>
      </c>
    </row>
    <row r="4" spans="1:15" ht="15.95" customHeight="1" x14ac:dyDescent="0.25">
      <c r="A4" s="20">
        <v>43475.612604166665</v>
      </c>
      <c r="B4" s="17" t="s">
        <v>2489</v>
      </c>
      <c r="C4" s="17" t="s">
        <v>2600</v>
      </c>
      <c r="D4" s="17" t="s">
        <v>2601</v>
      </c>
      <c r="E4" s="17" t="s">
        <v>4</v>
      </c>
      <c r="F4" s="17">
        <v>3.25</v>
      </c>
      <c r="G4" s="17">
        <v>3.6</v>
      </c>
      <c r="H4" s="17">
        <v>3.9</v>
      </c>
      <c r="I4" s="17">
        <v>0</v>
      </c>
      <c r="J4" s="17" t="b">
        <v>0</v>
      </c>
      <c r="K4" s="17" t="b">
        <v>0</v>
      </c>
      <c r="L4" s="17" t="b">
        <v>0</v>
      </c>
      <c r="M4" s="17" t="b">
        <v>0</v>
      </c>
      <c r="N4" s="17" t="b">
        <v>1</v>
      </c>
      <c r="O4" s="17" t="b">
        <v>0</v>
      </c>
    </row>
    <row r="5" spans="1:15" ht="15.95" customHeight="1" x14ac:dyDescent="0.25">
      <c r="A5" s="20">
        <v>43475.612615740742</v>
      </c>
      <c r="B5" s="17" t="s">
        <v>2489</v>
      </c>
      <c r="C5" s="17" t="s">
        <v>2527</v>
      </c>
      <c r="D5" s="17" t="s">
        <v>2614</v>
      </c>
      <c r="E5" s="17" t="s">
        <v>2508</v>
      </c>
      <c r="F5" s="17">
        <v>3.25</v>
      </c>
      <c r="G5" s="17">
        <v>3.6</v>
      </c>
      <c r="H5" s="17">
        <v>3.9</v>
      </c>
      <c r="I5" s="17">
        <v>1.3</v>
      </c>
      <c r="J5" s="17" t="b">
        <v>0</v>
      </c>
      <c r="K5" s="17" t="b">
        <v>0</v>
      </c>
      <c r="L5" s="17" t="b">
        <v>0</v>
      </c>
      <c r="M5" s="17" t="b">
        <v>0</v>
      </c>
      <c r="N5" s="17" t="b">
        <v>1</v>
      </c>
      <c r="O5" s="17" t="b">
        <v>0</v>
      </c>
    </row>
    <row r="6" spans="1:15" ht="15.95" customHeight="1" x14ac:dyDescent="0.25">
      <c r="A6" s="20">
        <v>43475.612615740742</v>
      </c>
      <c r="B6" s="17" t="s">
        <v>2489</v>
      </c>
      <c r="C6" s="17" t="s">
        <v>2687</v>
      </c>
      <c r="D6" s="17" t="s">
        <v>2617</v>
      </c>
      <c r="E6" s="17" t="s">
        <v>2508</v>
      </c>
      <c r="F6" s="17">
        <v>3.25</v>
      </c>
      <c r="G6" s="17">
        <v>3.6</v>
      </c>
      <c r="H6" s="17">
        <v>3.9</v>
      </c>
      <c r="I6" s="17">
        <v>1.3</v>
      </c>
      <c r="J6" s="17" t="b">
        <v>0</v>
      </c>
      <c r="K6" s="17" t="b">
        <v>0</v>
      </c>
      <c r="L6" s="17" t="b">
        <v>0</v>
      </c>
      <c r="M6" s="17" t="b">
        <v>0</v>
      </c>
      <c r="N6" s="17" t="b">
        <v>1</v>
      </c>
      <c r="O6" s="17" t="b">
        <v>0</v>
      </c>
    </row>
    <row r="7" spans="1:15" ht="15.95" customHeight="1" x14ac:dyDescent="0.25">
      <c r="A7" s="20">
        <v>43475.612615740742</v>
      </c>
      <c r="B7" s="17" t="s">
        <v>2489</v>
      </c>
      <c r="C7" s="17" t="s">
        <v>2527</v>
      </c>
      <c r="D7" s="17" t="s">
        <v>2372</v>
      </c>
      <c r="E7" s="17" t="s">
        <v>2508</v>
      </c>
      <c r="F7" s="17">
        <v>3.25</v>
      </c>
      <c r="G7" s="17">
        <v>3.6</v>
      </c>
      <c r="H7" s="17">
        <v>3.9</v>
      </c>
      <c r="I7" s="17">
        <v>1.3</v>
      </c>
      <c r="J7" s="17" t="b">
        <v>0</v>
      </c>
      <c r="K7" s="17" t="b">
        <v>0</v>
      </c>
      <c r="L7" s="17" t="b">
        <v>0</v>
      </c>
      <c r="M7" s="17" t="b">
        <v>0</v>
      </c>
      <c r="N7" s="17" t="b">
        <v>1</v>
      </c>
      <c r="O7" s="17" t="b">
        <v>0</v>
      </c>
    </row>
    <row r="8" spans="1:15" ht="15.95" customHeight="1" x14ac:dyDescent="0.25">
      <c r="A8" s="20">
        <v>43475.612627314818</v>
      </c>
      <c r="B8" s="17" t="s">
        <v>2489</v>
      </c>
      <c r="C8" s="17" t="s">
        <v>2690</v>
      </c>
      <c r="D8" s="17" t="s">
        <v>2617</v>
      </c>
      <c r="E8" s="17" t="s">
        <v>2508</v>
      </c>
      <c r="F8" s="17">
        <v>3.25</v>
      </c>
      <c r="G8" s="17">
        <v>3.6</v>
      </c>
      <c r="H8" s="17">
        <v>3.9</v>
      </c>
      <c r="I8" s="17">
        <v>1.3</v>
      </c>
      <c r="J8" s="17" t="b">
        <v>0</v>
      </c>
      <c r="K8" s="17" t="b">
        <v>0</v>
      </c>
      <c r="L8" s="17" t="b">
        <v>0</v>
      </c>
      <c r="M8" s="17" t="b">
        <v>0</v>
      </c>
      <c r="N8" s="17" t="b">
        <v>1</v>
      </c>
      <c r="O8" s="17" t="b">
        <v>0</v>
      </c>
    </row>
    <row r="9" spans="1:15" ht="15.95" customHeight="1" x14ac:dyDescent="0.25">
      <c r="A9" s="20">
        <v>43475.612627314818</v>
      </c>
      <c r="B9" s="17" t="s">
        <v>2489</v>
      </c>
      <c r="C9" s="17"/>
      <c r="D9" s="17" t="s">
        <v>2465</v>
      </c>
      <c r="E9" s="17" t="s">
        <v>2691</v>
      </c>
      <c r="F9" s="17">
        <v>3.25</v>
      </c>
      <c r="G9" s="17">
        <v>3.6</v>
      </c>
      <c r="H9" s="17">
        <v>3.9</v>
      </c>
      <c r="I9" s="17">
        <v>1.3</v>
      </c>
      <c r="J9" s="17" t="b">
        <v>0</v>
      </c>
      <c r="K9" s="17" t="b">
        <v>0</v>
      </c>
      <c r="L9" s="17" t="b">
        <v>0</v>
      </c>
      <c r="M9" s="17" t="b">
        <v>0</v>
      </c>
      <c r="N9" s="17" t="b">
        <v>1</v>
      </c>
      <c r="O9" s="17" t="b">
        <v>0</v>
      </c>
    </row>
    <row r="10" spans="1:15" ht="15.95" customHeight="1" x14ac:dyDescent="0.25">
      <c r="A10" s="20">
        <v>43475.612627314818</v>
      </c>
      <c r="B10" s="17" t="s">
        <v>2489</v>
      </c>
      <c r="C10" s="17" t="s">
        <v>2527</v>
      </c>
      <c r="D10" s="17" t="s">
        <v>2620</v>
      </c>
      <c r="E10" s="17" t="s">
        <v>2508</v>
      </c>
      <c r="F10" s="17">
        <v>3.25</v>
      </c>
      <c r="G10" s="17">
        <v>3.6</v>
      </c>
      <c r="H10" s="17">
        <v>3.9</v>
      </c>
      <c r="I10" s="17">
        <v>1.3</v>
      </c>
      <c r="J10" s="17" t="b">
        <v>0</v>
      </c>
      <c r="K10" s="17" t="b">
        <v>0</v>
      </c>
      <c r="L10" s="17" t="b">
        <v>0</v>
      </c>
      <c r="M10" s="17" t="b">
        <v>0</v>
      </c>
      <c r="N10" s="17" t="b">
        <v>1</v>
      </c>
      <c r="O10" s="17" t="b">
        <v>0</v>
      </c>
    </row>
    <row r="11" spans="1:15" ht="15.95" customHeight="1" x14ac:dyDescent="0.25">
      <c r="A11" s="20">
        <v>43475.612627314818</v>
      </c>
      <c r="B11" s="17" t="s">
        <v>2489</v>
      </c>
      <c r="C11" s="17" t="s">
        <v>2693</v>
      </c>
      <c r="D11" s="17" t="s">
        <v>2617</v>
      </c>
      <c r="E11" s="17" t="s">
        <v>2508</v>
      </c>
      <c r="F11" s="17">
        <v>3.25</v>
      </c>
      <c r="G11" s="17">
        <v>3.6</v>
      </c>
      <c r="H11" s="17">
        <v>3.9</v>
      </c>
      <c r="I11" s="17">
        <v>1.3</v>
      </c>
      <c r="J11" s="17" t="b">
        <v>0</v>
      </c>
      <c r="K11" s="17" t="b">
        <v>0</v>
      </c>
      <c r="L11" s="17" t="b">
        <v>0</v>
      </c>
      <c r="M11" s="17" t="b">
        <v>0</v>
      </c>
      <c r="N11" s="17" t="b">
        <v>1</v>
      </c>
      <c r="O11" s="17" t="b">
        <v>0</v>
      </c>
    </row>
    <row r="12" spans="1:15" ht="15.95" customHeight="1" x14ac:dyDescent="0.25">
      <c r="A12" s="20">
        <v>43475.612627314818</v>
      </c>
      <c r="B12" s="17" t="s">
        <v>2489</v>
      </c>
      <c r="C12" s="17" t="s">
        <v>2527</v>
      </c>
      <c r="D12" s="17" t="s">
        <v>2623</v>
      </c>
      <c r="E12" s="17" t="s">
        <v>2508</v>
      </c>
      <c r="F12" s="17">
        <v>3.25</v>
      </c>
      <c r="G12" s="17">
        <v>3.6</v>
      </c>
      <c r="H12" s="17">
        <v>3.9</v>
      </c>
      <c r="I12" s="17">
        <v>1.3</v>
      </c>
      <c r="J12" s="17" t="b">
        <v>0</v>
      </c>
      <c r="K12" s="17" t="b">
        <v>0</v>
      </c>
      <c r="L12" s="17" t="b">
        <v>0</v>
      </c>
      <c r="M12" s="17" t="b">
        <v>0</v>
      </c>
      <c r="N12" s="17" t="b">
        <v>1</v>
      </c>
      <c r="O12" s="17" t="b">
        <v>0</v>
      </c>
    </row>
    <row r="13" spans="1:15" ht="15.95" customHeight="1" x14ac:dyDescent="0.25">
      <c r="A13" s="20">
        <v>43475.612638888888</v>
      </c>
      <c r="B13" s="17" t="s">
        <v>2489</v>
      </c>
      <c r="C13" s="17" t="s">
        <v>2701</v>
      </c>
      <c r="D13" s="17" t="s">
        <v>2617</v>
      </c>
      <c r="E13" s="17" t="s">
        <v>2508</v>
      </c>
      <c r="F13" s="17">
        <v>3.25</v>
      </c>
      <c r="G13" s="17">
        <v>3.6</v>
      </c>
      <c r="H13" s="17">
        <v>3.9</v>
      </c>
      <c r="I13" s="17">
        <v>1.3</v>
      </c>
      <c r="J13" s="17" t="b">
        <v>0</v>
      </c>
      <c r="K13" s="17" t="b">
        <v>0</v>
      </c>
      <c r="L13" s="17" t="b">
        <v>0</v>
      </c>
      <c r="M13" s="17" t="b">
        <v>0</v>
      </c>
      <c r="N13" s="17" t="b">
        <v>1</v>
      </c>
      <c r="O13" s="17" t="b">
        <v>0</v>
      </c>
    </row>
    <row r="14" spans="1:15" ht="15.95" customHeight="1" x14ac:dyDescent="0.25">
      <c r="A14" s="20">
        <v>43475.612638888888</v>
      </c>
      <c r="B14" s="17" t="s">
        <v>2489</v>
      </c>
      <c r="C14" s="17" t="s">
        <v>2527</v>
      </c>
      <c r="D14" s="17" t="s">
        <v>2628</v>
      </c>
      <c r="E14" s="17" t="s">
        <v>2508</v>
      </c>
      <c r="F14" s="17">
        <v>3.25</v>
      </c>
      <c r="G14" s="17">
        <v>3.6</v>
      </c>
      <c r="H14" s="17">
        <v>3.9</v>
      </c>
      <c r="I14" s="17">
        <v>1.3</v>
      </c>
      <c r="J14" s="17" t="b">
        <v>0</v>
      </c>
      <c r="K14" s="17" t="b">
        <v>0</v>
      </c>
      <c r="L14" s="17" t="b">
        <v>0</v>
      </c>
      <c r="M14" s="17" t="b">
        <v>0</v>
      </c>
      <c r="N14" s="17" t="b">
        <v>1</v>
      </c>
      <c r="O14" s="17" t="b">
        <v>0</v>
      </c>
    </row>
    <row r="15" spans="1:15" ht="15.95" customHeight="1" x14ac:dyDescent="0.25">
      <c r="A15" s="20">
        <v>43475.612638888888</v>
      </c>
      <c r="B15" s="17" t="s">
        <v>2489</v>
      </c>
      <c r="C15" s="17" t="s">
        <v>2714</v>
      </c>
      <c r="D15" s="17" t="s">
        <v>2617</v>
      </c>
      <c r="E15" s="17" t="s">
        <v>2508</v>
      </c>
      <c r="F15" s="17">
        <v>3.25</v>
      </c>
      <c r="G15" s="17">
        <v>3.6</v>
      </c>
      <c r="H15" s="17">
        <v>3.9</v>
      </c>
      <c r="I15" s="17">
        <v>1.3</v>
      </c>
      <c r="J15" s="17" t="b">
        <v>0</v>
      </c>
      <c r="K15" s="17" t="b">
        <v>0</v>
      </c>
      <c r="L15" s="17" t="b">
        <v>0</v>
      </c>
      <c r="M15" s="17" t="b">
        <v>0</v>
      </c>
      <c r="N15" s="17" t="b">
        <v>1</v>
      </c>
      <c r="O15" s="17" t="b">
        <v>0</v>
      </c>
    </row>
    <row r="16" spans="1:15" ht="15.95" customHeight="1" x14ac:dyDescent="0.25">
      <c r="A16" s="20">
        <v>43475.612650462965</v>
      </c>
      <c r="B16" s="17" t="s">
        <v>2489</v>
      </c>
      <c r="C16" s="17" t="s">
        <v>2456</v>
      </c>
      <c r="D16" s="17" t="s">
        <v>2614</v>
      </c>
      <c r="E16" s="17" t="s">
        <v>2508</v>
      </c>
      <c r="F16" s="17">
        <v>3.25</v>
      </c>
      <c r="G16" s="17">
        <v>3.6</v>
      </c>
      <c r="H16" s="17">
        <v>3.9</v>
      </c>
      <c r="I16" s="17">
        <v>1.3</v>
      </c>
      <c r="J16" s="17" t="b">
        <v>0</v>
      </c>
      <c r="K16" s="17" t="b">
        <v>0</v>
      </c>
      <c r="L16" s="17" t="b">
        <v>0</v>
      </c>
      <c r="M16" s="17" t="b">
        <v>0</v>
      </c>
      <c r="N16" s="17" t="b">
        <v>1</v>
      </c>
      <c r="O16" s="17" t="b">
        <v>0</v>
      </c>
    </row>
    <row r="17" spans="1:15" ht="15.95" customHeight="1" x14ac:dyDescent="0.25">
      <c r="A17" s="20">
        <v>43475.612650462965</v>
      </c>
      <c r="B17" s="17" t="s">
        <v>2489</v>
      </c>
      <c r="C17" s="17" t="s">
        <v>2715</v>
      </c>
      <c r="D17" s="17" t="s">
        <v>2617</v>
      </c>
      <c r="E17" s="17" t="s">
        <v>2508</v>
      </c>
      <c r="F17" s="17">
        <v>3.25</v>
      </c>
      <c r="G17" s="17">
        <v>3.6</v>
      </c>
      <c r="H17" s="17">
        <v>3.9</v>
      </c>
      <c r="I17" s="17">
        <v>1.3</v>
      </c>
      <c r="J17" s="17" t="b">
        <v>0</v>
      </c>
      <c r="K17" s="17" t="b">
        <v>0</v>
      </c>
      <c r="L17" s="17" t="b">
        <v>0</v>
      </c>
      <c r="M17" s="17" t="b">
        <v>0</v>
      </c>
      <c r="N17" s="17" t="b">
        <v>1</v>
      </c>
      <c r="O17" s="17" t="b">
        <v>0</v>
      </c>
    </row>
    <row r="18" spans="1:15" ht="15.95" customHeight="1" x14ac:dyDescent="0.25">
      <c r="A18" s="20">
        <v>43475.612650462965</v>
      </c>
      <c r="B18" s="17" t="s">
        <v>2489</v>
      </c>
      <c r="C18" s="17" t="s">
        <v>2456</v>
      </c>
      <c r="D18" s="17" t="s">
        <v>2372</v>
      </c>
      <c r="E18" s="17" t="s">
        <v>2508</v>
      </c>
      <c r="F18" s="17">
        <v>3.25</v>
      </c>
      <c r="G18" s="17">
        <v>3.6</v>
      </c>
      <c r="H18" s="17">
        <v>3.9</v>
      </c>
      <c r="I18" s="17">
        <v>1.3</v>
      </c>
      <c r="J18" s="17" t="b">
        <v>0</v>
      </c>
      <c r="K18" s="17" t="b">
        <v>0</v>
      </c>
      <c r="L18" s="17" t="b">
        <v>0</v>
      </c>
      <c r="M18" s="17" t="b">
        <v>0</v>
      </c>
      <c r="N18" s="17" t="b">
        <v>1</v>
      </c>
      <c r="O18" s="17" t="b">
        <v>0</v>
      </c>
    </row>
    <row r="19" spans="1:15" ht="15.95" customHeight="1" x14ac:dyDescent="0.25">
      <c r="A19" s="20">
        <v>43475.612650462965</v>
      </c>
      <c r="B19" s="17" t="s">
        <v>2489</v>
      </c>
      <c r="C19" s="17" t="s">
        <v>2717</v>
      </c>
      <c r="D19" s="17" t="s">
        <v>2617</v>
      </c>
      <c r="E19" s="17" t="s">
        <v>2508</v>
      </c>
      <c r="F19" s="17">
        <v>3.25</v>
      </c>
      <c r="G19" s="17">
        <v>3.6</v>
      </c>
      <c r="H19" s="17">
        <v>3.9</v>
      </c>
      <c r="I19" s="17">
        <v>1.3</v>
      </c>
      <c r="J19" s="17" t="b">
        <v>0</v>
      </c>
      <c r="K19" s="17" t="b">
        <v>0</v>
      </c>
      <c r="L19" s="17" t="b">
        <v>0</v>
      </c>
      <c r="M19" s="17" t="b">
        <v>0</v>
      </c>
      <c r="N19" s="17" t="b">
        <v>1</v>
      </c>
      <c r="O19" s="17" t="b">
        <v>0</v>
      </c>
    </row>
    <row r="20" spans="1:15" ht="15.95" customHeight="1" x14ac:dyDescent="0.25">
      <c r="A20" s="20">
        <v>43475.612662037034</v>
      </c>
      <c r="B20" s="17" t="s">
        <v>2489</v>
      </c>
      <c r="C20" s="17"/>
      <c r="D20" s="17" t="s">
        <v>2465</v>
      </c>
      <c r="E20" s="17" t="s">
        <v>2718</v>
      </c>
      <c r="F20" s="17">
        <v>3.25</v>
      </c>
      <c r="G20" s="17">
        <v>3.6</v>
      </c>
      <c r="H20" s="17">
        <v>3.9</v>
      </c>
      <c r="I20" s="17">
        <v>1.3</v>
      </c>
      <c r="J20" s="17" t="b">
        <v>0</v>
      </c>
      <c r="K20" s="17" t="b">
        <v>0</v>
      </c>
      <c r="L20" s="17" t="b">
        <v>0</v>
      </c>
      <c r="M20" s="17" t="b">
        <v>0</v>
      </c>
      <c r="N20" s="17" t="b">
        <v>1</v>
      </c>
      <c r="O20" s="17" t="b">
        <v>0</v>
      </c>
    </row>
    <row r="21" spans="1:15" ht="15.95" customHeight="1" x14ac:dyDescent="0.25">
      <c r="A21" s="20">
        <v>43475.612662037034</v>
      </c>
      <c r="B21" s="17" t="s">
        <v>2489</v>
      </c>
      <c r="C21" s="17" t="s">
        <v>2456</v>
      </c>
      <c r="D21" s="17" t="s">
        <v>2620</v>
      </c>
      <c r="E21" s="17" t="s">
        <v>2508</v>
      </c>
      <c r="F21" s="17">
        <v>3.25</v>
      </c>
      <c r="G21" s="17">
        <v>3.6</v>
      </c>
      <c r="H21" s="17">
        <v>3.9</v>
      </c>
      <c r="I21" s="17">
        <v>1.3</v>
      </c>
      <c r="J21" s="17" t="b">
        <v>0</v>
      </c>
      <c r="K21" s="17" t="b">
        <v>0</v>
      </c>
      <c r="L21" s="17" t="b">
        <v>0</v>
      </c>
      <c r="M21" s="17" t="b">
        <v>0</v>
      </c>
      <c r="N21" s="17" t="b">
        <v>1</v>
      </c>
      <c r="O21" s="17" t="b">
        <v>0</v>
      </c>
    </row>
    <row r="22" spans="1:15" ht="15.95" customHeight="1" x14ac:dyDescent="0.25">
      <c r="A22" s="20">
        <v>43475.612662037034</v>
      </c>
      <c r="B22" s="17" t="s">
        <v>2489</v>
      </c>
      <c r="C22" s="17" t="s">
        <v>2720</v>
      </c>
      <c r="D22" s="17" t="s">
        <v>2617</v>
      </c>
      <c r="E22" s="17" t="s">
        <v>2508</v>
      </c>
      <c r="F22" s="17">
        <v>3.25</v>
      </c>
      <c r="G22" s="17">
        <v>3.6</v>
      </c>
      <c r="H22" s="17">
        <v>3.9</v>
      </c>
      <c r="I22" s="17">
        <v>1.3</v>
      </c>
      <c r="J22" s="17" t="b">
        <v>0</v>
      </c>
      <c r="K22" s="17" t="b">
        <v>0</v>
      </c>
      <c r="L22" s="17" t="b">
        <v>0</v>
      </c>
      <c r="M22" s="17" t="b">
        <v>0</v>
      </c>
      <c r="N22" s="17" t="b">
        <v>1</v>
      </c>
      <c r="O22" s="17" t="b">
        <v>0</v>
      </c>
    </row>
    <row r="23" spans="1:15" ht="15.95" customHeight="1" x14ac:dyDescent="0.25">
      <c r="A23" s="20">
        <v>43475.612662037034</v>
      </c>
      <c r="B23" s="17" t="s">
        <v>2489</v>
      </c>
      <c r="C23" s="17" t="s">
        <v>2456</v>
      </c>
      <c r="D23" s="17" t="s">
        <v>2623</v>
      </c>
      <c r="E23" s="17" t="s">
        <v>2508</v>
      </c>
      <c r="F23" s="17">
        <v>3.25</v>
      </c>
      <c r="G23" s="17">
        <v>3.6</v>
      </c>
      <c r="H23" s="17">
        <v>3.9</v>
      </c>
      <c r="I23" s="17">
        <v>1.3</v>
      </c>
      <c r="J23" s="17" t="b">
        <v>0</v>
      </c>
      <c r="K23" s="17" t="b">
        <v>0</v>
      </c>
      <c r="L23" s="17" t="b">
        <v>0</v>
      </c>
      <c r="M23" s="17" t="b">
        <v>0</v>
      </c>
      <c r="N23" s="17" t="b">
        <v>1</v>
      </c>
      <c r="O23" s="17" t="b">
        <v>0</v>
      </c>
    </row>
    <row r="24" spans="1:15" ht="15.95" customHeight="1" x14ac:dyDescent="0.25">
      <c r="A24" s="20">
        <v>43475.612662037034</v>
      </c>
      <c r="B24" s="17" t="s">
        <v>2489</v>
      </c>
      <c r="C24" s="17" t="s">
        <v>2721</v>
      </c>
      <c r="D24" s="17" t="s">
        <v>2617</v>
      </c>
      <c r="E24" s="17" t="s">
        <v>2508</v>
      </c>
      <c r="F24" s="17">
        <v>3.25</v>
      </c>
      <c r="G24" s="17">
        <v>3.6</v>
      </c>
      <c r="H24" s="17">
        <v>3.9</v>
      </c>
      <c r="I24" s="17">
        <v>1.3</v>
      </c>
      <c r="J24" s="17" t="b">
        <v>0</v>
      </c>
      <c r="K24" s="17" t="b">
        <v>0</v>
      </c>
      <c r="L24" s="17" t="b">
        <v>0</v>
      </c>
      <c r="M24" s="17" t="b">
        <v>0</v>
      </c>
      <c r="N24" s="17" t="b">
        <v>1</v>
      </c>
      <c r="O24" s="17" t="b">
        <v>0</v>
      </c>
    </row>
    <row r="25" spans="1:15" ht="15.95" customHeight="1" x14ac:dyDescent="0.25">
      <c r="A25" s="20">
        <v>43475.612708333334</v>
      </c>
      <c r="B25" s="17" t="s">
        <v>2489</v>
      </c>
      <c r="C25" s="17" t="s">
        <v>2626</v>
      </c>
      <c r="D25" s="17"/>
      <c r="E25" s="17" t="s">
        <v>2627</v>
      </c>
      <c r="F25" s="17">
        <v>3.25</v>
      </c>
      <c r="G25" s="17">
        <v>3.6</v>
      </c>
      <c r="H25" s="17">
        <v>3.9</v>
      </c>
      <c r="I25" s="17">
        <v>1.3</v>
      </c>
      <c r="J25" s="17" t="b">
        <v>0</v>
      </c>
      <c r="K25" s="17" t="b">
        <v>0</v>
      </c>
      <c r="L25" s="17" t="b">
        <v>0</v>
      </c>
      <c r="M25" s="17" t="b">
        <v>0</v>
      </c>
      <c r="N25" s="17" t="b">
        <v>1</v>
      </c>
      <c r="O25" s="17" t="b">
        <v>0</v>
      </c>
    </row>
    <row r="26" spans="1:15" ht="15.95" customHeight="1" x14ac:dyDescent="0.25">
      <c r="A26" s="20">
        <v>43475.612708333334</v>
      </c>
      <c r="B26" s="17" t="s">
        <v>2489</v>
      </c>
      <c r="C26" s="17" t="s">
        <v>2456</v>
      </c>
      <c r="D26" s="17" t="s">
        <v>2628</v>
      </c>
      <c r="E26" s="17" t="s">
        <v>2567</v>
      </c>
      <c r="F26" s="17">
        <v>3.25</v>
      </c>
      <c r="G26" s="17">
        <v>3.6</v>
      </c>
      <c r="H26" s="17">
        <v>3.9</v>
      </c>
      <c r="I26" s="17">
        <v>1.3</v>
      </c>
      <c r="J26" s="17" t="b">
        <v>0</v>
      </c>
      <c r="K26" s="17" t="b">
        <v>0</v>
      </c>
      <c r="L26" s="17" t="b">
        <v>0</v>
      </c>
      <c r="M26" s="17" t="b">
        <v>0</v>
      </c>
      <c r="N26" s="17" t="b">
        <v>1</v>
      </c>
      <c r="O26" s="17" t="b">
        <v>0</v>
      </c>
    </row>
    <row r="27" spans="1:15" ht="15.95" customHeight="1" x14ac:dyDescent="0.25">
      <c r="A27" s="20">
        <v>43475.612708333334</v>
      </c>
      <c r="B27" s="17" t="s">
        <v>2489</v>
      </c>
      <c r="C27" s="17" t="s">
        <v>2599</v>
      </c>
      <c r="D27" s="17" t="s">
        <v>2614</v>
      </c>
      <c r="E27" s="17" t="s">
        <v>2508</v>
      </c>
      <c r="F27" s="17">
        <v>3.25</v>
      </c>
      <c r="G27" s="17">
        <v>3.6</v>
      </c>
      <c r="H27" s="17">
        <v>3.9</v>
      </c>
      <c r="I27" s="17">
        <v>1.3</v>
      </c>
      <c r="J27" s="17" t="b">
        <v>0</v>
      </c>
      <c r="K27" s="17" t="b">
        <v>0</v>
      </c>
      <c r="L27" s="17" t="b">
        <v>0</v>
      </c>
      <c r="M27" s="17" t="b">
        <v>0</v>
      </c>
      <c r="N27" s="17" t="b">
        <v>1</v>
      </c>
      <c r="O27" s="17" t="b">
        <v>0</v>
      </c>
    </row>
    <row r="28" spans="1:15" ht="15.95" customHeight="1" x14ac:dyDescent="0.25">
      <c r="A28" s="20">
        <v>43475.612719907411</v>
      </c>
      <c r="B28" s="17" t="s">
        <v>2489</v>
      </c>
      <c r="C28" s="17" t="s">
        <v>2722</v>
      </c>
      <c r="D28" s="17" t="s">
        <v>2617</v>
      </c>
      <c r="E28" s="17" t="s">
        <v>2508</v>
      </c>
      <c r="F28" s="17">
        <v>3.25</v>
      </c>
      <c r="G28" s="17">
        <v>3.6</v>
      </c>
      <c r="H28" s="17">
        <v>3.9</v>
      </c>
      <c r="I28" s="17">
        <v>1.3</v>
      </c>
      <c r="J28" s="17" t="b">
        <v>0</v>
      </c>
      <c r="K28" s="17" t="b">
        <v>0</v>
      </c>
      <c r="L28" s="17" t="b">
        <v>0</v>
      </c>
      <c r="M28" s="17" t="b">
        <v>0</v>
      </c>
      <c r="N28" s="17" t="b">
        <v>1</v>
      </c>
      <c r="O28" s="17" t="b">
        <v>0</v>
      </c>
    </row>
    <row r="29" spans="1:15" ht="15.95" customHeight="1" x14ac:dyDescent="0.25">
      <c r="A29" s="20">
        <v>43475.612719907411</v>
      </c>
      <c r="B29" s="17" t="s">
        <v>2489</v>
      </c>
      <c r="C29" s="17" t="s">
        <v>2599</v>
      </c>
      <c r="D29" s="17" t="s">
        <v>2372</v>
      </c>
      <c r="E29" s="17" t="s">
        <v>2508</v>
      </c>
      <c r="F29" s="17">
        <v>3.25</v>
      </c>
      <c r="G29" s="17">
        <v>3.6</v>
      </c>
      <c r="H29" s="17">
        <v>3.9</v>
      </c>
      <c r="I29" s="17">
        <v>1.3</v>
      </c>
      <c r="J29" s="17" t="b">
        <v>0</v>
      </c>
      <c r="K29" s="17" t="b">
        <v>0</v>
      </c>
      <c r="L29" s="17" t="b">
        <v>0</v>
      </c>
      <c r="M29" s="17" t="b">
        <v>0</v>
      </c>
      <c r="N29" s="17" t="b">
        <v>1</v>
      </c>
      <c r="O29" s="17" t="b">
        <v>0</v>
      </c>
    </row>
    <row r="30" spans="1:15" ht="15.95" customHeight="1" x14ac:dyDescent="0.25">
      <c r="A30" s="20">
        <v>43475.612719907411</v>
      </c>
      <c r="B30" s="17" t="s">
        <v>2489</v>
      </c>
      <c r="C30" s="17" t="s">
        <v>2723</v>
      </c>
      <c r="D30" s="17" t="s">
        <v>2617</v>
      </c>
      <c r="E30" s="17" t="s">
        <v>2508</v>
      </c>
      <c r="F30" s="17">
        <v>3.25</v>
      </c>
      <c r="G30" s="17">
        <v>3.6</v>
      </c>
      <c r="H30" s="17">
        <v>3.9</v>
      </c>
      <c r="I30" s="17">
        <v>1.3</v>
      </c>
      <c r="J30" s="17" t="b">
        <v>0</v>
      </c>
      <c r="K30" s="17" t="b">
        <v>0</v>
      </c>
      <c r="L30" s="17" t="b">
        <v>0</v>
      </c>
      <c r="M30" s="17" t="b">
        <v>0</v>
      </c>
      <c r="N30" s="17" t="b">
        <v>1</v>
      </c>
      <c r="O30" s="17" t="b">
        <v>0</v>
      </c>
    </row>
    <row r="31" spans="1:15" ht="15.95" customHeight="1" x14ac:dyDescent="0.25">
      <c r="A31" s="20">
        <v>43475.612719907411</v>
      </c>
      <c r="B31" s="17" t="s">
        <v>2489</v>
      </c>
      <c r="C31" s="17"/>
      <c r="D31" s="17" t="s">
        <v>2465</v>
      </c>
      <c r="E31" s="17" t="s">
        <v>2718</v>
      </c>
      <c r="F31" s="17">
        <v>3.25</v>
      </c>
      <c r="G31" s="17">
        <v>3.6</v>
      </c>
      <c r="H31" s="17">
        <v>3.9</v>
      </c>
      <c r="I31" s="17">
        <v>1.3</v>
      </c>
      <c r="J31" s="17" t="b">
        <v>0</v>
      </c>
      <c r="K31" s="17" t="b">
        <v>0</v>
      </c>
      <c r="L31" s="17" t="b">
        <v>0</v>
      </c>
      <c r="M31" s="17" t="b">
        <v>0</v>
      </c>
      <c r="N31" s="17" t="b">
        <v>1</v>
      </c>
      <c r="O31" s="17" t="b">
        <v>0</v>
      </c>
    </row>
    <row r="32" spans="1:15" ht="15.95" customHeight="1" x14ac:dyDescent="0.25">
      <c r="A32" s="20">
        <v>43475.612719907411</v>
      </c>
      <c r="B32" s="17" t="s">
        <v>2489</v>
      </c>
      <c r="C32" s="17" t="s">
        <v>2599</v>
      </c>
      <c r="D32" s="17" t="s">
        <v>2620</v>
      </c>
      <c r="E32" s="17" t="s">
        <v>2508</v>
      </c>
      <c r="F32" s="17">
        <v>3.25</v>
      </c>
      <c r="G32" s="17">
        <v>3.6</v>
      </c>
      <c r="H32" s="17">
        <v>3.9</v>
      </c>
      <c r="I32" s="17">
        <v>1.3</v>
      </c>
      <c r="J32" s="17" t="b">
        <v>0</v>
      </c>
      <c r="K32" s="17" t="b">
        <v>0</v>
      </c>
      <c r="L32" s="17" t="b">
        <v>0</v>
      </c>
      <c r="M32" s="17" t="b">
        <v>0</v>
      </c>
      <c r="N32" s="17" t="b">
        <v>1</v>
      </c>
      <c r="O32" s="17" t="b">
        <v>0</v>
      </c>
    </row>
    <row r="33" spans="1:15" ht="15.95" customHeight="1" x14ac:dyDescent="0.25">
      <c r="A33" s="20">
        <v>43475.612719907411</v>
      </c>
      <c r="B33" s="17" t="s">
        <v>2489</v>
      </c>
      <c r="C33" s="17" t="s">
        <v>2724</v>
      </c>
      <c r="D33" s="17" t="s">
        <v>2617</v>
      </c>
      <c r="E33" s="17" t="s">
        <v>2508</v>
      </c>
      <c r="F33" s="17">
        <v>3.25</v>
      </c>
      <c r="G33" s="17">
        <v>3.6</v>
      </c>
      <c r="H33" s="17">
        <v>3.9</v>
      </c>
      <c r="I33" s="17">
        <v>1.3</v>
      </c>
      <c r="J33" s="17" t="b">
        <v>0</v>
      </c>
      <c r="K33" s="17" t="b">
        <v>0</v>
      </c>
      <c r="L33" s="17" t="b">
        <v>0</v>
      </c>
      <c r="M33" s="17" t="b">
        <v>0</v>
      </c>
      <c r="N33" s="17" t="b">
        <v>1</v>
      </c>
      <c r="O33" s="17" t="b">
        <v>0</v>
      </c>
    </row>
    <row r="34" spans="1:15" ht="15.95" customHeight="1" x14ac:dyDescent="0.25">
      <c r="A34" s="20">
        <v>43475.61273148148</v>
      </c>
      <c r="B34" s="17" t="s">
        <v>2489</v>
      </c>
      <c r="C34" s="17" t="s">
        <v>2599</v>
      </c>
      <c r="D34" s="17" t="s">
        <v>2623</v>
      </c>
      <c r="E34" s="17" t="s">
        <v>2508</v>
      </c>
      <c r="F34" s="17">
        <v>3.25</v>
      </c>
      <c r="G34" s="17">
        <v>3.6</v>
      </c>
      <c r="H34" s="17">
        <v>3.9</v>
      </c>
      <c r="I34" s="17">
        <v>1.3</v>
      </c>
      <c r="J34" s="17" t="b">
        <v>0</v>
      </c>
      <c r="K34" s="17" t="b">
        <v>0</v>
      </c>
      <c r="L34" s="17" t="b">
        <v>0</v>
      </c>
      <c r="M34" s="17" t="b">
        <v>0</v>
      </c>
      <c r="N34" s="17" t="b">
        <v>1</v>
      </c>
      <c r="O34" s="17" t="b">
        <v>0</v>
      </c>
    </row>
    <row r="35" spans="1:15" ht="15.95" customHeight="1" x14ac:dyDescent="0.25">
      <c r="A35" s="20">
        <v>43475.61273148148</v>
      </c>
      <c r="B35" s="17" t="s">
        <v>2489</v>
      </c>
      <c r="C35" s="17" t="s">
        <v>2725</v>
      </c>
      <c r="D35" s="17" t="s">
        <v>2617</v>
      </c>
      <c r="E35" s="17" t="s">
        <v>2508</v>
      </c>
      <c r="F35" s="17">
        <v>3.25</v>
      </c>
      <c r="G35" s="17">
        <v>3.6</v>
      </c>
      <c r="H35" s="17">
        <v>3.9</v>
      </c>
      <c r="I35" s="17">
        <v>1.3</v>
      </c>
      <c r="J35" s="17" t="b">
        <v>0</v>
      </c>
      <c r="K35" s="17" t="b">
        <v>0</v>
      </c>
      <c r="L35" s="17" t="b">
        <v>0</v>
      </c>
      <c r="M35" s="17" t="b">
        <v>0</v>
      </c>
      <c r="N35" s="17" t="b">
        <v>1</v>
      </c>
      <c r="O35" s="17" t="b">
        <v>0</v>
      </c>
    </row>
    <row r="36" spans="1:15" ht="15.95" customHeight="1" x14ac:dyDescent="0.25">
      <c r="A36" s="20">
        <v>43475.612743055557</v>
      </c>
      <c r="B36" s="17" t="s">
        <v>2489</v>
      </c>
      <c r="C36" s="17" t="s">
        <v>2626</v>
      </c>
      <c r="D36" s="17"/>
      <c r="E36" s="17" t="s">
        <v>2627</v>
      </c>
      <c r="F36" s="17">
        <v>3.25</v>
      </c>
      <c r="G36" s="17">
        <v>3.6</v>
      </c>
      <c r="H36" s="17">
        <v>3.9</v>
      </c>
      <c r="I36" s="17">
        <v>1.3</v>
      </c>
      <c r="J36" s="17" t="b">
        <v>0</v>
      </c>
      <c r="K36" s="17" t="b">
        <v>0</v>
      </c>
      <c r="L36" s="17" t="b">
        <v>0</v>
      </c>
      <c r="M36" s="17" t="b">
        <v>0</v>
      </c>
      <c r="N36" s="17" t="b">
        <v>1</v>
      </c>
      <c r="O36" s="17" t="b">
        <v>0</v>
      </c>
    </row>
    <row r="37" spans="1:15" ht="15.95" customHeight="1" x14ac:dyDescent="0.25">
      <c r="A37" s="20">
        <v>43475.612743055557</v>
      </c>
      <c r="B37" s="17" t="s">
        <v>2489</v>
      </c>
      <c r="C37" s="17" t="s">
        <v>2599</v>
      </c>
      <c r="D37" s="17" t="s">
        <v>2628</v>
      </c>
      <c r="E37" s="17" t="s">
        <v>2567</v>
      </c>
      <c r="F37" s="17">
        <v>3.25</v>
      </c>
      <c r="G37" s="17">
        <v>3.6</v>
      </c>
      <c r="H37" s="17">
        <v>3.9</v>
      </c>
      <c r="I37" s="17">
        <v>1.3</v>
      </c>
      <c r="J37" s="17" t="b">
        <v>0</v>
      </c>
      <c r="K37" s="17" t="b">
        <v>0</v>
      </c>
      <c r="L37" s="17" t="b">
        <v>0</v>
      </c>
      <c r="M37" s="17" t="b">
        <v>0</v>
      </c>
      <c r="N37" s="17" t="b">
        <v>1</v>
      </c>
      <c r="O37" s="17" t="b">
        <v>0</v>
      </c>
    </row>
    <row r="38" spans="1:15" ht="15.95" customHeight="1" x14ac:dyDescent="0.25">
      <c r="A38" s="20">
        <v>43475.612743055557</v>
      </c>
      <c r="B38" s="17" t="s">
        <v>2489</v>
      </c>
      <c r="C38" s="17" t="s">
        <v>2600</v>
      </c>
      <c r="D38" s="17" t="s">
        <v>2726</v>
      </c>
      <c r="E38" s="17">
        <v>15</v>
      </c>
      <c r="F38" s="17">
        <v>3.25</v>
      </c>
      <c r="G38" s="17">
        <v>3.6</v>
      </c>
      <c r="H38" s="17">
        <v>3.9</v>
      </c>
      <c r="I38" s="17">
        <v>1.3</v>
      </c>
      <c r="J38" s="17" t="b">
        <v>0</v>
      </c>
      <c r="K38" s="17" t="b">
        <v>0</v>
      </c>
      <c r="L38" s="17" t="b">
        <v>0</v>
      </c>
      <c r="M38" s="17" t="b">
        <v>0</v>
      </c>
      <c r="N38" s="17" t="b">
        <v>1</v>
      </c>
      <c r="O38" s="17" t="b">
        <v>0</v>
      </c>
    </row>
    <row r="39" spans="1:15" ht="15.95" customHeight="1" x14ac:dyDescent="0.25">
      <c r="A39" s="20">
        <v>43475.612847222219</v>
      </c>
      <c r="B39" s="17" t="s">
        <v>2489</v>
      </c>
      <c r="C39" s="17" t="s">
        <v>2629</v>
      </c>
      <c r="D39" s="17"/>
      <c r="E39" s="17">
        <v>1</v>
      </c>
      <c r="F39" s="17">
        <v>3.25</v>
      </c>
      <c r="G39" s="17">
        <v>3.6</v>
      </c>
      <c r="H39" s="17">
        <v>3.9</v>
      </c>
      <c r="I39" s="17">
        <v>1.3</v>
      </c>
      <c r="J39" s="17" t="b">
        <v>0</v>
      </c>
      <c r="K39" s="17" t="b">
        <v>0</v>
      </c>
      <c r="L39" s="17" t="b">
        <v>0</v>
      </c>
      <c r="M39" s="17" t="b">
        <v>0</v>
      </c>
      <c r="N39" s="17" t="b">
        <v>1</v>
      </c>
      <c r="O39" s="17" t="b">
        <v>0</v>
      </c>
    </row>
    <row r="40" spans="1:15" ht="15.95" customHeight="1" x14ac:dyDescent="0.25">
      <c r="A40" s="20">
        <v>43475.612847222219</v>
      </c>
      <c r="B40" s="17" t="s">
        <v>2489</v>
      </c>
      <c r="C40" s="17" t="s">
        <v>2597</v>
      </c>
      <c r="D40" s="17"/>
      <c r="E40" s="17" t="s">
        <v>2630</v>
      </c>
      <c r="F40" s="17">
        <v>3.25</v>
      </c>
      <c r="G40" s="17">
        <v>3.6</v>
      </c>
      <c r="H40" s="17">
        <v>3.9</v>
      </c>
      <c r="I40" s="17">
        <v>1.3</v>
      </c>
      <c r="J40" s="17" t="b">
        <v>0</v>
      </c>
      <c r="K40" s="17" t="b">
        <v>0</v>
      </c>
      <c r="L40" s="17" t="b">
        <v>0</v>
      </c>
      <c r="M40" s="17" t="b">
        <v>0</v>
      </c>
      <c r="N40" s="17" t="b">
        <v>1</v>
      </c>
      <c r="O40" s="17" t="b">
        <v>0</v>
      </c>
    </row>
    <row r="41" spans="1:15" ht="15.95" customHeight="1" x14ac:dyDescent="0.25">
      <c r="A41" s="20">
        <v>43475.612847222219</v>
      </c>
      <c r="B41" s="17" t="s">
        <v>2489</v>
      </c>
      <c r="C41" s="17" t="s">
        <v>2689</v>
      </c>
      <c r="D41" s="17"/>
      <c r="E41" s="17" t="s">
        <v>2630</v>
      </c>
      <c r="F41" s="17">
        <v>3.25</v>
      </c>
      <c r="G41" s="17">
        <v>3.6</v>
      </c>
      <c r="H41" s="17">
        <v>3.9</v>
      </c>
      <c r="I41" s="17">
        <v>1.3</v>
      </c>
      <c r="J41" s="17" t="b">
        <v>0</v>
      </c>
      <c r="K41" s="17" t="b">
        <v>0</v>
      </c>
      <c r="L41" s="17" t="b">
        <v>0</v>
      </c>
      <c r="M41" s="17" t="b">
        <v>0</v>
      </c>
      <c r="N41" s="17" t="b">
        <v>1</v>
      </c>
      <c r="O41" s="17" t="b">
        <v>0</v>
      </c>
    </row>
    <row r="42" spans="1:15" ht="15.95" customHeight="1" x14ac:dyDescent="0.25">
      <c r="A42" s="20">
        <v>43475.612847222219</v>
      </c>
      <c r="B42" s="17" t="s">
        <v>2489</v>
      </c>
      <c r="C42" s="17" t="s">
        <v>2692</v>
      </c>
      <c r="D42" s="17"/>
      <c r="E42" s="17" t="s">
        <v>2630</v>
      </c>
      <c r="F42" s="17">
        <v>3.25</v>
      </c>
      <c r="G42" s="17">
        <v>3.6</v>
      </c>
      <c r="H42" s="17">
        <v>3.9</v>
      </c>
      <c r="I42" s="17">
        <v>1.3</v>
      </c>
      <c r="J42" s="17" t="b">
        <v>0</v>
      </c>
      <c r="K42" s="17" t="b">
        <v>0</v>
      </c>
      <c r="L42" s="17" t="b">
        <v>0</v>
      </c>
      <c r="M42" s="17" t="b">
        <v>0</v>
      </c>
      <c r="N42" s="17" t="b">
        <v>1</v>
      </c>
      <c r="O42" s="17" t="b">
        <v>0</v>
      </c>
    </row>
    <row r="43" spans="1:15" ht="15.95" customHeight="1" x14ac:dyDescent="0.25">
      <c r="A43" s="20">
        <v>43475.612847222219</v>
      </c>
      <c r="B43" s="17" t="s">
        <v>2489</v>
      </c>
      <c r="C43" s="17" t="s">
        <v>2700</v>
      </c>
      <c r="D43" s="17"/>
      <c r="E43" s="17" t="s">
        <v>2630</v>
      </c>
      <c r="F43" s="17">
        <v>3.25</v>
      </c>
      <c r="G43" s="17">
        <v>3.6</v>
      </c>
      <c r="H43" s="17">
        <v>3.9</v>
      </c>
      <c r="I43" s="17">
        <v>1.3</v>
      </c>
      <c r="J43" s="17" t="b">
        <v>0</v>
      </c>
      <c r="K43" s="17" t="b">
        <v>0</v>
      </c>
      <c r="L43" s="17" t="b">
        <v>0</v>
      </c>
      <c r="M43" s="17" t="b">
        <v>0</v>
      </c>
      <c r="N43" s="17" t="b">
        <v>1</v>
      </c>
      <c r="O43" s="17" t="b">
        <v>0</v>
      </c>
    </row>
    <row r="44" spans="1:15" ht="15.95" customHeight="1" x14ac:dyDescent="0.25">
      <c r="A44" s="20">
        <v>43475.612847222219</v>
      </c>
      <c r="B44" s="17" t="s">
        <v>2489</v>
      </c>
      <c r="C44" s="17" t="s">
        <v>2713</v>
      </c>
      <c r="D44" s="17"/>
      <c r="E44" s="17" t="s">
        <v>2630</v>
      </c>
      <c r="F44" s="17">
        <v>3.25</v>
      </c>
      <c r="G44" s="17">
        <v>3.6</v>
      </c>
      <c r="H44" s="17">
        <v>3.9</v>
      </c>
      <c r="I44" s="17">
        <v>1.3</v>
      </c>
      <c r="J44" s="17" t="b">
        <v>0</v>
      </c>
      <c r="K44" s="17" t="b">
        <v>0</v>
      </c>
      <c r="L44" s="17" t="b">
        <v>0</v>
      </c>
      <c r="M44" s="17" t="b">
        <v>0</v>
      </c>
      <c r="N44" s="17" t="b">
        <v>1</v>
      </c>
      <c r="O44" s="17" t="b">
        <v>0</v>
      </c>
    </row>
    <row r="45" spans="1:15" ht="15.95" customHeight="1" x14ac:dyDescent="0.25">
      <c r="A45" s="20">
        <v>43475.612847222219</v>
      </c>
      <c r="B45" s="17" t="s">
        <v>2489</v>
      </c>
      <c r="C45" s="17" t="s">
        <v>2595</v>
      </c>
      <c r="D45" s="17"/>
      <c r="E45" s="17" t="s">
        <v>2630</v>
      </c>
      <c r="F45" s="17">
        <v>3.25</v>
      </c>
      <c r="G45" s="17">
        <v>3.6</v>
      </c>
      <c r="H45" s="17">
        <v>3.9</v>
      </c>
      <c r="I45" s="17">
        <v>1.3</v>
      </c>
      <c r="J45" s="17" t="b">
        <v>0</v>
      </c>
      <c r="K45" s="17" t="b">
        <v>0</v>
      </c>
      <c r="L45" s="17" t="b">
        <v>0</v>
      </c>
      <c r="M45" s="17" t="b">
        <v>0</v>
      </c>
      <c r="N45" s="17" t="b">
        <v>1</v>
      </c>
      <c r="O45" s="17" t="b">
        <v>0</v>
      </c>
    </row>
    <row r="46" spans="1:15" ht="15.95" customHeight="1" x14ac:dyDescent="0.25">
      <c r="A46" s="20">
        <v>43475.612847222219</v>
      </c>
      <c r="B46" s="17" t="s">
        <v>2489</v>
      </c>
      <c r="C46" s="17" t="s">
        <v>2716</v>
      </c>
      <c r="D46" s="17"/>
      <c r="E46" s="17" t="s">
        <v>2630</v>
      </c>
      <c r="F46" s="17">
        <v>3.25</v>
      </c>
      <c r="G46" s="17">
        <v>3.6</v>
      </c>
      <c r="H46" s="17">
        <v>3.9</v>
      </c>
      <c r="I46" s="17">
        <v>1.3</v>
      </c>
      <c r="J46" s="17" t="b">
        <v>0</v>
      </c>
      <c r="K46" s="17" t="b">
        <v>0</v>
      </c>
      <c r="L46" s="17" t="b">
        <v>0</v>
      </c>
      <c r="M46" s="17" t="b">
        <v>0</v>
      </c>
      <c r="N46" s="17" t="b">
        <v>1</v>
      </c>
      <c r="O46" s="17" t="b">
        <v>0</v>
      </c>
    </row>
    <row r="47" spans="1:15" ht="15.95" customHeight="1" x14ac:dyDescent="0.25">
      <c r="A47" s="20">
        <v>43475.612847222219</v>
      </c>
      <c r="B47" s="17" t="s">
        <v>2489</v>
      </c>
      <c r="C47" s="17" t="s">
        <v>2719</v>
      </c>
      <c r="D47" s="17"/>
      <c r="E47" s="17" t="s">
        <v>2630</v>
      </c>
      <c r="F47" s="17">
        <v>3.25</v>
      </c>
      <c r="G47" s="17">
        <v>3.6</v>
      </c>
      <c r="H47" s="17">
        <v>3.9</v>
      </c>
      <c r="I47" s="17">
        <v>1.3</v>
      </c>
      <c r="J47" s="17" t="b">
        <v>0</v>
      </c>
      <c r="K47" s="17" t="b">
        <v>0</v>
      </c>
      <c r="L47" s="17" t="b">
        <v>0</v>
      </c>
      <c r="M47" s="17" t="b">
        <v>0</v>
      </c>
      <c r="N47" s="17" t="b">
        <v>1</v>
      </c>
      <c r="O47" s="17" t="b">
        <v>0</v>
      </c>
    </row>
    <row r="48" spans="1:15" ht="15.95" customHeight="1" x14ac:dyDescent="0.25">
      <c r="A48" s="20">
        <v>43475.612847222219</v>
      </c>
      <c r="B48" s="17" t="s">
        <v>2489</v>
      </c>
      <c r="C48" s="17" t="s">
        <v>2596</v>
      </c>
      <c r="D48" s="17"/>
      <c r="E48" s="17" t="s">
        <v>2630</v>
      </c>
      <c r="F48" s="17">
        <v>3.25</v>
      </c>
      <c r="G48" s="17">
        <v>3.6</v>
      </c>
      <c r="H48" s="17">
        <v>3.9</v>
      </c>
      <c r="I48" s="17">
        <v>1.3</v>
      </c>
      <c r="J48" s="17" t="b">
        <v>0</v>
      </c>
      <c r="K48" s="17" t="b">
        <v>0</v>
      </c>
      <c r="L48" s="17" t="b">
        <v>0</v>
      </c>
      <c r="M48" s="17" t="b">
        <v>0</v>
      </c>
      <c r="N48" s="17" t="b">
        <v>1</v>
      </c>
      <c r="O48" s="17" t="b">
        <v>0</v>
      </c>
    </row>
    <row r="49" spans="1:15" ht="15.95" customHeight="1" x14ac:dyDescent="0.25">
      <c r="A49" s="20">
        <v>43475.612847222219</v>
      </c>
      <c r="B49" s="17" t="s">
        <v>2489</v>
      </c>
      <c r="C49" s="17" t="s">
        <v>2615</v>
      </c>
      <c r="D49" s="17"/>
      <c r="E49" s="17" t="s">
        <v>2630</v>
      </c>
      <c r="F49" s="17">
        <v>3.25</v>
      </c>
      <c r="G49" s="17">
        <v>3.6</v>
      </c>
      <c r="H49" s="17">
        <v>3.9</v>
      </c>
      <c r="I49" s="17">
        <v>1.3</v>
      </c>
      <c r="J49" s="17" t="b">
        <v>0</v>
      </c>
      <c r="K49" s="17" t="b">
        <v>0</v>
      </c>
      <c r="L49" s="17" t="b">
        <v>0</v>
      </c>
      <c r="M49" s="17" t="b">
        <v>0</v>
      </c>
      <c r="N49" s="17" t="b">
        <v>1</v>
      </c>
      <c r="O49" s="17" t="b">
        <v>0</v>
      </c>
    </row>
    <row r="50" spans="1:15" ht="15.95" customHeight="1" x14ac:dyDescent="0.25">
      <c r="A50" s="20">
        <v>43475.612847222219</v>
      </c>
      <c r="B50" s="17" t="s">
        <v>2489</v>
      </c>
      <c r="C50" s="17" t="s">
        <v>2618</v>
      </c>
      <c r="D50" s="17"/>
      <c r="E50" s="17" t="s">
        <v>2630</v>
      </c>
      <c r="F50" s="17">
        <v>3.25</v>
      </c>
      <c r="G50" s="17">
        <v>3.6</v>
      </c>
      <c r="H50" s="17">
        <v>3.9</v>
      </c>
      <c r="I50" s="17">
        <v>1.3</v>
      </c>
      <c r="J50" s="17" t="b">
        <v>0</v>
      </c>
      <c r="K50" s="17" t="b">
        <v>0</v>
      </c>
      <c r="L50" s="17" t="b">
        <v>0</v>
      </c>
      <c r="M50" s="17" t="b">
        <v>0</v>
      </c>
      <c r="N50" s="17" t="b">
        <v>1</v>
      </c>
      <c r="O50" s="17" t="b">
        <v>0</v>
      </c>
    </row>
    <row r="51" spans="1:15" ht="15.95" customHeight="1" x14ac:dyDescent="0.25">
      <c r="A51" s="20">
        <v>43475.612847222219</v>
      </c>
      <c r="B51" s="17" t="s">
        <v>2489</v>
      </c>
      <c r="C51" s="17" t="s">
        <v>2621</v>
      </c>
      <c r="D51" s="17"/>
      <c r="E51" s="17" t="s">
        <v>2630</v>
      </c>
      <c r="F51" s="17">
        <v>3.25</v>
      </c>
      <c r="G51" s="17">
        <v>3.6</v>
      </c>
      <c r="H51" s="17">
        <v>3.9</v>
      </c>
      <c r="I51" s="17">
        <v>1.3</v>
      </c>
      <c r="J51" s="17" t="b">
        <v>0</v>
      </c>
      <c r="K51" s="17" t="b">
        <v>0</v>
      </c>
      <c r="L51" s="17" t="b">
        <v>0</v>
      </c>
      <c r="M51" s="17" t="b">
        <v>0</v>
      </c>
      <c r="N51" s="17" t="b">
        <v>1</v>
      </c>
      <c r="O51" s="17" t="b">
        <v>0</v>
      </c>
    </row>
    <row r="52" spans="1:15" ht="15.95" customHeight="1" x14ac:dyDescent="0.25">
      <c r="A52" s="20">
        <v>43475.612847222219</v>
      </c>
      <c r="B52" s="17" t="s">
        <v>2489</v>
      </c>
      <c r="C52" s="17" t="s">
        <v>2624</v>
      </c>
      <c r="D52" s="17"/>
      <c r="E52" s="17" t="s">
        <v>2630</v>
      </c>
      <c r="F52" s="17">
        <v>3.25</v>
      </c>
      <c r="G52" s="17">
        <v>3.6</v>
      </c>
      <c r="H52" s="17">
        <v>3.9</v>
      </c>
      <c r="I52" s="17">
        <v>1.3</v>
      </c>
      <c r="J52" s="17" t="b">
        <v>0</v>
      </c>
      <c r="K52" s="17" t="b">
        <v>0</v>
      </c>
      <c r="L52" s="17" t="b">
        <v>0</v>
      </c>
      <c r="M52" s="17" t="b">
        <v>0</v>
      </c>
      <c r="N52" s="17" t="b">
        <v>1</v>
      </c>
      <c r="O52" s="17" t="b">
        <v>0</v>
      </c>
    </row>
    <row r="53" spans="1:15" ht="15.95" customHeight="1" x14ac:dyDescent="0.25">
      <c r="A53" s="20">
        <v>43475.612858796296</v>
      </c>
      <c r="B53" s="17" t="s">
        <v>2489</v>
      </c>
      <c r="C53" s="17" t="s">
        <v>2631</v>
      </c>
      <c r="D53" s="17"/>
      <c r="E53" s="17">
        <v>1</v>
      </c>
      <c r="F53" s="17">
        <v>3.25</v>
      </c>
      <c r="G53" s="17">
        <v>3.6</v>
      </c>
      <c r="H53" s="17">
        <v>3.9</v>
      </c>
      <c r="I53" s="17">
        <v>1.3</v>
      </c>
      <c r="J53" s="17" t="b">
        <v>0</v>
      </c>
      <c r="K53" s="17" t="b">
        <v>0</v>
      </c>
      <c r="L53" s="17" t="b">
        <v>0</v>
      </c>
      <c r="M53" s="17" t="b">
        <v>0</v>
      </c>
      <c r="N53" s="17" t="b">
        <v>1</v>
      </c>
      <c r="O53" s="17" t="b">
        <v>0</v>
      </c>
    </row>
    <row r="54" spans="1:15" ht="15.95" customHeight="1" x14ac:dyDescent="0.25">
      <c r="A54" s="20">
        <v>43475.61577546296</v>
      </c>
      <c r="B54" s="17" t="s">
        <v>2489</v>
      </c>
      <c r="C54" s="17" t="s">
        <v>2599</v>
      </c>
      <c r="D54" s="17" t="s">
        <v>2588</v>
      </c>
      <c r="E54" s="17">
        <v>1</v>
      </c>
      <c r="F54" s="17">
        <v>3.25</v>
      </c>
      <c r="G54" s="17">
        <v>3.6</v>
      </c>
      <c r="H54" s="17">
        <v>3.9</v>
      </c>
      <c r="I54" s="17">
        <v>0</v>
      </c>
      <c r="J54" s="17" t="b">
        <v>0</v>
      </c>
      <c r="K54" s="17" t="b">
        <v>0</v>
      </c>
      <c r="L54" s="17" t="b">
        <v>0</v>
      </c>
      <c r="M54" s="17" t="b">
        <v>0</v>
      </c>
      <c r="N54" s="17" t="b">
        <v>1</v>
      </c>
      <c r="O54" s="17" t="b">
        <v>0</v>
      </c>
    </row>
    <row r="55" spans="1:15" ht="15.95" customHeight="1" x14ac:dyDescent="0.25">
      <c r="A55" s="20">
        <v>43475.615879629629</v>
      </c>
      <c r="B55" s="17" t="s">
        <v>2489</v>
      </c>
      <c r="C55" s="17" t="s">
        <v>2456</v>
      </c>
      <c r="D55" s="17" t="s">
        <v>2588</v>
      </c>
      <c r="E55" s="17">
        <v>1</v>
      </c>
      <c r="F55" s="17">
        <v>3.25</v>
      </c>
      <c r="G55" s="17">
        <v>3.6</v>
      </c>
      <c r="H55" s="17">
        <v>3.9</v>
      </c>
      <c r="I55" s="17">
        <v>0</v>
      </c>
      <c r="J55" s="17" t="b">
        <v>0</v>
      </c>
      <c r="K55" s="17" t="b">
        <v>0</v>
      </c>
      <c r="L55" s="17" t="b">
        <v>0</v>
      </c>
      <c r="M55" s="17" t="b">
        <v>0</v>
      </c>
      <c r="N55" s="17" t="b">
        <v>1</v>
      </c>
      <c r="O55" s="17" t="b">
        <v>0</v>
      </c>
    </row>
    <row r="56" spans="1:15" ht="15.95" customHeight="1" x14ac:dyDescent="0.25">
      <c r="A56" s="20">
        <v>43475.616226851853</v>
      </c>
      <c r="B56" s="17" t="s">
        <v>2489</v>
      </c>
      <c r="C56" s="17" t="s">
        <v>2600</v>
      </c>
      <c r="D56" s="17" t="s">
        <v>2601</v>
      </c>
      <c r="E56" s="17" t="s">
        <v>4</v>
      </c>
      <c r="F56" s="17">
        <v>3.25</v>
      </c>
      <c r="G56" s="17">
        <v>3.6</v>
      </c>
      <c r="H56" s="17">
        <v>3.9</v>
      </c>
      <c r="I56" s="17">
        <v>0</v>
      </c>
      <c r="J56" s="17" t="b">
        <v>0</v>
      </c>
      <c r="K56" s="17" t="b">
        <v>0</v>
      </c>
      <c r="L56" s="17" t="b">
        <v>0</v>
      </c>
      <c r="M56" s="17" t="b">
        <v>0</v>
      </c>
      <c r="N56" s="17" t="b">
        <v>1</v>
      </c>
      <c r="O56" s="17" t="b">
        <v>0</v>
      </c>
    </row>
    <row r="57" spans="1:15" ht="15.95" customHeight="1" x14ac:dyDescent="0.25">
      <c r="A57" s="20">
        <v>43475.616226851853</v>
      </c>
      <c r="B57" s="17" t="s">
        <v>2489</v>
      </c>
      <c r="C57" s="17" t="s">
        <v>2600</v>
      </c>
      <c r="D57" s="17" t="s">
        <v>2727</v>
      </c>
      <c r="E57" s="17" t="s">
        <v>4</v>
      </c>
      <c r="F57" s="17">
        <v>3.25</v>
      </c>
      <c r="G57" s="17">
        <v>3.6</v>
      </c>
      <c r="H57" s="17">
        <v>3.9</v>
      </c>
      <c r="I57" s="17">
        <v>0</v>
      </c>
      <c r="J57" s="17" t="b">
        <v>0</v>
      </c>
      <c r="K57" s="17" t="b">
        <v>0</v>
      </c>
      <c r="L57" s="17" t="b">
        <v>0</v>
      </c>
      <c r="M57" s="17" t="b">
        <v>0</v>
      </c>
      <c r="N57" s="17" t="b">
        <v>1</v>
      </c>
      <c r="O57" s="17" t="b">
        <v>0</v>
      </c>
    </row>
    <row r="58" spans="1:15" ht="15.95" customHeight="1" x14ac:dyDescent="0.25">
      <c r="A58" s="20">
        <v>43475.616226851853</v>
      </c>
      <c r="B58" s="17" t="s">
        <v>2489</v>
      </c>
      <c r="C58" s="17" t="s">
        <v>2527</v>
      </c>
      <c r="D58" s="17" t="s">
        <v>2614</v>
      </c>
      <c r="E58" s="17" t="s">
        <v>2508</v>
      </c>
      <c r="F58" s="17">
        <v>3.25</v>
      </c>
      <c r="G58" s="17">
        <v>3.6</v>
      </c>
      <c r="H58" s="17">
        <v>3.9</v>
      </c>
      <c r="I58" s="17">
        <v>1</v>
      </c>
      <c r="J58" s="17" t="b">
        <v>0</v>
      </c>
      <c r="K58" s="17" t="b">
        <v>0</v>
      </c>
      <c r="L58" s="17" t="b">
        <v>0</v>
      </c>
      <c r="M58" s="17" t="b">
        <v>0</v>
      </c>
      <c r="N58" s="17" t="b">
        <v>1</v>
      </c>
      <c r="O58" s="17" t="b">
        <v>0</v>
      </c>
    </row>
    <row r="59" spans="1:15" ht="15.95" customHeight="1" x14ac:dyDescent="0.25">
      <c r="A59" s="20">
        <v>43475.616238425922</v>
      </c>
      <c r="B59" s="17" t="s">
        <v>2489</v>
      </c>
      <c r="C59" s="17" t="s">
        <v>2728</v>
      </c>
      <c r="D59" s="17" t="s">
        <v>2617</v>
      </c>
      <c r="E59" s="17" t="s">
        <v>2508</v>
      </c>
      <c r="F59" s="17">
        <v>3.25</v>
      </c>
      <c r="G59" s="17">
        <v>3.6</v>
      </c>
      <c r="H59" s="17">
        <v>3.9</v>
      </c>
      <c r="I59" s="17">
        <v>1</v>
      </c>
      <c r="J59" s="17" t="b">
        <v>0</v>
      </c>
      <c r="K59" s="17" t="b">
        <v>0</v>
      </c>
      <c r="L59" s="17" t="b">
        <v>0</v>
      </c>
      <c r="M59" s="17" t="b">
        <v>0</v>
      </c>
      <c r="N59" s="17" t="b">
        <v>1</v>
      </c>
      <c r="O59" s="17" t="b">
        <v>0</v>
      </c>
    </row>
    <row r="60" spans="1:15" ht="15.95" customHeight="1" x14ac:dyDescent="0.25">
      <c r="A60" s="20">
        <v>43475.616238425922</v>
      </c>
      <c r="B60" s="17" t="s">
        <v>2489</v>
      </c>
      <c r="C60" s="17" t="s">
        <v>2527</v>
      </c>
      <c r="D60" s="17" t="s">
        <v>2372</v>
      </c>
      <c r="E60" s="17" t="s">
        <v>2508</v>
      </c>
      <c r="F60" s="17">
        <v>3.25</v>
      </c>
      <c r="G60" s="17">
        <v>3.6</v>
      </c>
      <c r="H60" s="17">
        <v>3.9</v>
      </c>
      <c r="I60" s="17">
        <v>1</v>
      </c>
      <c r="J60" s="17" t="b">
        <v>0</v>
      </c>
      <c r="K60" s="17" t="b">
        <v>0</v>
      </c>
      <c r="L60" s="17" t="b">
        <v>0</v>
      </c>
      <c r="M60" s="17" t="b">
        <v>0</v>
      </c>
      <c r="N60" s="17" t="b">
        <v>1</v>
      </c>
      <c r="O60" s="17" t="b">
        <v>0</v>
      </c>
    </row>
    <row r="61" spans="1:15" ht="15.95" customHeight="1" x14ac:dyDescent="0.25">
      <c r="A61" s="20">
        <v>43475.616249999999</v>
      </c>
      <c r="B61" s="17" t="s">
        <v>2489</v>
      </c>
      <c r="C61" s="17" t="s">
        <v>2729</v>
      </c>
      <c r="D61" s="17" t="s">
        <v>2617</v>
      </c>
      <c r="E61" s="17" t="s">
        <v>2508</v>
      </c>
      <c r="F61" s="17">
        <v>3.25</v>
      </c>
      <c r="G61" s="17">
        <v>3.6</v>
      </c>
      <c r="H61" s="17">
        <v>3.9</v>
      </c>
      <c r="I61" s="17">
        <v>1</v>
      </c>
      <c r="J61" s="17" t="b">
        <v>0</v>
      </c>
      <c r="K61" s="17" t="b">
        <v>0</v>
      </c>
      <c r="L61" s="17" t="b">
        <v>0</v>
      </c>
      <c r="M61" s="17" t="b">
        <v>0</v>
      </c>
      <c r="N61" s="17" t="b">
        <v>1</v>
      </c>
      <c r="O61" s="17" t="b">
        <v>0</v>
      </c>
    </row>
    <row r="62" spans="1:15" ht="15.95" customHeight="1" x14ac:dyDescent="0.25">
      <c r="A62" s="20">
        <v>43475.616249999999</v>
      </c>
      <c r="B62" s="17" t="s">
        <v>2489</v>
      </c>
      <c r="C62" s="17" t="s">
        <v>2527</v>
      </c>
      <c r="D62" s="17" t="s">
        <v>2620</v>
      </c>
      <c r="E62" s="17" t="s">
        <v>2508</v>
      </c>
      <c r="F62" s="17">
        <v>3.25</v>
      </c>
      <c r="G62" s="17">
        <v>3.6</v>
      </c>
      <c r="H62" s="17">
        <v>3.9</v>
      </c>
      <c r="I62" s="17">
        <v>1</v>
      </c>
      <c r="J62" s="17" t="b">
        <v>0</v>
      </c>
      <c r="K62" s="17" t="b">
        <v>0</v>
      </c>
      <c r="L62" s="17" t="b">
        <v>0</v>
      </c>
      <c r="M62" s="17" t="b">
        <v>0</v>
      </c>
      <c r="N62" s="17" t="b">
        <v>1</v>
      </c>
      <c r="O62" s="17" t="b">
        <v>0</v>
      </c>
    </row>
    <row r="63" spans="1:15" ht="15.95" customHeight="1" x14ac:dyDescent="0.25">
      <c r="A63" s="20">
        <v>43475.616249999999</v>
      </c>
      <c r="B63" s="17" t="s">
        <v>2489</v>
      </c>
      <c r="C63" s="17" t="s">
        <v>2730</v>
      </c>
      <c r="D63" s="17" t="s">
        <v>2617</v>
      </c>
      <c r="E63" s="17" t="s">
        <v>2508</v>
      </c>
      <c r="F63" s="17">
        <v>3.25</v>
      </c>
      <c r="G63" s="17">
        <v>3.6</v>
      </c>
      <c r="H63" s="17">
        <v>3.9</v>
      </c>
      <c r="I63" s="17">
        <v>1</v>
      </c>
      <c r="J63" s="17" t="b">
        <v>0</v>
      </c>
      <c r="K63" s="17" t="b">
        <v>0</v>
      </c>
      <c r="L63" s="17" t="b">
        <v>0</v>
      </c>
      <c r="M63" s="17" t="b">
        <v>0</v>
      </c>
      <c r="N63" s="17" t="b">
        <v>1</v>
      </c>
      <c r="O63" s="17" t="b">
        <v>0</v>
      </c>
    </row>
    <row r="64" spans="1:15" ht="15.95" customHeight="1" x14ac:dyDescent="0.25">
      <c r="A64" s="20">
        <v>43475.616249999999</v>
      </c>
      <c r="B64" s="17" t="s">
        <v>2489</v>
      </c>
      <c r="C64" s="17" t="s">
        <v>2527</v>
      </c>
      <c r="D64" s="17" t="s">
        <v>2623</v>
      </c>
      <c r="E64" s="17" t="s">
        <v>2508</v>
      </c>
      <c r="F64" s="17">
        <v>3.25</v>
      </c>
      <c r="G64" s="17">
        <v>3.6</v>
      </c>
      <c r="H64" s="17">
        <v>3.9</v>
      </c>
      <c r="I64" s="17">
        <v>1</v>
      </c>
      <c r="J64" s="17" t="b">
        <v>0</v>
      </c>
      <c r="K64" s="17" t="b">
        <v>0</v>
      </c>
      <c r="L64" s="17" t="b">
        <v>0</v>
      </c>
      <c r="M64" s="17" t="b">
        <v>0</v>
      </c>
      <c r="N64" s="17" t="b">
        <v>1</v>
      </c>
      <c r="O64" s="17" t="b">
        <v>0</v>
      </c>
    </row>
    <row r="65" spans="1:15" ht="15.95" customHeight="1" x14ac:dyDescent="0.25">
      <c r="A65" s="20">
        <v>43475.616261574076</v>
      </c>
      <c r="B65" s="17" t="s">
        <v>2489</v>
      </c>
      <c r="C65" s="17" t="s">
        <v>2731</v>
      </c>
      <c r="D65" s="17" t="s">
        <v>2617</v>
      </c>
      <c r="E65" s="17" t="s">
        <v>2508</v>
      </c>
      <c r="F65" s="17">
        <v>3.25</v>
      </c>
      <c r="G65" s="17">
        <v>3.6</v>
      </c>
      <c r="H65" s="17">
        <v>3.9</v>
      </c>
      <c r="I65" s="17">
        <v>1</v>
      </c>
      <c r="J65" s="17" t="b">
        <v>0</v>
      </c>
      <c r="K65" s="17" t="b">
        <v>0</v>
      </c>
      <c r="L65" s="17" t="b">
        <v>0</v>
      </c>
      <c r="M65" s="17" t="b">
        <v>0</v>
      </c>
      <c r="N65" s="17" t="b">
        <v>1</v>
      </c>
      <c r="O65" s="17" t="b">
        <v>0</v>
      </c>
    </row>
    <row r="66" spans="1:15" ht="15.95" customHeight="1" x14ac:dyDescent="0.25">
      <c r="A66" s="20">
        <v>43475.616261574076</v>
      </c>
      <c r="B66" s="17" t="s">
        <v>2489</v>
      </c>
      <c r="C66" s="17" t="s">
        <v>2527</v>
      </c>
      <c r="D66" s="17" t="s">
        <v>2628</v>
      </c>
      <c r="E66" s="17" t="s">
        <v>2508</v>
      </c>
      <c r="F66" s="17">
        <v>3.25</v>
      </c>
      <c r="G66" s="17">
        <v>3.6</v>
      </c>
      <c r="H66" s="17">
        <v>3.9</v>
      </c>
      <c r="I66" s="17">
        <v>1</v>
      </c>
      <c r="J66" s="17" t="b">
        <v>0</v>
      </c>
      <c r="K66" s="17" t="b">
        <v>0</v>
      </c>
      <c r="L66" s="17" t="b">
        <v>0</v>
      </c>
      <c r="M66" s="17" t="b">
        <v>0</v>
      </c>
      <c r="N66" s="17" t="b">
        <v>1</v>
      </c>
      <c r="O66" s="17" t="b">
        <v>0</v>
      </c>
    </row>
    <row r="67" spans="1:15" ht="15.95" customHeight="1" x14ac:dyDescent="0.25">
      <c r="A67" s="20">
        <v>43475.616273148145</v>
      </c>
      <c r="B67" s="17" t="s">
        <v>2489</v>
      </c>
      <c r="C67" s="17" t="s">
        <v>2732</v>
      </c>
      <c r="D67" s="17" t="s">
        <v>2617</v>
      </c>
      <c r="E67" s="17" t="s">
        <v>2508</v>
      </c>
      <c r="F67" s="17">
        <v>3.25</v>
      </c>
      <c r="G67" s="17">
        <v>3.6</v>
      </c>
      <c r="H67" s="17">
        <v>3.9</v>
      </c>
      <c r="I67" s="17">
        <v>1</v>
      </c>
      <c r="J67" s="17" t="b">
        <v>0</v>
      </c>
      <c r="K67" s="17" t="b">
        <v>0</v>
      </c>
      <c r="L67" s="17" t="b">
        <v>0</v>
      </c>
      <c r="M67" s="17" t="b">
        <v>0</v>
      </c>
      <c r="N67" s="17" t="b">
        <v>1</v>
      </c>
      <c r="O67" s="17" t="b">
        <v>0</v>
      </c>
    </row>
    <row r="68" spans="1:15" ht="15.95" customHeight="1" x14ac:dyDescent="0.25">
      <c r="A68" s="20">
        <v>43475.616273148145</v>
      </c>
      <c r="B68" s="17" t="s">
        <v>2489</v>
      </c>
      <c r="C68" s="17" t="s">
        <v>2456</v>
      </c>
      <c r="D68" s="17" t="s">
        <v>2614</v>
      </c>
      <c r="E68" s="17" t="s">
        <v>2508</v>
      </c>
      <c r="F68" s="17">
        <v>3.25</v>
      </c>
      <c r="G68" s="17">
        <v>3.6</v>
      </c>
      <c r="H68" s="17">
        <v>3.9</v>
      </c>
      <c r="I68" s="17">
        <v>1</v>
      </c>
      <c r="J68" s="17" t="b">
        <v>0</v>
      </c>
      <c r="K68" s="17" t="b">
        <v>0</v>
      </c>
      <c r="L68" s="17" t="b">
        <v>0</v>
      </c>
      <c r="M68" s="17" t="b">
        <v>0</v>
      </c>
      <c r="N68" s="17" t="b">
        <v>1</v>
      </c>
      <c r="O68" s="17" t="b">
        <v>0</v>
      </c>
    </row>
    <row r="69" spans="1:15" ht="15.95" customHeight="1" x14ac:dyDescent="0.25">
      <c r="A69" s="20">
        <v>43475.616273148145</v>
      </c>
      <c r="B69" s="17" t="s">
        <v>2489</v>
      </c>
      <c r="C69" s="17" t="s">
        <v>2733</v>
      </c>
      <c r="D69" s="17" t="s">
        <v>2617</v>
      </c>
      <c r="E69" s="17" t="s">
        <v>2508</v>
      </c>
      <c r="F69" s="17">
        <v>3.25</v>
      </c>
      <c r="G69" s="17">
        <v>3.6</v>
      </c>
      <c r="H69" s="17">
        <v>3.9</v>
      </c>
      <c r="I69" s="17">
        <v>1</v>
      </c>
      <c r="J69" s="17" t="b">
        <v>0</v>
      </c>
      <c r="K69" s="17" t="b">
        <v>0</v>
      </c>
      <c r="L69" s="17" t="b">
        <v>0</v>
      </c>
      <c r="M69" s="17" t="b">
        <v>0</v>
      </c>
      <c r="N69" s="17" t="b">
        <v>1</v>
      </c>
      <c r="O69" s="17" t="b">
        <v>0</v>
      </c>
    </row>
    <row r="70" spans="1:15" ht="15.95" customHeight="1" x14ac:dyDescent="0.25">
      <c r="A70" s="20">
        <v>43475.616284722222</v>
      </c>
      <c r="B70" s="17" t="s">
        <v>2489</v>
      </c>
      <c r="C70" s="17" t="s">
        <v>2456</v>
      </c>
      <c r="D70" s="17" t="s">
        <v>2372</v>
      </c>
      <c r="E70" s="17" t="s">
        <v>2508</v>
      </c>
      <c r="F70" s="17">
        <v>3.25</v>
      </c>
      <c r="G70" s="17">
        <v>3.6</v>
      </c>
      <c r="H70" s="17">
        <v>3.9</v>
      </c>
      <c r="I70" s="17">
        <v>1</v>
      </c>
      <c r="J70" s="17" t="b">
        <v>0</v>
      </c>
      <c r="K70" s="17" t="b">
        <v>0</v>
      </c>
      <c r="L70" s="17" t="b">
        <v>0</v>
      </c>
      <c r="M70" s="17" t="b">
        <v>0</v>
      </c>
      <c r="N70" s="17" t="b">
        <v>1</v>
      </c>
      <c r="O70" s="17" t="b">
        <v>0</v>
      </c>
    </row>
    <row r="71" spans="1:15" ht="15.95" customHeight="1" x14ac:dyDescent="0.25">
      <c r="A71" s="20">
        <v>43475.616284722222</v>
      </c>
      <c r="B71" s="17" t="s">
        <v>2489</v>
      </c>
      <c r="C71" s="17" t="s">
        <v>2734</v>
      </c>
      <c r="D71" s="17" t="s">
        <v>2617</v>
      </c>
      <c r="E71" s="17" t="s">
        <v>2508</v>
      </c>
      <c r="F71" s="17">
        <v>3.25</v>
      </c>
      <c r="G71" s="17">
        <v>3.6</v>
      </c>
      <c r="H71" s="17">
        <v>3.9</v>
      </c>
      <c r="I71" s="17">
        <v>1</v>
      </c>
      <c r="J71" s="17" t="b">
        <v>0</v>
      </c>
      <c r="K71" s="17" t="b">
        <v>0</v>
      </c>
      <c r="L71" s="17" t="b">
        <v>0</v>
      </c>
      <c r="M71" s="17" t="b">
        <v>0</v>
      </c>
      <c r="N71" s="17" t="b">
        <v>1</v>
      </c>
      <c r="O71" s="17" t="b">
        <v>0</v>
      </c>
    </row>
    <row r="72" spans="1:15" ht="15.95" customHeight="1" x14ac:dyDescent="0.25">
      <c r="A72" s="20">
        <v>43475.616284722222</v>
      </c>
      <c r="B72" s="17" t="s">
        <v>2489</v>
      </c>
      <c r="C72" s="17" t="s">
        <v>2456</v>
      </c>
      <c r="D72" s="17" t="s">
        <v>2620</v>
      </c>
      <c r="E72" s="17" t="s">
        <v>2508</v>
      </c>
      <c r="F72" s="17">
        <v>3.25</v>
      </c>
      <c r="G72" s="17">
        <v>3.6</v>
      </c>
      <c r="H72" s="17">
        <v>3.9</v>
      </c>
      <c r="I72" s="17">
        <v>1</v>
      </c>
      <c r="J72" s="17" t="b">
        <v>0</v>
      </c>
      <c r="K72" s="17" t="b">
        <v>0</v>
      </c>
      <c r="L72" s="17" t="b">
        <v>0</v>
      </c>
      <c r="M72" s="17" t="b">
        <v>0</v>
      </c>
      <c r="N72" s="17" t="b">
        <v>1</v>
      </c>
      <c r="O72" s="17" t="b">
        <v>0</v>
      </c>
    </row>
    <row r="73" spans="1:15" ht="15.95" customHeight="1" x14ac:dyDescent="0.25">
      <c r="A73" s="20">
        <v>43475.616284722222</v>
      </c>
      <c r="B73" s="17" t="s">
        <v>2489</v>
      </c>
      <c r="C73" s="17" t="s">
        <v>2735</v>
      </c>
      <c r="D73" s="17" t="s">
        <v>2617</v>
      </c>
      <c r="E73" s="17" t="s">
        <v>2508</v>
      </c>
      <c r="F73" s="17">
        <v>3.25</v>
      </c>
      <c r="G73" s="17">
        <v>3.6</v>
      </c>
      <c r="H73" s="17">
        <v>3.9</v>
      </c>
      <c r="I73" s="17">
        <v>1</v>
      </c>
      <c r="J73" s="17" t="b">
        <v>0</v>
      </c>
      <c r="K73" s="17" t="b">
        <v>0</v>
      </c>
      <c r="L73" s="17" t="b">
        <v>0</v>
      </c>
      <c r="M73" s="17" t="b">
        <v>0</v>
      </c>
      <c r="N73" s="17" t="b">
        <v>1</v>
      </c>
      <c r="O73" s="17" t="b">
        <v>0</v>
      </c>
    </row>
    <row r="74" spans="1:15" ht="15.95" customHeight="1" x14ac:dyDescent="0.25">
      <c r="A74" s="20">
        <v>43475.616296296299</v>
      </c>
      <c r="B74" s="17" t="s">
        <v>2489</v>
      </c>
      <c r="C74" s="17" t="s">
        <v>2456</v>
      </c>
      <c r="D74" s="17" t="s">
        <v>2623</v>
      </c>
      <c r="E74" s="17" t="s">
        <v>2508</v>
      </c>
      <c r="F74" s="17">
        <v>3.25</v>
      </c>
      <c r="G74" s="17">
        <v>3.6</v>
      </c>
      <c r="H74" s="17">
        <v>3.9</v>
      </c>
      <c r="I74" s="17">
        <v>1</v>
      </c>
      <c r="J74" s="17" t="b">
        <v>0</v>
      </c>
      <c r="K74" s="17" t="b">
        <v>0</v>
      </c>
      <c r="L74" s="17" t="b">
        <v>0</v>
      </c>
      <c r="M74" s="17" t="b">
        <v>0</v>
      </c>
      <c r="N74" s="17" t="b">
        <v>1</v>
      </c>
      <c r="O74" s="17" t="b">
        <v>0</v>
      </c>
    </row>
    <row r="75" spans="1:15" ht="15.95" customHeight="1" x14ac:dyDescent="0.25">
      <c r="A75" s="20">
        <v>43475.616296296299</v>
      </c>
      <c r="B75" s="17" t="s">
        <v>2489</v>
      </c>
      <c r="C75" s="17" t="s">
        <v>2736</v>
      </c>
      <c r="D75" s="17" t="s">
        <v>2617</v>
      </c>
      <c r="E75" s="17" t="s">
        <v>2508</v>
      </c>
      <c r="F75" s="17">
        <v>3.25</v>
      </c>
      <c r="G75" s="17">
        <v>3.6</v>
      </c>
      <c r="H75" s="17">
        <v>3.9</v>
      </c>
      <c r="I75" s="17">
        <v>1</v>
      </c>
      <c r="J75" s="17" t="b">
        <v>0</v>
      </c>
      <c r="K75" s="17" t="b">
        <v>0</v>
      </c>
      <c r="L75" s="17" t="b">
        <v>0</v>
      </c>
      <c r="M75" s="17" t="b">
        <v>0</v>
      </c>
      <c r="N75" s="17" t="b">
        <v>1</v>
      </c>
      <c r="O75" s="17" t="b">
        <v>0</v>
      </c>
    </row>
    <row r="76" spans="1:15" ht="15.95" customHeight="1" x14ac:dyDescent="0.25">
      <c r="A76" s="20">
        <v>43475.616307870368</v>
      </c>
      <c r="B76" s="17" t="s">
        <v>2489</v>
      </c>
      <c r="C76" s="17" t="s">
        <v>2626</v>
      </c>
      <c r="D76" s="17"/>
      <c r="E76" s="17" t="s">
        <v>2627</v>
      </c>
      <c r="F76" s="17">
        <v>3.25</v>
      </c>
      <c r="G76" s="17">
        <v>3.6</v>
      </c>
      <c r="H76" s="17">
        <v>3.9</v>
      </c>
      <c r="I76" s="17">
        <v>1</v>
      </c>
      <c r="J76" s="17" t="b">
        <v>0</v>
      </c>
      <c r="K76" s="17" t="b">
        <v>0</v>
      </c>
      <c r="L76" s="17" t="b">
        <v>0</v>
      </c>
      <c r="M76" s="17" t="b">
        <v>0</v>
      </c>
      <c r="N76" s="17" t="b">
        <v>1</v>
      </c>
      <c r="O76" s="17" t="b">
        <v>0</v>
      </c>
    </row>
    <row r="77" spans="1:15" ht="15.95" customHeight="1" x14ac:dyDescent="0.25">
      <c r="A77" s="20">
        <v>43475.616307870368</v>
      </c>
      <c r="B77" s="17" t="s">
        <v>2489</v>
      </c>
      <c r="C77" s="17" t="s">
        <v>2456</v>
      </c>
      <c r="D77" s="17" t="s">
        <v>2628</v>
      </c>
      <c r="E77" s="17" t="s">
        <v>2567</v>
      </c>
      <c r="F77" s="17">
        <v>3.25</v>
      </c>
      <c r="G77" s="17">
        <v>3.6</v>
      </c>
      <c r="H77" s="17">
        <v>3.9</v>
      </c>
      <c r="I77" s="17">
        <v>1</v>
      </c>
      <c r="J77" s="17" t="b">
        <v>0</v>
      </c>
      <c r="K77" s="17" t="b">
        <v>0</v>
      </c>
      <c r="L77" s="17" t="b">
        <v>0</v>
      </c>
      <c r="M77" s="17" t="b">
        <v>0</v>
      </c>
      <c r="N77" s="17" t="b">
        <v>1</v>
      </c>
      <c r="O77" s="17" t="b">
        <v>0</v>
      </c>
    </row>
    <row r="78" spans="1:15" ht="15.95" customHeight="1" x14ac:dyDescent="0.25">
      <c r="A78" s="20">
        <v>43475.616319444445</v>
      </c>
      <c r="B78" s="17" t="s">
        <v>2489</v>
      </c>
      <c r="C78" s="17" t="s">
        <v>2599</v>
      </c>
      <c r="D78" s="17" t="s">
        <v>2614</v>
      </c>
      <c r="E78" s="17" t="s">
        <v>2508</v>
      </c>
      <c r="F78" s="17">
        <v>3.25</v>
      </c>
      <c r="G78" s="17">
        <v>3.6</v>
      </c>
      <c r="H78" s="17">
        <v>3.9</v>
      </c>
      <c r="I78" s="17">
        <v>1</v>
      </c>
      <c r="J78" s="17" t="b">
        <v>0</v>
      </c>
      <c r="K78" s="17" t="b">
        <v>0</v>
      </c>
      <c r="L78" s="17" t="b">
        <v>0</v>
      </c>
      <c r="M78" s="17" t="b">
        <v>0</v>
      </c>
      <c r="N78" s="17" t="b">
        <v>1</v>
      </c>
      <c r="O78" s="17" t="b">
        <v>0</v>
      </c>
    </row>
    <row r="79" spans="1:15" ht="15.95" customHeight="1" x14ac:dyDescent="0.25">
      <c r="A79" s="20">
        <v>43475.616319444445</v>
      </c>
      <c r="B79" s="17" t="s">
        <v>2489</v>
      </c>
      <c r="C79" s="17" t="s">
        <v>2616</v>
      </c>
      <c r="D79" s="17" t="s">
        <v>2617</v>
      </c>
      <c r="E79" s="17" t="s">
        <v>2508</v>
      </c>
      <c r="F79" s="17">
        <v>3.25</v>
      </c>
      <c r="G79" s="17">
        <v>3.6</v>
      </c>
      <c r="H79" s="17">
        <v>3.9</v>
      </c>
      <c r="I79" s="17">
        <v>1</v>
      </c>
      <c r="J79" s="17" t="b">
        <v>0</v>
      </c>
      <c r="K79" s="17" t="b">
        <v>0</v>
      </c>
      <c r="L79" s="17" t="b">
        <v>0</v>
      </c>
      <c r="M79" s="17" t="b">
        <v>0</v>
      </c>
      <c r="N79" s="17" t="b">
        <v>1</v>
      </c>
      <c r="O79" s="17" t="b">
        <v>0</v>
      </c>
    </row>
    <row r="80" spans="1:15" ht="15.95" customHeight="1" x14ac:dyDescent="0.25">
      <c r="A80" s="20">
        <v>43475.616319444445</v>
      </c>
      <c r="B80" s="17" t="s">
        <v>2489</v>
      </c>
      <c r="C80" s="17" t="s">
        <v>2599</v>
      </c>
      <c r="D80" s="17" t="s">
        <v>2372</v>
      </c>
      <c r="E80" s="17" t="s">
        <v>2508</v>
      </c>
      <c r="F80" s="17">
        <v>3.25</v>
      </c>
      <c r="G80" s="17">
        <v>3.6</v>
      </c>
      <c r="H80" s="17">
        <v>3.9</v>
      </c>
      <c r="I80" s="17">
        <v>1</v>
      </c>
      <c r="J80" s="17" t="b">
        <v>0</v>
      </c>
      <c r="K80" s="17" t="b">
        <v>0</v>
      </c>
      <c r="L80" s="17" t="b">
        <v>0</v>
      </c>
      <c r="M80" s="17" t="b">
        <v>0</v>
      </c>
      <c r="N80" s="17" t="b">
        <v>1</v>
      </c>
      <c r="O80" s="17" t="b">
        <v>0</v>
      </c>
    </row>
    <row r="81" spans="1:15" ht="15.95" customHeight="1" x14ac:dyDescent="0.25">
      <c r="A81" s="20">
        <v>43475.616331018522</v>
      </c>
      <c r="B81" s="17" t="s">
        <v>2489</v>
      </c>
      <c r="C81" s="17" t="s">
        <v>2619</v>
      </c>
      <c r="D81" s="17" t="s">
        <v>2617</v>
      </c>
      <c r="E81" s="17" t="s">
        <v>2508</v>
      </c>
      <c r="F81" s="17">
        <v>3.25</v>
      </c>
      <c r="G81" s="17">
        <v>3.6</v>
      </c>
      <c r="H81" s="17">
        <v>3.9</v>
      </c>
      <c r="I81" s="17">
        <v>1</v>
      </c>
      <c r="J81" s="17" t="b">
        <v>0</v>
      </c>
      <c r="K81" s="17" t="b">
        <v>0</v>
      </c>
      <c r="L81" s="17" t="b">
        <v>0</v>
      </c>
      <c r="M81" s="17" t="b">
        <v>0</v>
      </c>
      <c r="N81" s="17" t="b">
        <v>1</v>
      </c>
      <c r="O81" s="17" t="b">
        <v>0</v>
      </c>
    </row>
    <row r="82" spans="1:15" ht="15.95" customHeight="1" x14ac:dyDescent="0.25">
      <c r="A82" s="20">
        <v>43475.616331018522</v>
      </c>
      <c r="B82" s="17" t="s">
        <v>2489</v>
      </c>
      <c r="C82" s="17" t="s">
        <v>2599</v>
      </c>
      <c r="D82" s="17" t="s">
        <v>2620</v>
      </c>
      <c r="E82" s="17" t="s">
        <v>2508</v>
      </c>
      <c r="F82" s="17">
        <v>3.25</v>
      </c>
      <c r="G82" s="17">
        <v>3.6</v>
      </c>
      <c r="H82" s="17">
        <v>3.9</v>
      </c>
      <c r="I82" s="17">
        <v>1</v>
      </c>
      <c r="J82" s="17" t="b">
        <v>0</v>
      </c>
      <c r="K82" s="17" t="b">
        <v>0</v>
      </c>
      <c r="L82" s="17" t="b">
        <v>0</v>
      </c>
      <c r="M82" s="17" t="b">
        <v>0</v>
      </c>
      <c r="N82" s="17" t="b">
        <v>1</v>
      </c>
      <c r="O82" s="17" t="b">
        <v>0</v>
      </c>
    </row>
    <row r="83" spans="1:15" ht="15.95" customHeight="1" x14ac:dyDescent="0.25">
      <c r="A83" s="20">
        <v>43475.616331018522</v>
      </c>
      <c r="B83" s="17" t="s">
        <v>2489</v>
      </c>
      <c r="C83" s="17" t="s">
        <v>2622</v>
      </c>
      <c r="D83" s="17" t="s">
        <v>2617</v>
      </c>
      <c r="E83" s="17" t="s">
        <v>2508</v>
      </c>
      <c r="F83" s="17">
        <v>3.25</v>
      </c>
      <c r="G83" s="17">
        <v>3.6</v>
      </c>
      <c r="H83" s="17">
        <v>3.9</v>
      </c>
      <c r="I83" s="17">
        <v>1</v>
      </c>
      <c r="J83" s="17" t="b">
        <v>0</v>
      </c>
      <c r="K83" s="17" t="b">
        <v>0</v>
      </c>
      <c r="L83" s="17" t="b">
        <v>0</v>
      </c>
      <c r="M83" s="17" t="b">
        <v>0</v>
      </c>
      <c r="N83" s="17" t="b">
        <v>1</v>
      </c>
      <c r="O83" s="17" t="b">
        <v>0</v>
      </c>
    </row>
    <row r="84" spans="1:15" ht="15.95" customHeight="1" x14ac:dyDescent="0.25">
      <c r="A84" s="20">
        <v>43475.616331018522</v>
      </c>
      <c r="B84" s="17" t="s">
        <v>2489</v>
      </c>
      <c r="C84" s="17" t="s">
        <v>2599</v>
      </c>
      <c r="D84" s="17" t="s">
        <v>2623</v>
      </c>
      <c r="E84" s="17" t="s">
        <v>2508</v>
      </c>
      <c r="F84" s="17">
        <v>3.25</v>
      </c>
      <c r="G84" s="17">
        <v>3.6</v>
      </c>
      <c r="H84" s="17">
        <v>3.9</v>
      </c>
      <c r="I84" s="17">
        <v>1</v>
      </c>
      <c r="J84" s="17" t="b">
        <v>0</v>
      </c>
      <c r="K84" s="17" t="b">
        <v>0</v>
      </c>
      <c r="L84" s="17" t="b">
        <v>0</v>
      </c>
      <c r="M84" s="17" t="b">
        <v>0</v>
      </c>
      <c r="N84" s="17" t="b">
        <v>1</v>
      </c>
      <c r="O84" s="17" t="b">
        <v>0</v>
      </c>
    </row>
    <row r="85" spans="1:15" ht="15.95" customHeight="1" x14ac:dyDescent="0.25">
      <c r="A85" s="20">
        <v>43475.616342592592</v>
      </c>
      <c r="B85" s="17" t="s">
        <v>2489</v>
      </c>
      <c r="C85" s="17" t="s">
        <v>2625</v>
      </c>
      <c r="D85" s="17" t="s">
        <v>2617</v>
      </c>
      <c r="E85" s="17" t="s">
        <v>2508</v>
      </c>
      <c r="F85" s="17">
        <v>3.25</v>
      </c>
      <c r="G85" s="17">
        <v>3.6</v>
      </c>
      <c r="H85" s="17">
        <v>3.9</v>
      </c>
      <c r="I85" s="17">
        <v>1</v>
      </c>
      <c r="J85" s="17" t="b">
        <v>0</v>
      </c>
      <c r="K85" s="17" t="b">
        <v>0</v>
      </c>
      <c r="L85" s="17" t="b">
        <v>0</v>
      </c>
      <c r="M85" s="17" t="b">
        <v>0</v>
      </c>
      <c r="N85" s="17" t="b">
        <v>1</v>
      </c>
      <c r="O85" s="17" t="b">
        <v>0</v>
      </c>
    </row>
    <row r="86" spans="1:15" ht="15.95" customHeight="1" x14ac:dyDescent="0.25">
      <c r="A86" s="20">
        <v>43475.616354166668</v>
      </c>
      <c r="B86" s="17" t="s">
        <v>2489</v>
      </c>
      <c r="C86" s="17" t="s">
        <v>2626</v>
      </c>
      <c r="D86" s="17"/>
      <c r="E86" s="17" t="s">
        <v>2627</v>
      </c>
      <c r="F86" s="17">
        <v>3.25</v>
      </c>
      <c r="G86" s="17">
        <v>3.6</v>
      </c>
      <c r="H86" s="17">
        <v>3.9</v>
      </c>
      <c r="I86" s="17">
        <v>1</v>
      </c>
      <c r="J86" s="17" t="b">
        <v>0</v>
      </c>
      <c r="K86" s="17" t="b">
        <v>0</v>
      </c>
      <c r="L86" s="17" t="b">
        <v>0</v>
      </c>
      <c r="M86" s="17" t="b">
        <v>0</v>
      </c>
      <c r="N86" s="17" t="b">
        <v>1</v>
      </c>
      <c r="O86" s="17" t="b">
        <v>0</v>
      </c>
    </row>
    <row r="87" spans="1:15" ht="15.95" customHeight="1" x14ac:dyDescent="0.25">
      <c r="A87" s="20">
        <v>43475.616354166668</v>
      </c>
      <c r="B87" s="17" t="s">
        <v>2489</v>
      </c>
      <c r="C87" s="17" t="s">
        <v>2599</v>
      </c>
      <c r="D87" s="17" t="s">
        <v>2628</v>
      </c>
      <c r="E87" s="17" t="s">
        <v>2567</v>
      </c>
      <c r="F87" s="17">
        <v>3.25</v>
      </c>
      <c r="G87" s="17">
        <v>3.6</v>
      </c>
      <c r="H87" s="17">
        <v>3.9</v>
      </c>
      <c r="I87" s="17">
        <v>1</v>
      </c>
      <c r="J87" s="17" t="b">
        <v>0</v>
      </c>
      <c r="K87" s="17" t="b">
        <v>0</v>
      </c>
      <c r="L87" s="17" t="b">
        <v>0</v>
      </c>
      <c r="M87" s="17" t="b">
        <v>0</v>
      </c>
      <c r="N87" s="17" t="b">
        <v>1</v>
      </c>
      <c r="O87" s="17" t="b">
        <v>0</v>
      </c>
    </row>
    <row r="88" spans="1:15" ht="15.95" customHeight="1" x14ac:dyDescent="0.25">
      <c r="A88" s="20">
        <v>43475.616354166668</v>
      </c>
      <c r="B88" s="17" t="s">
        <v>2489</v>
      </c>
      <c r="C88" s="17" t="s">
        <v>2600</v>
      </c>
      <c r="D88" s="17" t="s">
        <v>2726</v>
      </c>
      <c r="E88" s="17">
        <v>15</v>
      </c>
      <c r="F88" s="17">
        <v>3.25</v>
      </c>
      <c r="G88" s="17">
        <v>3.6</v>
      </c>
      <c r="H88" s="17">
        <v>3.9</v>
      </c>
      <c r="I88" s="17">
        <v>1</v>
      </c>
      <c r="J88" s="17" t="b">
        <v>0</v>
      </c>
      <c r="K88" s="17" t="b">
        <v>0</v>
      </c>
      <c r="L88" s="17" t="b">
        <v>0</v>
      </c>
      <c r="M88" s="17" t="b">
        <v>0</v>
      </c>
      <c r="N88" s="17" t="b">
        <v>1</v>
      </c>
      <c r="O88" s="17" t="b">
        <v>0</v>
      </c>
    </row>
    <row r="89" spans="1:15" ht="15.95" customHeight="1" x14ac:dyDescent="0.25">
      <c r="A89" s="20">
        <v>43475.636342592596</v>
      </c>
      <c r="B89" s="17" t="s">
        <v>2489</v>
      </c>
      <c r="C89" s="17" t="s">
        <v>2527</v>
      </c>
      <c r="D89" s="17" t="s">
        <v>2588</v>
      </c>
      <c r="E89" s="17">
        <v>9</v>
      </c>
      <c r="F89" s="17">
        <v>3.25</v>
      </c>
      <c r="G89" s="17">
        <v>3.6</v>
      </c>
      <c r="H89" s="17">
        <v>3.9</v>
      </c>
      <c r="I89" s="17">
        <v>0</v>
      </c>
      <c r="J89" s="17" t="b">
        <v>0</v>
      </c>
      <c r="K89" s="17" t="b">
        <v>0</v>
      </c>
      <c r="L89" s="17" t="b">
        <v>0</v>
      </c>
      <c r="M89" s="17" t="b">
        <v>0</v>
      </c>
      <c r="N89" s="17" t="b">
        <v>1</v>
      </c>
      <c r="O89" s="17" t="b">
        <v>0</v>
      </c>
    </row>
    <row r="90" spans="1:15" ht="15.95" customHeight="1" x14ac:dyDescent="0.25">
      <c r="A90" s="20">
        <v>43475.658321759256</v>
      </c>
      <c r="B90" s="17" t="s">
        <v>2489</v>
      </c>
      <c r="C90" s="17" t="s">
        <v>2599</v>
      </c>
      <c r="D90" s="17" t="s">
        <v>2588</v>
      </c>
      <c r="E90" s="17">
        <v>1</v>
      </c>
      <c r="F90" s="17">
        <v>3.25</v>
      </c>
      <c r="G90" s="17">
        <v>3.7</v>
      </c>
      <c r="H90" s="17">
        <v>3.9</v>
      </c>
      <c r="I90" s="17">
        <v>0</v>
      </c>
      <c r="J90" s="17" t="b">
        <v>0</v>
      </c>
      <c r="K90" s="17" t="b">
        <v>0</v>
      </c>
      <c r="L90" s="17" t="b">
        <v>0</v>
      </c>
      <c r="M90" s="17" t="b">
        <v>0</v>
      </c>
      <c r="N90" s="17" t="b">
        <v>1</v>
      </c>
      <c r="O90" s="17" t="b">
        <v>0</v>
      </c>
    </row>
    <row r="91" spans="1:15" ht="15.95" customHeight="1" x14ac:dyDescent="0.25">
      <c r="A91" s="20">
        <v>43475.668182870373</v>
      </c>
      <c r="B91" s="17" t="s">
        <v>2489</v>
      </c>
      <c r="C91" s="17" t="s">
        <v>2740</v>
      </c>
      <c r="D91" s="17" t="s">
        <v>2588</v>
      </c>
      <c r="E91" s="17">
        <v>3</v>
      </c>
      <c r="F91" s="17">
        <v>3.25</v>
      </c>
      <c r="G91" s="17">
        <v>3.7</v>
      </c>
      <c r="H91" s="17">
        <v>3.9</v>
      </c>
      <c r="I91" s="17">
        <v>0</v>
      </c>
      <c r="J91" s="17" t="b">
        <v>0</v>
      </c>
      <c r="K91" s="17" t="b">
        <v>0</v>
      </c>
      <c r="L91" s="17" t="b">
        <v>0</v>
      </c>
      <c r="M91" s="17" t="b">
        <v>0</v>
      </c>
      <c r="N91" s="17" t="b">
        <v>1</v>
      </c>
      <c r="O91" s="17" t="b">
        <v>0</v>
      </c>
    </row>
    <row r="92" spans="1:15" ht="15.95" customHeight="1" x14ac:dyDescent="0.25">
      <c r="A92" s="20">
        <v>43475.668530092589</v>
      </c>
      <c r="B92" s="17" t="s">
        <v>2489</v>
      </c>
      <c r="C92" s="17" t="s">
        <v>2456</v>
      </c>
      <c r="D92" s="17" t="s">
        <v>2588</v>
      </c>
      <c r="E92" s="17">
        <v>1</v>
      </c>
      <c r="F92" s="17">
        <v>3.25</v>
      </c>
      <c r="G92" s="17">
        <v>3.7</v>
      </c>
      <c r="H92" s="17">
        <v>3.9</v>
      </c>
      <c r="I92" s="17">
        <v>0</v>
      </c>
      <c r="J92" s="17" t="b">
        <v>0</v>
      </c>
      <c r="K92" s="17" t="b">
        <v>0</v>
      </c>
      <c r="L92" s="17" t="b">
        <v>0</v>
      </c>
      <c r="M92" s="17" t="b">
        <v>0</v>
      </c>
      <c r="N92" s="17" t="b">
        <v>1</v>
      </c>
      <c r="O92" s="17" t="b">
        <v>0</v>
      </c>
    </row>
    <row r="93" spans="1:15" ht="15.95" customHeight="1" x14ac:dyDescent="0.25">
      <c r="A93" s="20">
        <v>43475.668645833335</v>
      </c>
      <c r="B93" s="17" t="s">
        <v>2489</v>
      </c>
      <c r="C93" s="17" t="s">
        <v>2629</v>
      </c>
      <c r="D93" s="17"/>
      <c r="E93" s="17">
        <v>1</v>
      </c>
      <c r="F93" s="17">
        <v>3.25</v>
      </c>
      <c r="G93" s="17">
        <v>3.7</v>
      </c>
      <c r="H93" s="17">
        <v>3.9</v>
      </c>
      <c r="I93" s="17">
        <v>0</v>
      </c>
      <c r="J93" s="17" t="b">
        <v>0</v>
      </c>
      <c r="K93" s="17" t="b">
        <v>0</v>
      </c>
      <c r="L93" s="17" t="b">
        <v>0</v>
      </c>
      <c r="M93" s="17" t="b">
        <v>0</v>
      </c>
      <c r="N93" s="17" t="b">
        <v>1</v>
      </c>
      <c r="O93" s="17" t="b">
        <v>0</v>
      </c>
    </row>
    <row r="94" spans="1:15" ht="15.95" customHeight="1" x14ac:dyDescent="0.25">
      <c r="A94" s="20">
        <v>43475.668645833335</v>
      </c>
      <c r="B94" s="17" t="s">
        <v>2489</v>
      </c>
      <c r="C94" s="17" t="s">
        <v>2597</v>
      </c>
      <c r="D94" s="17"/>
      <c r="E94" s="17" t="s">
        <v>2630</v>
      </c>
      <c r="F94" s="17">
        <v>3.25</v>
      </c>
      <c r="G94" s="17">
        <v>3.7</v>
      </c>
      <c r="H94" s="17">
        <v>3.9</v>
      </c>
      <c r="I94" s="17">
        <v>0</v>
      </c>
      <c r="J94" s="17" t="b">
        <v>0</v>
      </c>
      <c r="K94" s="17" t="b">
        <v>0</v>
      </c>
      <c r="L94" s="17" t="b">
        <v>0</v>
      </c>
      <c r="M94" s="17" t="b">
        <v>0</v>
      </c>
      <c r="N94" s="17" t="b">
        <v>1</v>
      </c>
      <c r="O94" s="17" t="b">
        <v>0</v>
      </c>
    </row>
    <row r="95" spans="1:15" ht="15.95" customHeight="1" x14ac:dyDescent="0.25">
      <c r="A95" s="20">
        <v>43475.668645833335</v>
      </c>
      <c r="B95" s="17" t="s">
        <v>2489</v>
      </c>
      <c r="C95" s="17" t="s">
        <v>2689</v>
      </c>
      <c r="D95" s="17"/>
      <c r="E95" s="17" t="s">
        <v>2630</v>
      </c>
      <c r="F95" s="17">
        <v>3.25</v>
      </c>
      <c r="G95" s="17">
        <v>3.7</v>
      </c>
      <c r="H95" s="17">
        <v>3.9</v>
      </c>
      <c r="I95" s="17">
        <v>0</v>
      </c>
      <c r="J95" s="17" t="b">
        <v>0</v>
      </c>
      <c r="K95" s="17" t="b">
        <v>0</v>
      </c>
      <c r="L95" s="17" t="b">
        <v>0</v>
      </c>
      <c r="M95" s="17" t="b">
        <v>0</v>
      </c>
      <c r="N95" s="17" t="b">
        <v>1</v>
      </c>
      <c r="O95" s="17" t="b">
        <v>0</v>
      </c>
    </row>
    <row r="96" spans="1:15" ht="15.95" customHeight="1" x14ac:dyDescent="0.25">
      <c r="A96" s="20">
        <v>43475.668645833335</v>
      </c>
      <c r="B96" s="17" t="s">
        <v>2489</v>
      </c>
      <c r="C96" s="17" t="s">
        <v>2692</v>
      </c>
      <c r="D96" s="17"/>
      <c r="E96" s="17" t="s">
        <v>2630</v>
      </c>
      <c r="F96" s="17">
        <v>3.25</v>
      </c>
      <c r="G96" s="17">
        <v>3.7</v>
      </c>
      <c r="H96" s="17">
        <v>3.9</v>
      </c>
      <c r="I96" s="17">
        <v>0</v>
      </c>
      <c r="J96" s="17" t="b">
        <v>0</v>
      </c>
      <c r="K96" s="17" t="b">
        <v>0</v>
      </c>
      <c r="L96" s="17" t="b">
        <v>0</v>
      </c>
      <c r="M96" s="17" t="b">
        <v>0</v>
      </c>
      <c r="N96" s="17" t="b">
        <v>1</v>
      </c>
      <c r="O96" s="17" t="b">
        <v>0</v>
      </c>
    </row>
    <row r="97" spans="1:15" ht="15.95" customHeight="1" x14ac:dyDescent="0.25">
      <c r="A97" s="20">
        <v>43475.668645833335</v>
      </c>
      <c r="B97" s="17" t="s">
        <v>2489</v>
      </c>
      <c r="C97" s="17" t="s">
        <v>2700</v>
      </c>
      <c r="D97" s="17"/>
      <c r="E97" s="17" t="s">
        <v>2630</v>
      </c>
      <c r="F97" s="17">
        <v>3.25</v>
      </c>
      <c r="G97" s="17">
        <v>3.7</v>
      </c>
      <c r="H97" s="17">
        <v>3.9</v>
      </c>
      <c r="I97" s="17">
        <v>0</v>
      </c>
      <c r="J97" s="17" t="b">
        <v>0</v>
      </c>
      <c r="K97" s="17" t="b">
        <v>0</v>
      </c>
      <c r="L97" s="17" t="b">
        <v>0</v>
      </c>
      <c r="M97" s="17" t="b">
        <v>0</v>
      </c>
      <c r="N97" s="17" t="b">
        <v>1</v>
      </c>
      <c r="O97" s="17" t="b">
        <v>0</v>
      </c>
    </row>
    <row r="98" spans="1:15" ht="15.95" customHeight="1" x14ac:dyDescent="0.25">
      <c r="A98" s="20">
        <v>43475.668645833335</v>
      </c>
      <c r="B98" s="17" t="s">
        <v>2489</v>
      </c>
      <c r="C98" s="17" t="s">
        <v>2713</v>
      </c>
      <c r="D98" s="17"/>
      <c r="E98" s="17" t="s">
        <v>2630</v>
      </c>
      <c r="F98" s="17">
        <v>3.25</v>
      </c>
      <c r="G98" s="17">
        <v>3.7</v>
      </c>
      <c r="H98" s="17">
        <v>3.9</v>
      </c>
      <c r="I98" s="17">
        <v>0</v>
      </c>
      <c r="J98" s="17" t="b">
        <v>0</v>
      </c>
      <c r="K98" s="17" t="b">
        <v>0</v>
      </c>
      <c r="L98" s="17" t="b">
        <v>0</v>
      </c>
      <c r="M98" s="17" t="b">
        <v>0</v>
      </c>
      <c r="N98" s="17" t="b">
        <v>1</v>
      </c>
      <c r="O98" s="17" t="b">
        <v>0</v>
      </c>
    </row>
    <row r="99" spans="1:15" ht="15.95" customHeight="1" x14ac:dyDescent="0.25">
      <c r="A99" s="20">
        <v>43475.668645833335</v>
      </c>
      <c r="B99" s="17" t="s">
        <v>2489</v>
      </c>
      <c r="C99" s="17" t="s">
        <v>2595</v>
      </c>
      <c r="D99" s="17"/>
      <c r="E99" s="17" t="s">
        <v>2630</v>
      </c>
      <c r="F99" s="17">
        <v>3.25</v>
      </c>
      <c r="G99" s="17">
        <v>3.7</v>
      </c>
      <c r="H99" s="17">
        <v>3.9</v>
      </c>
      <c r="I99" s="17">
        <v>0</v>
      </c>
      <c r="J99" s="17" t="b">
        <v>0</v>
      </c>
      <c r="K99" s="17" t="b">
        <v>0</v>
      </c>
      <c r="L99" s="17" t="b">
        <v>0</v>
      </c>
      <c r="M99" s="17" t="b">
        <v>0</v>
      </c>
      <c r="N99" s="17" t="b">
        <v>1</v>
      </c>
      <c r="O99" s="17" t="b">
        <v>0</v>
      </c>
    </row>
    <row r="100" spans="1:15" ht="15.95" customHeight="1" x14ac:dyDescent="0.25">
      <c r="A100" s="20">
        <v>43475.668645833335</v>
      </c>
      <c r="B100" s="17" t="s">
        <v>2489</v>
      </c>
      <c r="C100" s="17" t="s">
        <v>2716</v>
      </c>
      <c r="D100" s="17"/>
      <c r="E100" s="17" t="s">
        <v>2630</v>
      </c>
      <c r="F100" s="17">
        <v>3.25</v>
      </c>
      <c r="G100" s="17">
        <v>3.7</v>
      </c>
      <c r="H100" s="17">
        <v>3.9</v>
      </c>
      <c r="I100" s="17">
        <v>0</v>
      </c>
      <c r="J100" s="17" t="b">
        <v>0</v>
      </c>
      <c r="K100" s="17" t="b">
        <v>0</v>
      </c>
      <c r="L100" s="17" t="b">
        <v>0</v>
      </c>
      <c r="M100" s="17" t="b">
        <v>0</v>
      </c>
      <c r="N100" s="17" t="b">
        <v>1</v>
      </c>
      <c r="O100" s="17" t="b">
        <v>0</v>
      </c>
    </row>
    <row r="101" spans="1:15" ht="15.95" customHeight="1" x14ac:dyDescent="0.25">
      <c r="A101" s="20">
        <v>43475.668645833335</v>
      </c>
      <c r="B101" s="17" t="s">
        <v>2489</v>
      </c>
      <c r="C101" s="17" t="s">
        <v>2719</v>
      </c>
      <c r="D101" s="17"/>
      <c r="E101" s="17" t="s">
        <v>2630</v>
      </c>
      <c r="F101" s="17">
        <v>3.25</v>
      </c>
      <c r="G101" s="17">
        <v>3.7</v>
      </c>
      <c r="H101" s="17">
        <v>3.9</v>
      </c>
      <c r="I101" s="17">
        <v>0</v>
      </c>
      <c r="J101" s="17" t="b">
        <v>0</v>
      </c>
      <c r="K101" s="17" t="b">
        <v>0</v>
      </c>
      <c r="L101" s="17" t="b">
        <v>0</v>
      </c>
      <c r="M101" s="17" t="b">
        <v>0</v>
      </c>
      <c r="N101" s="17" t="b">
        <v>1</v>
      </c>
      <c r="O101" s="17" t="b">
        <v>0</v>
      </c>
    </row>
    <row r="102" spans="1:15" ht="15.95" customHeight="1" x14ac:dyDescent="0.25">
      <c r="A102" s="20">
        <v>43475.668645833335</v>
      </c>
      <c r="B102" s="17" t="s">
        <v>2489</v>
      </c>
      <c r="C102" s="17" t="s">
        <v>2596</v>
      </c>
      <c r="D102" s="17"/>
      <c r="E102" s="17" t="s">
        <v>2630</v>
      </c>
      <c r="F102" s="17">
        <v>3.25</v>
      </c>
      <c r="G102" s="17">
        <v>3.7</v>
      </c>
      <c r="H102" s="17">
        <v>3.9</v>
      </c>
      <c r="I102" s="17">
        <v>0</v>
      </c>
      <c r="J102" s="17" t="b">
        <v>0</v>
      </c>
      <c r="K102" s="17" t="b">
        <v>0</v>
      </c>
      <c r="L102" s="17" t="b">
        <v>0</v>
      </c>
      <c r="M102" s="17" t="b">
        <v>0</v>
      </c>
      <c r="N102" s="17" t="b">
        <v>1</v>
      </c>
      <c r="O102" s="17" t="b">
        <v>0</v>
      </c>
    </row>
    <row r="103" spans="1:15" ht="15.95" customHeight="1" x14ac:dyDescent="0.25">
      <c r="A103" s="20">
        <v>43475.668645833335</v>
      </c>
      <c r="B103" s="17" t="s">
        <v>2489</v>
      </c>
      <c r="C103" s="17" t="s">
        <v>2615</v>
      </c>
      <c r="D103" s="17"/>
      <c r="E103" s="17" t="s">
        <v>2630</v>
      </c>
      <c r="F103" s="17">
        <v>3.25</v>
      </c>
      <c r="G103" s="17">
        <v>3.7</v>
      </c>
      <c r="H103" s="17">
        <v>3.9</v>
      </c>
      <c r="I103" s="17">
        <v>0</v>
      </c>
      <c r="J103" s="17" t="b">
        <v>0</v>
      </c>
      <c r="K103" s="17" t="b">
        <v>0</v>
      </c>
      <c r="L103" s="17" t="b">
        <v>0</v>
      </c>
      <c r="M103" s="17" t="b">
        <v>0</v>
      </c>
      <c r="N103" s="17" t="b">
        <v>1</v>
      </c>
      <c r="O103" s="17" t="b">
        <v>0</v>
      </c>
    </row>
    <row r="104" spans="1:15" ht="15.95" customHeight="1" x14ac:dyDescent="0.25">
      <c r="A104" s="20">
        <v>43475.668645833335</v>
      </c>
      <c r="B104" s="17" t="s">
        <v>2489</v>
      </c>
      <c r="C104" s="17" t="s">
        <v>2618</v>
      </c>
      <c r="D104" s="17"/>
      <c r="E104" s="17" t="s">
        <v>2630</v>
      </c>
      <c r="F104" s="17">
        <v>3.25</v>
      </c>
      <c r="G104" s="17">
        <v>3.7</v>
      </c>
      <c r="H104" s="17">
        <v>3.9</v>
      </c>
      <c r="I104" s="17">
        <v>0</v>
      </c>
      <c r="J104" s="17" t="b">
        <v>0</v>
      </c>
      <c r="K104" s="17" t="b">
        <v>0</v>
      </c>
      <c r="L104" s="17" t="b">
        <v>0</v>
      </c>
      <c r="M104" s="17" t="b">
        <v>0</v>
      </c>
      <c r="N104" s="17" t="b">
        <v>1</v>
      </c>
      <c r="O104" s="17" t="b">
        <v>0</v>
      </c>
    </row>
    <row r="105" spans="1:15" ht="15.95" customHeight="1" x14ac:dyDescent="0.25">
      <c r="A105" s="20">
        <v>43475.668645833335</v>
      </c>
      <c r="B105" s="17" t="s">
        <v>2489</v>
      </c>
      <c r="C105" s="17" t="s">
        <v>2621</v>
      </c>
      <c r="D105" s="17"/>
      <c r="E105" s="17" t="s">
        <v>2630</v>
      </c>
      <c r="F105" s="17">
        <v>3.25</v>
      </c>
      <c r="G105" s="17">
        <v>3.7</v>
      </c>
      <c r="H105" s="17">
        <v>3.9</v>
      </c>
      <c r="I105" s="17">
        <v>0</v>
      </c>
      <c r="J105" s="17" t="b">
        <v>0</v>
      </c>
      <c r="K105" s="17" t="b">
        <v>0</v>
      </c>
      <c r="L105" s="17" t="b">
        <v>0</v>
      </c>
      <c r="M105" s="17" t="b">
        <v>0</v>
      </c>
      <c r="N105" s="17" t="b">
        <v>1</v>
      </c>
      <c r="O105" s="17" t="b">
        <v>0</v>
      </c>
    </row>
    <row r="106" spans="1:15" ht="15.95" customHeight="1" x14ac:dyDescent="0.25">
      <c r="A106" s="20">
        <v>43475.668645833335</v>
      </c>
      <c r="B106" s="17" t="s">
        <v>2489</v>
      </c>
      <c r="C106" s="17" t="s">
        <v>2624</v>
      </c>
      <c r="D106" s="17"/>
      <c r="E106" s="17" t="s">
        <v>2630</v>
      </c>
      <c r="F106" s="17">
        <v>3.25</v>
      </c>
      <c r="G106" s="17">
        <v>3.7</v>
      </c>
      <c r="H106" s="17">
        <v>3.9</v>
      </c>
      <c r="I106" s="17">
        <v>0</v>
      </c>
      <c r="J106" s="17" t="b">
        <v>0</v>
      </c>
      <c r="K106" s="17" t="b">
        <v>0</v>
      </c>
      <c r="L106" s="17" t="b">
        <v>0</v>
      </c>
      <c r="M106" s="17" t="b">
        <v>0</v>
      </c>
      <c r="N106" s="17" t="b">
        <v>1</v>
      </c>
      <c r="O106" s="17" t="b">
        <v>0</v>
      </c>
    </row>
    <row r="107" spans="1:15" ht="15.95" customHeight="1" x14ac:dyDescent="0.25">
      <c r="A107" s="20">
        <v>43475.668645833335</v>
      </c>
      <c r="B107" s="17" t="s">
        <v>2489</v>
      </c>
      <c r="C107" s="17" t="s">
        <v>2631</v>
      </c>
      <c r="D107" s="17"/>
      <c r="E107" s="17">
        <v>1</v>
      </c>
      <c r="F107" s="17">
        <v>3.25</v>
      </c>
      <c r="G107" s="17">
        <v>3.7</v>
      </c>
      <c r="H107" s="17">
        <v>3.9</v>
      </c>
      <c r="I107" s="17">
        <v>0</v>
      </c>
      <c r="J107" s="17" t="b">
        <v>0</v>
      </c>
      <c r="K107" s="17" t="b">
        <v>0</v>
      </c>
      <c r="L107" s="17" t="b">
        <v>0</v>
      </c>
      <c r="M107" s="17" t="b">
        <v>0</v>
      </c>
      <c r="N107" s="17" t="b">
        <v>1</v>
      </c>
      <c r="O107" s="17" t="b">
        <v>0</v>
      </c>
    </row>
    <row r="108" spans="1:15" ht="15.95" customHeight="1" x14ac:dyDescent="0.25">
      <c r="A108" s="20">
        <v>43475.668680555558</v>
      </c>
      <c r="B108" s="17" t="s">
        <v>2489</v>
      </c>
      <c r="C108" s="17" t="s">
        <v>2600</v>
      </c>
      <c r="D108" s="17" t="s">
        <v>2601</v>
      </c>
      <c r="E108" s="17" t="s">
        <v>4</v>
      </c>
      <c r="F108" s="17">
        <v>3.25</v>
      </c>
      <c r="G108" s="17">
        <v>3.7</v>
      </c>
      <c r="H108" s="17">
        <v>3.9</v>
      </c>
      <c r="I108" s="17">
        <v>0</v>
      </c>
      <c r="J108" s="17" t="b">
        <v>0</v>
      </c>
      <c r="K108" s="17" t="b">
        <v>0</v>
      </c>
      <c r="L108" s="17" t="b">
        <v>0</v>
      </c>
      <c r="M108" s="17" t="b">
        <v>0</v>
      </c>
      <c r="N108" s="17" t="b">
        <v>1</v>
      </c>
      <c r="O108" s="17" t="b">
        <v>0</v>
      </c>
    </row>
    <row r="109" spans="1:15" ht="15.95" customHeight="1" x14ac:dyDescent="0.25">
      <c r="A109" s="20">
        <v>43475.668680555558</v>
      </c>
      <c r="B109" s="17" t="s">
        <v>2489</v>
      </c>
      <c r="C109" s="17" t="s">
        <v>2600</v>
      </c>
      <c r="D109" s="17" t="s">
        <v>2727</v>
      </c>
      <c r="E109" s="17" t="s">
        <v>4</v>
      </c>
      <c r="F109" s="17">
        <v>3.25</v>
      </c>
      <c r="G109" s="17">
        <v>3.7</v>
      </c>
      <c r="H109" s="17">
        <v>3.9</v>
      </c>
      <c r="I109" s="17">
        <v>0</v>
      </c>
      <c r="J109" s="17" t="b">
        <v>0</v>
      </c>
      <c r="K109" s="17" t="b">
        <v>0</v>
      </c>
      <c r="L109" s="17" t="b">
        <v>0</v>
      </c>
      <c r="M109" s="17" t="b">
        <v>0</v>
      </c>
      <c r="N109" s="17" t="b">
        <v>1</v>
      </c>
      <c r="O109" s="17" t="b">
        <v>0</v>
      </c>
    </row>
    <row r="110" spans="1:15" ht="15.95" customHeight="1" x14ac:dyDescent="0.25">
      <c r="A110" s="20">
        <v>43475.668680555558</v>
      </c>
      <c r="B110" s="17" t="s">
        <v>2489</v>
      </c>
      <c r="C110" s="17" t="s">
        <v>2741</v>
      </c>
      <c r="D110" s="17" t="s">
        <v>2742</v>
      </c>
      <c r="E110" s="17">
        <v>0</v>
      </c>
      <c r="F110" s="17">
        <v>3.25</v>
      </c>
      <c r="G110" s="17">
        <v>3.7</v>
      </c>
      <c r="H110" s="17">
        <v>3.9</v>
      </c>
      <c r="I110" s="17">
        <v>1.3</v>
      </c>
      <c r="J110" s="17" t="b">
        <v>0</v>
      </c>
      <c r="K110" s="17" t="b">
        <v>0</v>
      </c>
      <c r="L110" s="17" t="b">
        <v>0</v>
      </c>
      <c r="M110" s="17" t="b">
        <v>0</v>
      </c>
      <c r="N110" s="17" t="b">
        <v>1</v>
      </c>
      <c r="O110" s="17" t="b">
        <v>0</v>
      </c>
    </row>
    <row r="111" spans="1:15" ht="15.95" customHeight="1" x14ac:dyDescent="0.25">
      <c r="A111" s="20">
        <v>43475.668680555558</v>
      </c>
      <c r="B111" s="17" t="s">
        <v>2489</v>
      </c>
      <c r="C111" s="17" t="s">
        <v>2741</v>
      </c>
      <c r="D111" s="17" t="s">
        <v>2742</v>
      </c>
      <c r="E111" s="17">
        <v>0</v>
      </c>
      <c r="F111" s="17">
        <v>3.25</v>
      </c>
      <c r="G111" s="17">
        <v>3.7</v>
      </c>
      <c r="H111" s="17">
        <v>3.9</v>
      </c>
      <c r="I111" s="17">
        <v>1.3</v>
      </c>
      <c r="J111" s="17" t="b">
        <v>0</v>
      </c>
      <c r="K111" s="17" t="b">
        <v>0</v>
      </c>
      <c r="L111" s="17" t="b">
        <v>0</v>
      </c>
      <c r="M111" s="17" t="b">
        <v>0</v>
      </c>
      <c r="N111" s="17" t="b">
        <v>1</v>
      </c>
      <c r="O111" s="17" t="b">
        <v>0</v>
      </c>
    </row>
    <row r="112" spans="1:15" ht="15.95" customHeight="1" x14ac:dyDescent="0.25">
      <c r="A112" s="20">
        <v>43475.668680555558</v>
      </c>
      <c r="B112" s="17" t="s">
        <v>2489</v>
      </c>
      <c r="C112" s="17" t="s">
        <v>2741</v>
      </c>
      <c r="D112" s="17" t="s">
        <v>2742</v>
      </c>
      <c r="E112" s="17">
        <v>0</v>
      </c>
      <c r="F112" s="17">
        <v>3.25</v>
      </c>
      <c r="G112" s="17">
        <v>3.7</v>
      </c>
      <c r="H112" s="17">
        <v>3.9</v>
      </c>
      <c r="I112" s="17">
        <v>1.3</v>
      </c>
      <c r="J112" s="17" t="b">
        <v>0</v>
      </c>
      <c r="K112" s="17" t="b">
        <v>0</v>
      </c>
      <c r="L112" s="17" t="b">
        <v>0</v>
      </c>
      <c r="M112" s="17" t="b">
        <v>0</v>
      </c>
      <c r="N112" s="17" t="b">
        <v>1</v>
      </c>
      <c r="O112" s="17" t="b">
        <v>0</v>
      </c>
    </row>
    <row r="113" spans="1:15" ht="15.95" customHeight="1" x14ac:dyDescent="0.25">
      <c r="A113" s="20">
        <v>43475.668680555558</v>
      </c>
      <c r="B113" s="17" t="s">
        <v>2489</v>
      </c>
      <c r="C113" s="17" t="s">
        <v>2741</v>
      </c>
      <c r="D113" s="17" t="s">
        <v>2742</v>
      </c>
      <c r="E113" s="17">
        <v>0</v>
      </c>
      <c r="F113" s="17">
        <v>3.25</v>
      </c>
      <c r="G113" s="17">
        <v>3.7</v>
      </c>
      <c r="H113" s="17">
        <v>3.9</v>
      </c>
      <c r="I113" s="17">
        <v>1.3</v>
      </c>
      <c r="J113" s="17" t="b">
        <v>0</v>
      </c>
      <c r="K113" s="17" t="b">
        <v>0</v>
      </c>
      <c r="L113" s="17" t="b">
        <v>0</v>
      </c>
      <c r="M113" s="17" t="b">
        <v>0</v>
      </c>
      <c r="N113" s="17" t="b">
        <v>1</v>
      </c>
      <c r="O113" s="17" t="b">
        <v>0</v>
      </c>
    </row>
    <row r="114" spans="1:15" ht="15.95" customHeight="1" x14ac:dyDescent="0.25">
      <c r="A114" s="20">
        <v>43475.668680555558</v>
      </c>
      <c r="B114" s="17" t="s">
        <v>2489</v>
      </c>
      <c r="C114" s="17" t="s">
        <v>2527</v>
      </c>
      <c r="D114" s="17" t="s">
        <v>2614</v>
      </c>
      <c r="E114" s="17" t="s">
        <v>2508</v>
      </c>
      <c r="F114" s="17">
        <v>3.25</v>
      </c>
      <c r="G114" s="17">
        <v>3.7</v>
      </c>
      <c r="H114" s="17">
        <v>3.9</v>
      </c>
      <c r="I114" s="17">
        <v>1.3</v>
      </c>
      <c r="J114" s="17" t="b">
        <v>0</v>
      </c>
      <c r="K114" s="17" t="b">
        <v>0</v>
      </c>
      <c r="L114" s="17" t="b">
        <v>0</v>
      </c>
      <c r="M114" s="17" t="b">
        <v>0</v>
      </c>
      <c r="N114" s="17" t="b">
        <v>1</v>
      </c>
      <c r="O114" s="17" t="b">
        <v>0</v>
      </c>
    </row>
    <row r="115" spans="1:15" ht="15.95" customHeight="1" x14ac:dyDescent="0.25">
      <c r="A115" s="20">
        <v>43475.668692129628</v>
      </c>
      <c r="B115" s="17" t="s">
        <v>2489</v>
      </c>
      <c r="C115" s="17" t="s">
        <v>2687</v>
      </c>
      <c r="D115" s="17" t="s">
        <v>2617</v>
      </c>
      <c r="E115" s="17" t="s">
        <v>2508</v>
      </c>
      <c r="F115" s="17">
        <v>3.25</v>
      </c>
      <c r="G115" s="17">
        <v>3.7</v>
      </c>
      <c r="H115" s="17">
        <v>3.9</v>
      </c>
      <c r="I115" s="17">
        <v>1.3</v>
      </c>
      <c r="J115" s="17" t="b">
        <v>0</v>
      </c>
      <c r="K115" s="17" t="b">
        <v>0</v>
      </c>
      <c r="L115" s="17" t="b">
        <v>0</v>
      </c>
      <c r="M115" s="17" t="b">
        <v>0</v>
      </c>
      <c r="N115" s="17" t="b">
        <v>1</v>
      </c>
      <c r="O115" s="17" t="b">
        <v>0</v>
      </c>
    </row>
    <row r="116" spans="1:15" ht="15.95" customHeight="1" x14ac:dyDescent="0.25">
      <c r="A116" s="20">
        <v>43475.668692129628</v>
      </c>
      <c r="B116" s="17" t="s">
        <v>2489</v>
      </c>
      <c r="C116" s="17" t="s">
        <v>2741</v>
      </c>
      <c r="D116" s="17" t="s">
        <v>2742</v>
      </c>
      <c r="E116" s="17">
        <v>0</v>
      </c>
      <c r="F116" s="17">
        <v>3.25</v>
      </c>
      <c r="G116" s="17">
        <v>3.7</v>
      </c>
      <c r="H116" s="17">
        <v>3.9</v>
      </c>
      <c r="I116" s="17">
        <v>1.3</v>
      </c>
      <c r="J116" s="17" t="b">
        <v>0</v>
      </c>
      <c r="K116" s="17" t="b">
        <v>0</v>
      </c>
      <c r="L116" s="17" t="b">
        <v>0</v>
      </c>
      <c r="M116" s="17" t="b">
        <v>0</v>
      </c>
      <c r="N116" s="17" t="b">
        <v>1</v>
      </c>
      <c r="O116" s="17" t="b">
        <v>0</v>
      </c>
    </row>
    <row r="117" spans="1:15" ht="15.95" customHeight="1" x14ac:dyDescent="0.25">
      <c r="A117" s="20">
        <v>43475.668692129628</v>
      </c>
      <c r="B117" s="17" t="s">
        <v>2489</v>
      </c>
      <c r="C117" s="17" t="s">
        <v>2741</v>
      </c>
      <c r="D117" s="17" t="s">
        <v>2742</v>
      </c>
      <c r="E117" s="17">
        <v>0</v>
      </c>
      <c r="F117" s="17">
        <v>3.25</v>
      </c>
      <c r="G117" s="17">
        <v>3.7</v>
      </c>
      <c r="H117" s="17">
        <v>3.9</v>
      </c>
      <c r="I117" s="17">
        <v>1.3</v>
      </c>
      <c r="J117" s="17" t="b">
        <v>0</v>
      </c>
      <c r="K117" s="17" t="b">
        <v>0</v>
      </c>
      <c r="L117" s="17" t="b">
        <v>0</v>
      </c>
      <c r="M117" s="17" t="b">
        <v>0</v>
      </c>
      <c r="N117" s="17" t="b">
        <v>1</v>
      </c>
      <c r="O117" s="17" t="b">
        <v>0</v>
      </c>
    </row>
    <row r="118" spans="1:15" ht="15.95" customHeight="1" x14ac:dyDescent="0.25">
      <c r="A118" s="20">
        <v>43475.668692129628</v>
      </c>
      <c r="B118" s="17" t="s">
        <v>2489</v>
      </c>
      <c r="C118" s="17" t="s">
        <v>2741</v>
      </c>
      <c r="D118" s="17" t="s">
        <v>2742</v>
      </c>
      <c r="E118" s="17">
        <v>0</v>
      </c>
      <c r="F118" s="17">
        <v>3.25</v>
      </c>
      <c r="G118" s="17">
        <v>3.7</v>
      </c>
      <c r="H118" s="17">
        <v>3.9</v>
      </c>
      <c r="I118" s="17">
        <v>1.3</v>
      </c>
      <c r="J118" s="17" t="b">
        <v>0</v>
      </c>
      <c r="K118" s="17" t="b">
        <v>0</v>
      </c>
      <c r="L118" s="17" t="b">
        <v>0</v>
      </c>
      <c r="M118" s="17" t="b">
        <v>0</v>
      </c>
      <c r="N118" s="17" t="b">
        <v>1</v>
      </c>
      <c r="O118" s="17" t="b">
        <v>0</v>
      </c>
    </row>
    <row r="119" spans="1:15" ht="15.95" customHeight="1" x14ac:dyDescent="0.25">
      <c r="A119" s="20">
        <v>43475.668692129628</v>
      </c>
      <c r="B119" s="17" t="s">
        <v>2489</v>
      </c>
      <c r="C119" s="17" t="s">
        <v>2741</v>
      </c>
      <c r="D119" s="17" t="s">
        <v>2742</v>
      </c>
      <c r="E119" s="17">
        <v>0</v>
      </c>
      <c r="F119" s="17">
        <v>3.25</v>
      </c>
      <c r="G119" s="17">
        <v>3.7</v>
      </c>
      <c r="H119" s="17">
        <v>3.9</v>
      </c>
      <c r="I119" s="17">
        <v>1.3</v>
      </c>
      <c r="J119" s="17" t="b">
        <v>0</v>
      </c>
      <c r="K119" s="17" t="b">
        <v>0</v>
      </c>
      <c r="L119" s="17" t="b">
        <v>0</v>
      </c>
      <c r="M119" s="17" t="b">
        <v>0</v>
      </c>
      <c r="N119" s="17" t="b">
        <v>1</v>
      </c>
      <c r="O119" s="17" t="b">
        <v>0</v>
      </c>
    </row>
    <row r="120" spans="1:15" ht="15.95" customHeight="1" x14ac:dyDescent="0.25">
      <c r="A120" s="20">
        <v>43475.668692129628</v>
      </c>
      <c r="B120" s="17" t="s">
        <v>2489</v>
      </c>
      <c r="C120" s="17" t="s">
        <v>2527</v>
      </c>
      <c r="D120" s="17" t="s">
        <v>2372</v>
      </c>
      <c r="E120" s="17" t="s">
        <v>2508</v>
      </c>
      <c r="F120" s="17">
        <v>3.25</v>
      </c>
      <c r="G120" s="17">
        <v>3.7</v>
      </c>
      <c r="H120" s="17">
        <v>3.9</v>
      </c>
      <c r="I120" s="17">
        <v>1.3</v>
      </c>
      <c r="J120" s="17" t="b">
        <v>0</v>
      </c>
      <c r="K120" s="17" t="b">
        <v>0</v>
      </c>
      <c r="L120" s="17" t="b">
        <v>0</v>
      </c>
      <c r="M120" s="17" t="b">
        <v>0</v>
      </c>
      <c r="N120" s="17" t="b">
        <v>1</v>
      </c>
      <c r="O120" s="17" t="b">
        <v>0</v>
      </c>
    </row>
    <row r="121" spans="1:15" ht="15.95" customHeight="1" x14ac:dyDescent="0.25">
      <c r="A121" s="20">
        <v>43475.668703703705</v>
      </c>
      <c r="B121" s="17" t="s">
        <v>2489</v>
      </c>
      <c r="C121" s="17" t="s">
        <v>2690</v>
      </c>
      <c r="D121" s="17" t="s">
        <v>2617</v>
      </c>
      <c r="E121" s="17" t="s">
        <v>2508</v>
      </c>
      <c r="F121" s="17">
        <v>3.25</v>
      </c>
      <c r="G121" s="17">
        <v>3.7</v>
      </c>
      <c r="H121" s="17">
        <v>3.9</v>
      </c>
      <c r="I121" s="17">
        <v>1.3</v>
      </c>
      <c r="J121" s="17" t="b">
        <v>0</v>
      </c>
      <c r="K121" s="17" t="b">
        <v>0</v>
      </c>
      <c r="L121" s="17" t="b">
        <v>0</v>
      </c>
      <c r="M121" s="17" t="b">
        <v>0</v>
      </c>
      <c r="N121" s="17" t="b">
        <v>1</v>
      </c>
      <c r="O121" s="17" t="b">
        <v>0</v>
      </c>
    </row>
    <row r="122" spans="1:15" ht="15.95" customHeight="1" x14ac:dyDescent="0.25">
      <c r="A122" s="20">
        <v>43475.668703703705</v>
      </c>
      <c r="B122" s="17" t="s">
        <v>2489</v>
      </c>
      <c r="C122" s="17" t="s">
        <v>2741</v>
      </c>
      <c r="D122" s="17" t="s">
        <v>2742</v>
      </c>
      <c r="E122" s="17">
        <v>0</v>
      </c>
      <c r="F122" s="17">
        <v>3.25</v>
      </c>
      <c r="G122" s="17">
        <v>3.7</v>
      </c>
      <c r="H122" s="17">
        <v>3.9</v>
      </c>
      <c r="I122" s="17">
        <v>1.3</v>
      </c>
      <c r="J122" s="17" t="b">
        <v>0</v>
      </c>
      <c r="K122" s="17" t="b">
        <v>0</v>
      </c>
      <c r="L122" s="17" t="b">
        <v>0</v>
      </c>
      <c r="M122" s="17" t="b">
        <v>0</v>
      </c>
      <c r="N122" s="17" t="b">
        <v>1</v>
      </c>
      <c r="O122" s="17" t="b">
        <v>0</v>
      </c>
    </row>
    <row r="123" spans="1:15" ht="15.95" customHeight="1" x14ac:dyDescent="0.25">
      <c r="A123" s="20">
        <v>43475.668703703705</v>
      </c>
      <c r="B123" s="17" t="s">
        <v>2489</v>
      </c>
      <c r="C123" s="17" t="s">
        <v>2741</v>
      </c>
      <c r="D123" s="17" t="s">
        <v>2742</v>
      </c>
      <c r="E123" s="17">
        <v>0</v>
      </c>
      <c r="F123" s="17">
        <v>3.25</v>
      </c>
      <c r="G123" s="17">
        <v>3.7</v>
      </c>
      <c r="H123" s="17">
        <v>3.9</v>
      </c>
      <c r="I123" s="17">
        <v>1.3</v>
      </c>
      <c r="J123" s="17" t="b">
        <v>0</v>
      </c>
      <c r="K123" s="17" t="b">
        <v>0</v>
      </c>
      <c r="L123" s="17" t="b">
        <v>0</v>
      </c>
      <c r="M123" s="17" t="b">
        <v>0</v>
      </c>
      <c r="N123" s="17" t="b">
        <v>1</v>
      </c>
      <c r="O123" s="17" t="b">
        <v>0</v>
      </c>
    </row>
    <row r="124" spans="1:15" ht="15.95" customHeight="1" x14ac:dyDescent="0.25">
      <c r="A124" s="20">
        <v>43475.668703703705</v>
      </c>
      <c r="B124" s="17" t="s">
        <v>2489</v>
      </c>
      <c r="C124" s="17" t="s">
        <v>2741</v>
      </c>
      <c r="D124" s="17" t="s">
        <v>2742</v>
      </c>
      <c r="E124" s="17">
        <v>0</v>
      </c>
      <c r="F124" s="17">
        <v>3.25</v>
      </c>
      <c r="G124" s="17">
        <v>3.7</v>
      </c>
      <c r="H124" s="17">
        <v>3.9</v>
      </c>
      <c r="I124" s="17">
        <v>1.3</v>
      </c>
      <c r="J124" s="17" t="b">
        <v>0</v>
      </c>
      <c r="K124" s="17" t="b">
        <v>0</v>
      </c>
      <c r="L124" s="17" t="b">
        <v>0</v>
      </c>
      <c r="M124" s="17" t="b">
        <v>0</v>
      </c>
      <c r="N124" s="17" t="b">
        <v>1</v>
      </c>
      <c r="O124" s="17" t="b">
        <v>0</v>
      </c>
    </row>
    <row r="125" spans="1:15" ht="15.95" customHeight="1" x14ac:dyDescent="0.25">
      <c r="A125" s="20">
        <v>43475.668703703705</v>
      </c>
      <c r="B125" s="17" t="s">
        <v>2489</v>
      </c>
      <c r="C125" s="17" t="s">
        <v>2741</v>
      </c>
      <c r="D125" s="17" t="s">
        <v>2742</v>
      </c>
      <c r="E125" s="17">
        <v>0</v>
      </c>
      <c r="F125" s="17">
        <v>3.25</v>
      </c>
      <c r="G125" s="17">
        <v>3.7</v>
      </c>
      <c r="H125" s="17">
        <v>3.9</v>
      </c>
      <c r="I125" s="17">
        <v>1.3</v>
      </c>
      <c r="J125" s="17" t="b">
        <v>0</v>
      </c>
      <c r="K125" s="17" t="b">
        <v>0</v>
      </c>
      <c r="L125" s="17" t="b">
        <v>0</v>
      </c>
      <c r="M125" s="17" t="b">
        <v>0</v>
      </c>
      <c r="N125" s="17" t="b">
        <v>1</v>
      </c>
      <c r="O125" s="17" t="b">
        <v>0</v>
      </c>
    </row>
    <row r="126" spans="1:15" ht="15.95" customHeight="1" x14ac:dyDescent="0.25">
      <c r="A126" s="20">
        <v>43475.668703703705</v>
      </c>
      <c r="B126" s="17" t="s">
        <v>2489</v>
      </c>
      <c r="C126" s="17" t="s">
        <v>2527</v>
      </c>
      <c r="D126" s="17" t="s">
        <v>2620</v>
      </c>
      <c r="E126" s="17" t="s">
        <v>2508</v>
      </c>
      <c r="F126" s="17">
        <v>3.25</v>
      </c>
      <c r="G126" s="17">
        <v>3.7</v>
      </c>
      <c r="H126" s="17">
        <v>3.9</v>
      </c>
      <c r="I126" s="17">
        <v>1.3</v>
      </c>
      <c r="J126" s="17" t="b">
        <v>0</v>
      </c>
      <c r="K126" s="17" t="b">
        <v>0</v>
      </c>
      <c r="L126" s="17" t="b">
        <v>0</v>
      </c>
      <c r="M126" s="17" t="b">
        <v>0</v>
      </c>
      <c r="N126" s="17" t="b">
        <v>1</v>
      </c>
      <c r="O126" s="17" t="b">
        <v>0</v>
      </c>
    </row>
    <row r="127" spans="1:15" ht="15.95" customHeight="1" x14ac:dyDescent="0.25">
      <c r="A127" s="20">
        <v>43475.668703703705</v>
      </c>
      <c r="B127" s="17" t="s">
        <v>2489</v>
      </c>
      <c r="C127" s="17" t="s">
        <v>2693</v>
      </c>
      <c r="D127" s="17" t="s">
        <v>2617</v>
      </c>
      <c r="E127" s="17" t="s">
        <v>2508</v>
      </c>
      <c r="F127" s="17">
        <v>3.25</v>
      </c>
      <c r="G127" s="17">
        <v>3.7</v>
      </c>
      <c r="H127" s="17">
        <v>3.9</v>
      </c>
      <c r="I127" s="17">
        <v>1.3</v>
      </c>
      <c r="J127" s="17" t="b">
        <v>0</v>
      </c>
      <c r="K127" s="17" t="b">
        <v>0</v>
      </c>
      <c r="L127" s="17" t="b">
        <v>0</v>
      </c>
      <c r="M127" s="17" t="b">
        <v>0</v>
      </c>
      <c r="N127" s="17" t="b">
        <v>1</v>
      </c>
      <c r="O127" s="17" t="b">
        <v>0</v>
      </c>
    </row>
    <row r="128" spans="1:15" ht="15.95" customHeight="1" x14ac:dyDescent="0.25">
      <c r="A128" s="20">
        <v>43475.668703703705</v>
      </c>
      <c r="B128" s="17" t="s">
        <v>2489</v>
      </c>
      <c r="C128" s="17" t="s">
        <v>2741</v>
      </c>
      <c r="D128" s="17" t="s">
        <v>2742</v>
      </c>
      <c r="E128" s="17">
        <v>0</v>
      </c>
      <c r="F128" s="17">
        <v>3.25</v>
      </c>
      <c r="G128" s="17">
        <v>3.7</v>
      </c>
      <c r="H128" s="17">
        <v>3.9</v>
      </c>
      <c r="I128" s="17">
        <v>1.3</v>
      </c>
      <c r="J128" s="17" t="b">
        <v>0</v>
      </c>
      <c r="K128" s="17" t="b">
        <v>0</v>
      </c>
      <c r="L128" s="17" t="b">
        <v>0</v>
      </c>
      <c r="M128" s="17" t="b">
        <v>0</v>
      </c>
      <c r="N128" s="17" t="b">
        <v>1</v>
      </c>
      <c r="O128" s="17" t="b">
        <v>0</v>
      </c>
    </row>
    <row r="129" spans="1:15" ht="15.95" customHeight="1" x14ac:dyDescent="0.25">
      <c r="A129" s="20">
        <v>43475.668703703705</v>
      </c>
      <c r="B129" s="17" t="s">
        <v>2489</v>
      </c>
      <c r="C129" s="17" t="s">
        <v>2741</v>
      </c>
      <c r="D129" s="17" t="s">
        <v>2742</v>
      </c>
      <c r="E129" s="17">
        <v>0</v>
      </c>
      <c r="F129" s="17">
        <v>3.25</v>
      </c>
      <c r="G129" s="17">
        <v>3.7</v>
      </c>
      <c r="H129" s="17">
        <v>3.9</v>
      </c>
      <c r="I129" s="17">
        <v>1.3</v>
      </c>
      <c r="J129" s="17" t="b">
        <v>0</v>
      </c>
      <c r="K129" s="17" t="b">
        <v>0</v>
      </c>
      <c r="L129" s="17" t="b">
        <v>0</v>
      </c>
      <c r="M129" s="17" t="b">
        <v>0</v>
      </c>
      <c r="N129" s="17" t="b">
        <v>1</v>
      </c>
      <c r="O129" s="17" t="b">
        <v>0</v>
      </c>
    </row>
    <row r="130" spans="1:15" ht="15.95" customHeight="1" x14ac:dyDescent="0.25">
      <c r="A130" s="20">
        <v>43475.668703703705</v>
      </c>
      <c r="B130" s="17" t="s">
        <v>2489</v>
      </c>
      <c r="C130" s="17" t="s">
        <v>2741</v>
      </c>
      <c r="D130" s="17" t="s">
        <v>2742</v>
      </c>
      <c r="E130" s="17">
        <v>0</v>
      </c>
      <c r="F130" s="17">
        <v>3.25</v>
      </c>
      <c r="G130" s="17">
        <v>3.7</v>
      </c>
      <c r="H130" s="17">
        <v>3.9</v>
      </c>
      <c r="I130" s="17">
        <v>1.3</v>
      </c>
      <c r="J130" s="17" t="b">
        <v>0</v>
      </c>
      <c r="K130" s="17" t="b">
        <v>0</v>
      </c>
      <c r="L130" s="17" t="b">
        <v>0</v>
      </c>
      <c r="M130" s="17" t="b">
        <v>0</v>
      </c>
      <c r="N130" s="17" t="b">
        <v>1</v>
      </c>
      <c r="O130" s="17" t="b">
        <v>0</v>
      </c>
    </row>
    <row r="131" spans="1:15" ht="15.95" customHeight="1" x14ac:dyDescent="0.25">
      <c r="A131" s="20">
        <v>43475.668703703705</v>
      </c>
      <c r="B131" s="17" t="s">
        <v>2489</v>
      </c>
      <c r="C131" s="17" t="s">
        <v>2741</v>
      </c>
      <c r="D131" s="17" t="s">
        <v>2742</v>
      </c>
      <c r="E131" s="17">
        <v>0</v>
      </c>
      <c r="F131" s="17">
        <v>3.25</v>
      </c>
      <c r="G131" s="17">
        <v>3.7</v>
      </c>
      <c r="H131" s="17">
        <v>3.9</v>
      </c>
      <c r="I131" s="17">
        <v>1.3</v>
      </c>
      <c r="J131" s="17" t="b">
        <v>0</v>
      </c>
      <c r="K131" s="17" t="b">
        <v>0</v>
      </c>
      <c r="L131" s="17" t="b">
        <v>0</v>
      </c>
      <c r="M131" s="17" t="b">
        <v>0</v>
      </c>
      <c r="N131" s="17" t="b">
        <v>1</v>
      </c>
      <c r="O131" s="17" t="b">
        <v>0</v>
      </c>
    </row>
    <row r="132" spans="1:15" ht="15.95" customHeight="1" x14ac:dyDescent="0.25">
      <c r="A132" s="20">
        <v>43475.668703703705</v>
      </c>
      <c r="B132" s="17" t="s">
        <v>2489</v>
      </c>
      <c r="C132" s="17" t="s">
        <v>2527</v>
      </c>
      <c r="D132" s="17" t="s">
        <v>2623</v>
      </c>
      <c r="E132" s="17" t="s">
        <v>2508</v>
      </c>
      <c r="F132" s="17">
        <v>3.25</v>
      </c>
      <c r="G132" s="17">
        <v>3.7</v>
      </c>
      <c r="H132" s="17">
        <v>3.9</v>
      </c>
      <c r="I132" s="17">
        <v>1.3</v>
      </c>
      <c r="J132" s="17" t="b">
        <v>0</v>
      </c>
      <c r="K132" s="17" t="b">
        <v>0</v>
      </c>
      <c r="L132" s="17" t="b">
        <v>0</v>
      </c>
      <c r="M132" s="17" t="b">
        <v>0</v>
      </c>
      <c r="N132" s="17" t="b">
        <v>1</v>
      </c>
      <c r="O132" s="17" t="b">
        <v>0</v>
      </c>
    </row>
    <row r="133" spans="1:15" ht="15.95" customHeight="1" x14ac:dyDescent="0.25">
      <c r="A133" s="20">
        <v>43475.668715277781</v>
      </c>
      <c r="B133" s="17" t="s">
        <v>2489</v>
      </c>
      <c r="C133" s="17" t="s">
        <v>2701</v>
      </c>
      <c r="D133" s="17" t="s">
        <v>2617</v>
      </c>
      <c r="E133" s="17" t="s">
        <v>2508</v>
      </c>
      <c r="F133" s="17">
        <v>3.25</v>
      </c>
      <c r="G133" s="17">
        <v>3.7</v>
      </c>
      <c r="H133" s="17">
        <v>3.9</v>
      </c>
      <c r="I133" s="17">
        <v>1.3</v>
      </c>
      <c r="J133" s="17" t="b">
        <v>0</v>
      </c>
      <c r="K133" s="17" t="b">
        <v>0</v>
      </c>
      <c r="L133" s="17" t="b">
        <v>0</v>
      </c>
      <c r="M133" s="17" t="b">
        <v>0</v>
      </c>
      <c r="N133" s="17" t="b">
        <v>1</v>
      </c>
      <c r="O133" s="17" t="b">
        <v>0</v>
      </c>
    </row>
    <row r="134" spans="1:15" ht="15.95" customHeight="1" x14ac:dyDescent="0.25">
      <c r="A134" s="20">
        <v>43475.668715277781</v>
      </c>
      <c r="B134" s="17" t="s">
        <v>2489</v>
      </c>
      <c r="C134" s="17" t="s">
        <v>2741</v>
      </c>
      <c r="D134" s="17" t="s">
        <v>2742</v>
      </c>
      <c r="E134" s="17">
        <v>0</v>
      </c>
      <c r="F134" s="17">
        <v>3.25</v>
      </c>
      <c r="G134" s="17">
        <v>3.7</v>
      </c>
      <c r="H134" s="17">
        <v>3.9</v>
      </c>
      <c r="I134" s="17">
        <v>1.3</v>
      </c>
      <c r="J134" s="17" t="b">
        <v>0</v>
      </c>
      <c r="K134" s="17" t="b">
        <v>0</v>
      </c>
      <c r="L134" s="17" t="b">
        <v>0</v>
      </c>
      <c r="M134" s="17" t="b">
        <v>0</v>
      </c>
      <c r="N134" s="17" t="b">
        <v>1</v>
      </c>
      <c r="O134" s="17" t="b">
        <v>0</v>
      </c>
    </row>
    <row r="135" spans="1:15" ht="15.95" customHeight="1" x14ac:dyDescent="0.25">
      <c r="A135" s="20">
        <v>43475.668715277781</v>
      </c>
      <c r="B135" s="17" t="s">
        <v>2489</v>
      </c>
      <c r="C135" s="17" t="s">
        <v>2741</v>
      </c>
      <c r="D135" s="17" t="s">
        <v>2742</v>
      </c>
      <c r="E135" s="17">
        <v>0</v>
      </c>
      <c r="F135" s="17">
        <v>3.25</v>
      </c>
      <c r="G135" s="17">
        <v>3.7</v>
      </c>
      <c r="H135" s="17">
        <v>3.9</v>
      </c>
      <c r="I135" s="17">
        <v>1.3</v>
      </c>
      <c r="J135" s="17" t="b">
        <v>0</v>
      </c>
      <c r="K135" s="17" t="b">
        <v>0</v>
      </c>
      <c r="L135" s="17" t="b">
        <v>0</v>
      </c>
      <c r="M135" s="17" t="b">
        <v>0</v>
      </c>
      <c r="N135" s="17" t="b">
        <v>1</v>
      </c>
      <c r="O135" s="17" t="b">
        <v>0</v>
      </c>
    </row>
    <row r="136" spans="1:15" ht="15.95" customHeight="1" x14ac:dyDescent="0.25">
      <c r="A136" s="20">
        <v>43475.668715277781</v>
      </c>
      <c r="B136" s="17" t="s">
        <v>2489</v>
      </c>
      <c r="C136" s="17" t="s">
        <v>2741</v>
      </c>
      <c r="D136" s="17" t="s">
        <v>2742</v>
      </c>
      <c r="E136" s="17">
        <v>0</v>
      </c>
      <c r="F136" s="17">
        <v>3.25</v>
      </c>
      <c r="G136" s="17">
        <v>3.7</v>
      </c>
      <c r="H136" s="17">
        <v>3.9</v>
      </c>
      <c r="I136" s="17">
        <v>1.3</v>
      </c>
      <c r="J136" s="17" t="b">
        <v>0</v>
      </c>
      <c r="K136" s="17" t="b">
        <v>0</v>
      </c>
      <c r="L136" s="17" t="b">
        <v>0</v>
      </c>
      <c r="M136" s="17" t="b">
        <v>0</v>
      </c>
      <c r="N136" s="17" t="b">
        <v>1</v>
      </c>
      <c r="O136" s="17" t="b">
        <v>0</v>
      </c>
    </row>
    <row r="137" spans="1:15" ht="15.95" customHeight="1" x14ac:dyDescent="0.25">
      <c r="A137" s="20">
        <v>43475.668715277781</v>
      </c>
      <c r="B137" s="17" t="s">
        <v>2489</v>
      </c>
      <c r="C137" s="17" t="s">
        <v>2741</v>
      </c>
      <c r="D137" s="17" t="s">
        <v>2742</v>
      </c>
      <c r="E137" s="17">
        <v>0</v>
      </c>
      <c r="F137" s="17">
        <v>3.25</v>
      </c>
      <c r="G137" s="17">
        <v>3.7</v>
      </c>
      <c r="H137" s="17">
        <v>3.9</v>
      </c>
      <c r="I137" s="17">
        <v>1.3</v>
      </c>
      <c r="J137" s="17" t="b">
        <v>0</v>
      </c>
      <c r="K137" s="17" t="b">
        <v>0</v>
      </c>
      <c r="L137" s="17" t="b">
        <v>0</v>
      </c>
      <c r="M137" s="17" t="b">
        <v>0</v>
      </c>
      <c r="N137" s="17" t="b">
        <v>1</v>
      </c>
      <c r="O137" s="17" t="b">
        <v>0</v>
      </c>
    </row>
    <row r="138" spans="1:15" ht="15.95" customHeight="1" x14ac:dyDescent="0.25">
      <c r="A138" s="20">
        <v>43475.668715277781</v>
      </c>
      <c r="B138" s="17" t="s">
        <v>2489</v>
      </c>
      <c r="C138" s="17" t="s">
        <v>2527</v>
      </c>
      <c r="D138" s="17" t="s">
        <v>2628</v>
      </c>
      <c r="E138" s="17" t="s">
        <v>2508</v>
      </c>
      <c r="F138" s="17">
        <v>3.25</v>
      </c>
      <c r="G138" s="17">
        <v>3.7</v>
      </c>
      <c r="H138" s="17">
        <v>3.9</v>
      </c>
      <c r="I138" s="17">
        <v>1.3</v>
      </c>
      <c r="J138" s="17" t="b">
        <v>0</v>
      </c>
      <c r="K138" s="17" t="b">
        <v>0</v>
      </c>
      <c r="L138" s="17" t="b">
        <v>0</v>
      </c>
      <c r="M138" s="17" t="b">
        <v>0</v>
      </c>
      <c r="N138" s="17" t="b">
        <v>1</v>
      </c>
      <c r="O138" s="17" t="b">
        <v>0</v>
      </c>
    </row>
    <row r="139" spans="1:15" ht="15.95" customHeight="1" x14ac:dyDescent="0.25">
      <c r="A139" s="20">
        <v>43475.668726851851</v>
      </c>
      <c r="B139" s="17" t="s">
        <v>2489</v>
      </c>
      <c r="C139" s="17" t="s">
        <v>2714</v>
      </c>
      <c r="D139" s="17" t="s">
        <v>2617</v>
      </c>
      <c r="E139" s="17" t="s">
        <v>2508</v>
      </c>
      <c r="F139" s="17">
        <v>3.25</v>
      </c>
      <c r="G139" s="17">
        <v>3.7</v>
      </c>
      <c r="H139" s="17">
        <v>3.9</v>
      </c>
      <c r="I139" s="17">
        <v>1.3</v>
      </c>
      <c r="J139" s="17" t="b">
        <v>0</v>
      </c>
      <c r="K139" s="17" t="b">
        <v>0</v>
      </c>
      <c r="L139" s="17" t="b">
        <v>0</v>
      </c>
      <c r="M139" s="17" t="b">
        <v>0</v>
      </c>
      <c r="N139" s="17" t="b">
        <v>1</v>
      </c>
      <c r="O139" s="17" t="b">
        <v>0</v>
      </c>
    </row>
    <row r="140" spans="1:15" ht="15.95" customHeight="1" x14ac:dyDescent="0.25">
      <c r="A140" s="20">
        <v>43475.668726851851</v>
      </c>
      <c r="B140" s="17" t="s">
        <v>2489</v>
      </c>
      <c r="C140" s="17" t="s">
        <v>2741</v>
      </c>
      <c r="D140" s="17" t="s">
        <v>2742</v>
      </c>
      <c r="E140" s="17">
        <v>0</v>
      </c>
      <c r="F140" s="17">
        <v>3.25</v>
      </c>
      <c r="G140" s="17">
        <v>3.7</v>
      </c>
      <c r="H140" s="17">
        <v>3.9</v>
      </c>
      <c r="I140" s="17">
        <v>1.4</v>
      </c>
      <c r="J140" s="17" t="b">
        <v>0</v>
      </c>
      <c r="K140" s="17" t="b">
        <v>0</v>
      </c>
      <c r="L140" s="17" t="b">
        <v>0</v>
      </c>
      <c r="M140" s="17" t="b">
        <v>0</v>
      </c>
      <c r="N140" s="17" t="b">
        <v>1</v>
      </c>
      <c r="O140" s="17" t="b">
        <v>0</v>
      </c>
    </row>
    <row r="141" spans="1:15" ht="15.95" customHeight="1" x14ac:dyDescent="0.25">
      <c r="A141" s="20">
        <v>43475.668726851851</v>
      </c>
      <c r="B141" s="17" t="s">
        <v>2489</v>
      </c>
      <c r="C141" s="17" t="s">
        <v>2456</v>
      </c>
      <c r="D141" s="17" t="s">
        <v>2614</v>
      </c>
      <c r="E141" s="17" t="s">
        <v>2508</v>
      </c>
      <c r="F141" s="17">
        <v>3.25</v>
      </c>
      <c r="G141" s="17">
        <v>3.7</v>
      </c>
      <c r="H141" s="17">
        <v>3.9</v>
      </c>
      <c r="I141" s="17">
        <v>1.4</v>
      </c>
      <c r="J141" s="17" t="b">
        <v>0</v>
      </c>
      <c r="K141" s="17" t="b">
        <v>0</v>
      </c>
      <c r="L141" s="17" t="b">
        <v>0</v>
      </c>
      <c r="M141" s="17" t="b">
        <v>0</v>
      </c>
      <c r="N141" s="17" t="b">
        <v>1</v>
      </c>
      <c r="O141" s="17" t="b">
        <v>0</v>
      </c>
    </row>
    <row r="142" spans="1:15" ht="15.95" customHeight="1" x14ac:dyDescent="0.25">
      <c r="A142" s="20">
        <v>43475.668726851851</v>
      </c>
      <c r="B142" s="17" t="s">
        <v>2489</v>
      </c>
      <c r="C142" s="17" t="s">
        <v>2765</v>
      </c>
      <c r="D142" s="17" t="s">
        <v>2617</v>
      </c>
      <c r="E142" s="17" t="s">
        <v>2508</v>
      </c>
      <c r="F142" s="17">
        <v>3.25</v>
      </c>
      <c r="G142" s="17">
        <v>3.7</v>
      </c>
      <c r="H142" s="17">
        <v>3.9</v>
      </c>
      <c r="I142" s="17">
        <v>1.4</v>
      </c>
      <c r="J142" s="17" t="b">
        <v>0</v>
      </c>
      <c r="K142" s="17" t="b">
        <v>0</v>
      </c>
      <c r="L142" s="17" t="b">
        <v>0</v>
      </c>
      <c r="M142" s="17" t="b">
        <v>0</v>
      </c>
      <c r="N142" s="17" t="b">
        <v>1</v>
      </c>
      <c r="O142" s="17" t="b">
        <v>0</v>
      </c>
    </row>
    <row r="143" spans="1:15" ht="15.95" customHeight="1" x14ac:dyDescent="0.25">
      <c r="A143" s="20">
        <v>43475.668726851851</v>
      </c>
      <c r="B143" s="17" t="s">
        <v>2489</v>
      </c>
      <c r="C143" s="17" t="s">
        <v>2741</v>
      </c>
      <c r="D143" s="17" t="s">
        <v>2742</v>
      </c>
      <c r="E143" s="17">
        <v>0</v>
      </c>
      <c r="F143" s="17">
        <v>3.25</v>
      </c>
      <c r="G143" s="17">
        <v>3.7</v>
      </c>
      <c r="H143" s="17">
        <v>3.9</v>
      </c>
      <c r="I143" s="17">
        <v>1.4</v>
      </c>
      <c r="J143" s="17" t="b">
        <v>0</v>
      </c>
      <c r="K143" s="17" t="b">
        <v>0</v>
      </c>
      <c r="L143" s="17" t="b">
        <v>0</v>
      </c>
      <c r="M143" s="17" t="b">
        <v>0</v>
      </c>
      <c r="N143" s="17" t="b">
        <v>1</v>
      </c>
      <c r="O143" s="17" t="b">
        <v>0</v>
      </c>
    </row>
    <row r="144" spans="1:15" ht="15.95" customHeight="1" x14ac:dyDescent="0.25">
      <c r="A144" s="20">
        <v>43475.668726851851</v>
      </c>
      <c r="B144" s="17" t="s">
        <v>2489</v>
      </c>
      <c r="C144" s="17" t="s">
        <v>2456</v>
      </c>
      <c r="D144" s="17" t="s">
        <v>2372</v>
      </c>
      <c r="E144" s="17" t="s">
        <v>2508</v>
      </c>
      <c r="F144" s="17">
        <v>3.25</v>
      </c>
      <c r="G144" s="17">
        <v>3.7</v>
      </c>
      <c r="H144" s="17">
        <v>3.9</v>
      </c>
      <c r="I144" s="17">
        <v>1.4</v>
      </c>
      <c r="J144" s="17" t="b">
        <v>0</v>
      </c>
      <c r="K144" s="17" t="b">
        <v>0</v>
      </c>
      <c r="L144" s="17" t="b">
        <v>0</v>
      </c>
      <c r="M144" s="17" t="b">
        <v>0</v>
      </c>
      <c r="N144" s="17" t="b">
        <v>1</v>
      </c>
      <c r="O144" s="17" t="b">
        <v>0</v>
      </c>
    </row>
    <row r="145" spans="1:15" ht="15.95" customHeight="1" x14ac:dyDescent="0.25">
      <c r="A145" s="20">
        <v>43475.668738425928</v>
      </c>
      <c r="B145" s="17" t="s">
        <v>2489</v>
      </c>
      <c r="C145" s="17" t="s">
        <v>2767</v>
      </c>
      <c r="D145" s="17" t="s">
        <v>2617</v>
      </c>
      <c r="E145" s="17" t="s">
        <v>2508</v>
      </c>
      <c r="F145" s="17">
        <v>3.25</v>
      </c>
      <c r="G145" s="17">
        <v>3.7</v>
      </c>
      <c r="H145" s="17">
        <v>3.9</v>
      </c>
      <c r="I145" s="17">
        <v>1.4</v>
      </c>
      <c r="J145" s="17" t="b">
        <v>0</v>
      </c>
      <c r="K145" s="17" t="b">
        <v>0</v>
      </c>
      <c r="L145" s="17" t="b">
        <v>0</v>
      </c>
      <c r="M145" s="17" t="b">
        <v>0</v>
      </c>
      <c r="N145" s="17" t="b">
        <v>1</v>
      </c>
      <c r="O145" s="17" t="b">
        <v>0</v>
      </c>
    </row>
    <row r="146" spans="1:15" ht="15.95" customHeight="1" x14ac:dyDescent="0.25">
      <c r="A146" s="20">
        <v>43475.668738425928</v>
      </c>
      <c r="B146" s="17" t="s">
        <v>2489</v>
      </c>
      <c r="C146" s="17" t="s">
        <v>2741</v>
      </c>
      <c r="D146" s="17" t="s">
        <v>2742</v>
      </c>
      <c r="E146" s="17">
        <v>0</v>
      </c>
      <c r="F146" s="17">
        <v>3.25</v>
      </c>
      <c r="G146" s="17">
        <v>3.7</v>
      </c>
      <c r="H146" s="17">
        <v>3.9</v>
      </c>
      <c r="I146" s="17">
        <v>1.4</v>
      </c>
      <c r="J146" s="17" t="b">
        <v>0</v>
      </c>
      <c r="K146" s="17" t="b">
        <v>0</v>
      </c>
      <c r="L146" s="17" t="b">
        <v>0</v>
      </c>
      <c r="M146" s="17" t="b">
        <v>0</v>
      </c>
      <c r="N146" s="17" t="b">
        <v>1</v>
      </c>
      <c r="O146" s="17" t="b">
        <v>0</v>
      </c>
    </row>
    <row r="147" spans="1:15" ht="15.95" customHeight="1" x14ac:dyDescent="0.25">
      <c r="A147" s="20">
        <v>43475.668738425928</v>
      </c>
      <c r="B147" s="17" t="s">
        <v>2489</v>
      </c>
      <c r="C147" s="17" t="s">
        <v>2456</v>
      </c>
      <c r="D147" s="17" t="s">
        <v>2620</v>
      </c>
      <c r="E147" s="17" t="s">
        <v>2508</v>
      </c>
      <c r="F147" s="17">
        <v>3.25</v>
      </c>
      <c r="G147" s="17">
        <v>3.7</v>
      </c>
      <c r="H147" s="17">
        <v>3.9</v>
      </c>
      <c r="I147" s="17">
        <v>1.4</v>
      </c>
      <c r="J147" s="17" t="b">
        <v>0</v>
      </c>
      <c r="K147" s="17" t="b">
        <v>0</v>
      </c>
      <c r="L147" s="17" t="b">
        <v>0</v>
      </c>
      <c r="M147" s="17" t="b">
        <v>0</v>
      </c>
      <c r="N147" s="17" t="b">
        <v>1</v>
      </c>
      <c r="O147" s="17" t="b">
        <v>0</v>
      </c>
    </row>
    <row r="148" spans="1:15" ht="15.95" customHeight="1" x14ac:dyDescent="0.25">
      <c r="A148" s="20">
        <v>43475.668738425928</v>
      </c>
      <c r="B148" s="17" t="s">
        <v>2489</v>
      </c>
      <c r="C148" s="17" t="s">
        <v>2769</v>
      </c>
      <c r="D148" s="17" t="s">
        <v>2617</v>
      </c>
      <c r="E148" s="17" t="s">
        <v>2508</v>
      </c>
      <c r="F148" s="17">
        <v>3.25</v>
      </c>
      <c r="G148" s="17">
        <v>3.7</v>
      </c>
      <c r="H148" s="17">
        <v>3.9</v>
      </c>
      <c r="I148" s="17">
        <v>1.4</v>
      </c>
      <c r="J148" s="17" t="b">
        <v>0</v>
      </c>
      <c r="K148" s="17" t="b">
        <v>0</v>
      </c>
      <c r="L148" s="17" t="b">
        <v>0</v>
      </c>
      <c r="M148" s="17" t="b">
        <v>0</v>
      </c>
      <c r="N148" s="17" t="b">
        <v>1</v>
      </c>
      <c r="O148" s="17" t="b">
        <v>0</v>
      </c>
    </row>
    <row r="149" spans="1:15" ht="15.95" customHeight="1" x14ac:dyDescent="0.25">
      <c r="A149" s="20">
        <v>43475.668738425928</v>
      </c>
      <c r="B149" s="17" t="s">
        <v>2489</v>
      </c>
      <c r="C149" s="17" t="s">
        <v>2741</v>
      </c>
      <c r="D149" s="17" t="s">
        <v>2742</v>
      </c>
      <c r="E149" s="17">
        <v>0</v>
      </c>
      <c r="F149" s="17">
        <v>3.25</v>
      </c>
      <c r="G149" s="17">
        <v>3.7</v>
      </c>
      <c r="H149" s="17">
        <v>3.9</v>
      </c>
      <c r="I149" s="17">
        <v>1.4</v>
      </c>
      <c r="J149" s="17" t="b">
        <v>0</v>
      </c>
      <c r="K149" s="17" t="b">
        <v>0</v>
      </c>
      <c r="L149" s="17" t="b">
        <v>0</v>
      </c>
      <c r="M149" s="17" t="b">
        <v>0</v>
      </c>
      <c r="N149" s="17" t="b">
        <v>1</v>
      </c>
      <c r="O149" s="17" t="b">
        <v>0</v>
      </c>
    </row>
    <row r="150" spans="1:15" ht="15.95" customHeight="1" x14ac:dyDescent="0.25">
      <c r="A150" s="20">
        <v>43475.668738425928</v>
      </c>
      <c r="B150" s="17" t="s">
        <v>2489</v>
      </c>
      <c r="C150" s="17" t="s">
        <v>2456</v>
      </c>
      <c r="D150" s="17" t="s">
        <v>2623</v>
      </c>
      <c r="E150" s="17" t="s">
        <v>2508</v>
      </c>
      <c r="F150" s="17">
        <v>3.25</v>
      </c>
      <c r="G150" s="17">
        <v>3.7</v>
      </c>
      <c r="H150" s="17">
        <v>3.9</v>
      </c>
      <c r="I150" s="17">
        <v>1.4</v>
      </c>
      <c r="J150" s="17" t="b">
        <v>0</v>
      </c>
      <c r="K150" s="17" t="b">
        <v>0</v>
      </c>
      <c r="L150" s="17" t="b">
        <v>0</v>
      </c>
      <c r="M150" s="17" t="b">
        <v>0</v>
      </c>
      <c r="N150" s="17" t="b">
        <v>1</v>
      </c>
      <c r="O150" s="17" t="b">
        <v>0</v>
      </c>
    </row>
    <row r="151" spans="1:15" ht="15.95" customHeight="1" x14ac:dyDescent="0.25">
      <c r="A151" s="20">
        <v>43475.668738425928</v>
      </c>
      <c r="B151" s="17" t="s">
        <v>2489</v>
      </c>
      <c r="C151" s="17" t="s">
        <v>2770</v>
      </c>
      <c r="D151" s="17" t="s">
        <v>2617</v>
      </c>
      <c r="E151" s="17" t="s">
        <v>2508</v>
      </c>
      <c r="F151" s="17">
        <v>3.25</v>
      </c>
      <c r="G151" s="17">
        <v>3.7</v>
      </c>
      <c r="H151" s="17">
        <v>3.9</v>
      </c>
      <c r="I151" s="17">
        <v>1.4</v>
      </c>
      <c r="J151" s="17" t="b">
        <v>0</v>
      </c>
      <c r="K151" s="17" t="b">
        <v>0</v>
      </c>
      <c r="L151" s="17" t="b">
        <v>0</v>
      </c>
      <c r="M151" s="17" t="b">
        <v>0</v>
      </c>
      <c r="N151" s="17" t="b">
        <v>1</v>
      </c>
      <c r="O151" s="17" t="b">
        <v>0</v>
      </c>
    </row>
    <row r="152" spans="1:15" ht="15.95" customHeight="1" x14ac:dyDescent="0.25">
      <c r="A152" s="20">
        <v>43475.668738425928</v>
      </c>
      <c r="B152" s="17" t="s">
        <v>2489</v>
      </c>
      <c r="C152" s="17" t="s">
        <v>2741</v>
      </c>
      <c r="D152" s="17" t="s">
        <v>2742</v>
      </c>
      <c r="E152" s="17">
        <v>0</v>
      </c>
      <c r="F152" s="17">
        <v>3.25</v>
      </c>
      <c r="G152" s="17">
        <v>3.7</v>
      </c>
      <c r="H152" s="17">
        <v>3.9</v>
      </c>
      <c r="I152" s="17">
        <v>1.4</v>
      </c>
      <c r="J152" s="17" t="b">
        <v>0</v>
      </c>
      <c r="K152" s="17" t="b">
        <v>0</v>
      </c>
      <c r="L152" s="17" t="b">
        <v>0</v>
      </c>
      <c r="M152" s="17" t="b">
        <v>0</v>
      </c>
      <c r="N152" s="17" t="b">
        <v>1</v>
      </c>
      <c r="O152" s="17" t="b">
        <v>0</v>
      </c>
    </row>
    <row r="153" spans="1:15" ht="15.95" customHeight="1" x14ac:dyDescent="0.25">
      <c r="A153" s="20">
        <v>43475.668761574074</v>
      </c>
      <c r="B153" s="17" t="s">
        <v>2489</v>
      </c>
      <c r="C153" s="17" t="s">
        <v>2626</v>
      </c>
      <c r="D153" s="17"/>
      <c r="E153" s="17" t="s">
        <v>2627</v>
      </c>
      <c r="F153" s="17">
        <v>3.25</v>
      </c>
      <c r="G153" s="17">
        <v>3.7</v>
      </c>
      <c r="H153" s="17">
        <v>3.9</v>
      </c>
      <c r="I153" s="17">
        <v>1.4</v>
      </c>
      <c r="J153" s="17" t="b">
        <v>0</v>
      </c>
      <c r="K153" s="17" t="b">
        <v>0</v>
      </c>
      <c r="L153" s="17" t="b">
        <v>0</v>
      </c>
      <c r="M153" s="17" t="b">
        <v>0</v>
      </c>
      <c r="N153" s="17" t="b">
        <v>1</v>
      </c>
      <c r="O153" s="17" t="b">
        <v>0</v>
      </c>
    </row>
    <row r="154" spans="1:15" ht="15.95" customHeight="1" x14ac:dyDescent="0.25">
      <c r="A154" s="20">
        <v>43475.668761574074</v>
      </c>
      <c r="B154" s="17" t="s">
        <v>2489</v>
      </c>
      <c r="C154" s="17" t="s">
        <v>2456</v>
      </c>
      <c r="D154" s="17" t="s">
        <v>2628</v>
      </c>
      <c r="E154" s="17" t="s">
        <v>2567</v>
      </c>
      <c r="F154" s="17">
        <v>3.25</v>
      </c>
      <c r="G154" s="17">
        <v>3.7</v>
      </c>
      <c r="H154" s="17">
        <v>3.9</v>
      </c>
      <c r="I154" s="17">
        <v>1.4</v>
      </c>
      <c r="J154" s="17" t="b">
        <v>0</v>
      </c>
      <c r="K154" s="17" t="b">
        <v>0</v>
      </c>
      <c r="L154" s="17" t="b">
        <v>0</v>
      </c>
      <c r="M154" s="17" t="b">
        <v>0</v>
      </c>
      <c r="N154" s="17" t="b">
        <v>1</v>
      </c>
      <c r="O154" s="17" t="b">
        <v>0</v>
      </c>
    </row>
    <row r="155" spans="1:15" ht="15.95" customHeight="1" x14ac:dyDescent="0.25">
      <c r="A155" s="20">
        <v>43475.668761574074</v>
      </c>
      <c r="B155" s="17" t="s">
        <v>2489</v>
      </c>
      <c r="C155" s="17" t="s">
        <v>2741</v>
      </c>
      <c r="D155" s="17" t="s">
        <v>2742</v>
      </c>
      <c r="E155" s="17">
        <v>0</v>
      </c>
      <c r="F155" s="17">
        <v>3.25</v>
      </c>
      <c r="G155" s="17">
        <v>3.7</v>
      </c>
      <c r="H155" s="17">
        <v>3.9</v>
      </c>
      <c r="I155" s="17">
        <v>1.5</v>
      </c>
      <c r="J155" s="17" t="b">
        <v>0</v>
      </c>
      <c r="K155" s="17" t="b">
        <v>0</v>
      </c>
      <c r="L155" s="17" t="b">
        <v>0</v>
      </c>
      <c r="M155" s="17" t="b">
        <v>0</v>
      </c>
      <c r="N155" s="17" t="b">
        <v>1</v>
      </c>
      <c r="O155" s="17" t="b">
        <v>0</v>
      </c>
    </row>
    <row r="156" spans="1:15" ht="15.95" customHeight="1" x14ac:dyDescent="0.25">
      <c r="A156" s="20">
        <v>43475.668761574074</v>
      </c>
      <c r="B156" s="17" t="s">
        <v>2489</v>
      </c>
      <c r="C156" s="17" t="s">
        <v>2599</v>
      </c>
      <c r="D156" s="17" t="s">
        <v>2614</v>
      </c>
      <c r="E156" s="17" t="s">
        <v>2508</v>
      </c>
      <c r="F156" s="17">
        <v>3.25</v>
      </c>
      <c r="G156" s="17">
        <v>3.7</v>
      </c>
      <c r="H156" s="17">
        <v>3.9</v>
      </c>
      <c r="I156" s="17">
        <v>1.5</v>
      </c>
      <c r="J156" s="17" t="b">
        <v>0</v>
      </c>
      <c r="K156" s="17" t="b">
        <v>0</v>
      </c>
      <c r="L156" s="17" t="b">
        <v>0</v>
      </c>
      <c r="M156" s="17" t="b">
        <v>0</v>
      </c>
      <c r="N156" s="17" t="b">
        <v>1</v>
      </c>
      <c r="O156" s="17" t="b">
        <v>0</v>
      </c>
    </row>
    <row r="157" spans="1:15" ht="15.95" customHeight="1" x14ac:dyDescent="0.25">
      <c r="A157" s="20">
        <v>43475.668761574074</v>
      </c>
      <c r="B157" s="17" t="s">
        <v>2489</v>
      </c>
      <c r="C157" s="17" t="s">
        <v>2785</v>
      </c>
      <c r="D157" s="17" t="s">
        <v>2617</v>
      </c>
      <c r="E157" s="17" t="s">
        <v>2508</v>
      </c>
      <c r="F157" s="17">
        <v>3.25</v>
      </c>
      <c r="G157" s="17">
        <v>3.7</v>
      </c>
      <c r="H157" s="17">
        <v>3.9</v>
      </c>
      <c r="I157" s="17">
        <v>1.5</v>
      </c>
      <c r="J157" s="17" t="b">
        <v>0</v>
      </c>
      <c r="K157" s="17" t="b">
        <v>0</v>
      </c>
      <c r="L157" s="17" t="b">
        <v>0</v>
      </c>
      <c r="M157" s="17" t="b">
        <v>0</v>
      </c>
      <c r="N157" s="17" t="b">
        <v>1</v>
      </c>
      <c r="O157" s="17" t="b">
        <v>0</v>
      </c>
    </row>
    <row r="158" spans="1:15" ht="15.95" customHeight="1" x14ac:dyDescent="0.25">
      <c r="A158" s="20">
        <v>43475.668761574074</v>
      </c>
      <c r="B158" s="17" t="s">
        <v>2489</v>
      </c>
      <c r="C158" s="17" t="s">
        <v>2741</v>
      </c>
      <c r="D158" s="17" t="s">
        <v>2742</v>
      </c>
      <c r="E158" s="17">
        <v>0</v>
      </c>
      <c r="F158" s="17">
        <v>3.25</v>
      </c>
      <c r="G158" s="17">
        <v>3.7</v>
      </c>
      <c r="H158" s="17">
        <v>3.9</v>
      </c>
      <c r="I158" s="17">
        <v>1.5</v>
      </c>
      <c r="J158" s="17" t="b">
        <v>0</v>
      </c>
      <c r="K158" s="17" t="b">
        <v>0</v>
      </c>
      <c r="L158" s="17" t="b">
        <v>0</v>
      </c>
      <c r="M158" s="17" t="b">
        <v>0</v>
      </c>
      <c r="N158" s="17" t="b">
        <v>1</v>
      </c>
      <c r="O158" s="17" t="b">
        <v>0</v>
      </c>
    </row>
    <row r="159" spans="1:15" ht="15.95" customHeight="1" x14ac:dyDescent="0.25">
      <c r="A159" s="20">
        <v>43475.668761574074</v>
      </c>
      <c r="B159" s="17" t="s">
        <v>2489</v>
      </c>
      <c r="C159" s="17" t="s">
        <v>2599</v>
      </c>
      <c r="D159" s="17" t="s">
        <v>2372</v>
      </c>
      <c r="E159" s="17" t="s">
        <v>2508</v>
      </c>
      <c r="F159" s="17">
        <v>3.25</v>
      </c>
      <c r="G159" s="17">
        <v>3.7</v>
      </c>
      <c r="H159" s="17">
        <v>3.9</v>
      </c>
      <c r="I159" s="17">
        <v>1.5</v>
      </c>
      <c r="J159" s="17" t="b">
        <v>0</v>
      </c>
      <c r="K159" s="17" t="b">
        <v>0</v>
      </c>
      <c r="L159" s="17" t="b">
        <v>0</v>
      </c>
      <c r="M159" s="17" t="b">
        <v>0</v>
      </c>
      <c r="N159" s="17" t="b">
        <v>1</v>
      </c>
      <c r="O159" s="17" t="b">
        <v>0</v>
      </c>
    </row>
    <row r="160" spans="1:15" ht="15.95" customHeight="1" x14ac:dyDescent="0.25">
      <c r="A160" s="20">
        <v>43475.668773148151</v>
      </c>
      <c r="B160" s="17" t="s">
        <v>2489</v>
      </c>
      <c r="C160" s="17" t="s">
        <v>2787</v>
      </c>
      <c r="D160" s="17" t="s">
        <v>2617</v>
      </c>
      <c r="E160" s="17" t="s">
        <v>2508</v>
      </c>
      <c r="F160" s="17">
        <v>3.25</v>
      </c>
      <c r="G160" s="17">
        <v>3.7</v>
      </c>
      <c r="H160" s="17">
        <v>3.9</v>
      </c>
      <c r="I160" s="17">
        <v>1.5</v>
      </c>
      <c r="J160" s="17" t="b">
        <v>0</v>
      </c>
      <c r="K160" s="17" t="b">
        <v>0</v>
      </c>
      <c r="L160" s="17" t="b">
        <v>0</v>
      </c>
      <c r="M160" s="17" t="b">
        <v>0</v>
      </c>
      <c r="N160" s="17" t="b">
        <v>1</v>
      </c>
      <c r="O160" s="17" t="b">
        <v>0</v>
      </c>
    </row>
    <row r="161" spans="1:15" ht="15.95" customHeight="1" x14ac:dyDescent="0.25">
      <c r="A161" s="20">
        <v>43475.668773148151</v>
      </c>
      <c r="B161" s="17" t="s">
        <v>2489</v>
      </c>
      <c r="C161" s="17" t="s">
        <v>2741</v>
      </c>
      <c r="D161" s="17" t="s">
        <v>2742</v>
      </c>
      <c r="E161" s="17">
        <v>0</v>
      </c>
      <c r="F161" s="17">
        <v>3.25</v>
      </c>
      <c r="G161" s="17">
        <v>3.7</v>
      </c>
      <c r="H161" s="17">
        <v>3.9</v>
      </c>
      <c r="I161" s="17">
        <v>1.5</v>
      </c>
      <c r="J161" s="17" t="b">
        <v>0</v>
      </c>
      <c r="K161" s="17" t="b">
        <v>0</v>
      </c>
      <c r="L161" s="17" t="b">
        <v>0</v>
      </c>
      <c r="M161" s="17" t="b">
        <v>0</v>
      </c>
      <c r="N161" s="17" t="b">
        <v>1</v>
      </c>
      <c r="O161" s="17" t="b">
        <v>0</v>
      </c>
    </row>
    <row r="162" spans="1:15" ht="15.95" customHeight="1" x14ac:dyDescent="0.25">
      <c r="A162" s="20">
        <v>43475.668773148151</v>
      </c>
      <c r="B162" s="17" t="s">
        <v>2489</v>
      </c>
      <c r="C162" s="17" t="s">
        <v>2599</v>
      </c>
      <c r="D162" s="17" t="s">
        <v>2620</v>
      </c>
      <c r="E162" s="17" t="s">
        <v>2508</v>
      </c>
      <c r="F162" s="17">
        <v>3.25</v>
      </c>
      <c r="G162" s="17">
        <v>3.7</v>
      </c>
      <c r="H162" s="17">
        <v>3.9</v>
      </c>
      <c r="I162" s="17">
        <v>1.5</v>
      </c>
      <c r="J162" s="17" t="b">
        <v>0</v>
      </c>
      <c r="K162" s="17" t="b">
        <v>0</v>
      </c>
      <c r="L162" s="17" t="b">
        <v>0</v>
      </c>
      <c r="M162" s="17" t="b">
        <v>0</v>
      </c>
      <c r="N162" s="17" t="b">
        <v>1</v>
      </c>
      <c r="O162" s="17" t="b">
        <v>0</v>
      </c>
    </row>
    <row r="163" spans="1:15" ht="15.95" customHeight="1" x14ac:dyDescent="0.25">
      <c r="A163" s="20">
        <v>43475.668773148151</v>
      </c>
      <c r="B163" s="17" t="s">
        <v>2489</v>
      </c>
      <c r="C163" s="17" t="s">
        <v>2789</v>
      </c>
      <c r="D163" s="17" t="s">
        <v>2617</v>
      </c>
      <c r="E163" s="17" t="s">
        <v>2508</v>
      </c>
      <c r="F163" s="17">
        <v>3.25</v>
      </c>
      <c r="G163" s="17">
        <v>3.7</v>
      </c>
      <c r="H163" s="17">
        <v>3.9</v>
      </c>
      <c r="I163" s="17">
        <v>1.5</v>
      </c>
      <c r="J163" s="17" t="b">
        <v>0</v>
      </c>
      <c r="K163" s="17" t="b">
        <v>0</v>
      </c>
      <c r="L163" s="17" t="b">
        <v>0</v>
      </c>
      <c r="M163" s="17" t="b">
        <v>0</v>
      </c>
      <c r="N163" s="17" t="b">
        <v>1</v>
      </c>
      <c r="O163" s="17" t="b">
        <v>0</v>
      </c>
    </row>
    <row r="164" spans="1:15" ht="15.95" customHeight="1" x14ac:dyDescent="0.25">
      <c r="A164" s="20">
        <v>43475.668773148151</v>
      </c>
      <c r="B164" s="17" t="s">
        <v>2489</v>
      </c>
      <c r="C164" s="17" t="s">
        <v>2741</v>
      </c>
      <c r="D164" s="17" t="s">
        <v>2742</v>
      </c>
      <c r="E164" s="17">
        <v>0</v>
      </c>
      <c r="F164" s="17">
        <v>3.25</v>
      </c>
      <c r="G164" s="17">
        <v>3.7</v>
      </c>
      <c r="H164" s="17">
        <v>3.9</v>
      </c>
      <c r="I164" s="17">
        <v>1.5</v>
      </c>
      <c r="J164" s="17" t="b">
        <v>0</v>
      </c>
      <c r="K164" s="17" t="b">
        <v>0</v>
      </c>
      <c r="L164" s="17" t="b">
        <v>0</v>
      </c>
      <c r="M164" s="17" t="b">
        <v>0</v>
      </c>
      <c r="N164" s="17" t="b">
        <v>1</v>
      </c>
      <c r="O164" s="17" t="b">
        <v>0</v>
      </c>
    </row>
    <row r="165" spans="1:15" ht="15.95" customHeight="1" x14ac:dyDescent="0.25">
      <c r="A165" s="20">
        <v>43475.668773148151</v>
      </c>
      <c r="B165" s="17" t="s">
        <v>2489</v>
      </c>
      <c r="C165" s="17" t="s">
        <v>2599</v>
      </c>
      <c r="D165" s="17" t="s">
        <v>2623</v>
      </c>
      <c r="E165" s="17" t="s">
        <v>2508</v>
      </c>
      <c r="F165" s="17">
        <v>3.25</v>
      </c>
      <c r="G165" s="17">
        <v>3.7</v>
      </c>
      <c r="H165" s="17">
        <v>3.9</v>
      </c>
      <c r="I165" s="17">
        <v>1.5</v>
      </c>
      <c r="J165" s="17" t="b">
        <v>0</v>
      </c>
      <c r="K165" s="17" t="b">
        <v>0</v>
      </c>
      <c r="L165" s="17" t="b">
        <v>0</v>
      </c>
      <c r="M165" s="17" t="b">
        <v>0</v>
      </c>
      <c r="N165" s="17" t="b">
        <v>1</v>
      </c>
      <c r="O165" s="17" t="b">
        <v>0</v>
      </c>
    </row>
    <row r="166" spans="1:15" ht="15.95" customHeight="1" x14ac:dyDescent="0.25">
      <c r="A166" s="20">
        <v>43475.66878472222</v>
      </c>
      <c r="B166" s="17" t="s">
        <v>2489</v>
      </c>
      <c r="C166" s="17" t="s">
        <v>2790</v>
      </c>
      <c r="D166" s="17" t="s">
        <v>2617</v>
      </c>
      <c r="E166" s="17" t="s">
        <v>2508</v>
      </c>
      <c r="F166" s="17">
        <v>3.25</v>
      </c>
      <c r="G166" s="17">
        <v>3.7</v>
      </c>
      <c r="H166" s="17">
        <v>3.9</v>
      </c>
      <c r="I166" s="17">
        <v>1.5</v>
      </c>
      <c r="J166" s="17" t="b">
        <v>0</v>
      </c>
      <c r="K166" s="17" t="b">
        <v>0</v>
      </c>
      <c r="L166" s="17" t="b">
        <v>0</v>
      </c>
      <c r="M166" s="17" t="b">
        <v>0</v>
      </c>
      <c r="N166" s="17" t="b">
        <v>1</v>
      </c>
      <c r="O166" s="17" t="b">
        <v>0</v>
      </c>
    </row>
    <row r="167" spans="1:15" ht="15.95" customHeight="1" x14ac:dyDescent="0.25">
      <c r="A167" s="20">
        <v>43475.66878472222</v>
      </c>
      <c r="B167" s="17" t="s">
        <v>2489</v>
      </c>
      <c r="C167" s="17" t="s">
        <v>2741</v>
      </c>
      <c r="D167" s="17" t="s">
        <v>2742</v>
      </c>
      <c r="E167" s="17">
        <v>0</v>
      </c>
      <c r="F167" s="17">
        <v>3.25</v>
      </c>
      <c r="G167" s="17">
        <v>3.7</v>
      </c>
      <c r="H167" s="17">
        <v>3.9</v>
      </c>
      <c r="I167" s="17">
        <v>1.5</v>
      </c>
      <c r="J167" s="17" t="b">
        <v>0</v>
      </c>
      <c r="K167" s="17" t="b">
        <v>0</v>
      </c>
      <c r="L167" s="17" t="b">
        <v>0</v>
      </c>
      <c r="M167" s="17" t="b">
        <v>0</v>
      </c>
      <c r="N167" s="17" t="b">
        <v>1</v>
      </c>
      <c r="O167" s="17" t="b">
        <v>0</v>
      </c>
    </row>
    <row r="168" spans="1:15" ht="15.95" customHeight="1" x14ac:dyDescent="0.25">
      <c r="A168" s="20">
        <v>43475.668796296297</v>
      </c>
      <c r="B168" s="17" t="s">
        <v>2489</v>
      </c>
      <c r="C168" s="17" t="s">
        <v>2626</v>
      </c>
      <c r="D168" s="17"/>
      <c r="E168" s="17" t="s">
        <v>2627</v>
      </c>
      <c r="F168" s="17">
        <v>3.25</v>
      </c>
      <c r="G168" s="17">
        <v>3.7</v>
      </c>
      <c r="H168" s="17">
        <v>3.9</v>
      </c>
      <c r="I168" s="17">
        <v>1.5</v>
      </c>
      <c r="J168" s="17" t="b">
        <v>0</v>
      </c>
      <c r="K168" s="17" t="b">
        <v>0</v>
      </c>
      <c r="L168" s="17" t="b">
        <v>0</v>
      </c>
      <c r="M168" s="17" t="b">
        <v>0</v>
      </c>
      <c r="N168" s="17" t="b">
        <v>1</v>
      </c>
      <c r="O168" s="17" t="b">
        <v>0</v>
      </c>
    </row>
    <row r="169" spans="1:15" ht="15.95" customHeight="1" x14ac:dyDescent="0.25">
      <c r="A169" s="20">
        <v>43475.668796296297</v>
      </c>
      <c r="B169" s="17" t="s">
        <v>2489</v>
      </c>
      <c r="C169" s="17" t="s">
        <v>2599</v>
      </c>
      <c r="D169" s="17" t="s">
        <v>2628</v>
      </c>
      <c r="E169" s="17" t="s">
        <v>2567</v>
      </c>
      <c r="F169" s="17">
        <v>3.25</v>
      </c>
      <c r="G169" s="17">
        <v>3.7</v>
      </c>
      <c r="H169" s="17">
        <v>3.9</v>
      </c>
      <c r="I169" s="17">
        <v>1.5</v>
      </c>
      <c r="J169" s="17" t="b">
        <v>0</v>
      </c>
      <c r="K169" s="17" t="b">
        <v>0</v>
      </c>
      <c r="L169" s="17" t="b">
        <v>0</v>
      </c>
      <c r="M169" s="17" t="b">
        <v>0</v>
      </c>
      <c r="N169" s="17" t="b">
        <v>1</v>
      </c>
      <c r="O169" s="17" t="b">
        <v>0</v>
      </c>
    </row>
    <row r="170" spans="1:15" ht="15.95" customHeight="1" x14ac:dyDescent="0.25">
      <c r="A170" s="20">
        <v>43475.668796296297</v>
      </c>
      <c r="B170" s="17" t="s">
        <v>2489</v>
      </c>
      <c r="C170" s="17" t="s">
        <v>2600</v>
      </c>
      <c r="D170" s="17" t="s">
        <v>2726</v>
      </c>
      <c r="E170" s="17">
        <v>15</v>
      </c>
      <c r="F170" s="17">
        <v>3.25</v>
      </c>
      <c r="G170" s="17">
        <v>3.7</v>
      </c>
      <c r="H170" s="17">
        <v>3.9</v>
      </c>
      <c r="I170" s="17">
        <v>1.5</v>
      </c>
      <c r="J170" s="17" t="b">
        <v>0</v>
      </c>
      <c r="K170" s="17" t="b">
        <v>0</v>
      </c>
      <c r="L170" s="17" t="b">
        <v>0</v>
      </c>
      <c r="M170" s="17" t="b">
        <v>0</v>
      </c>
      <c r="N170" s="17" t="b">
        <v>1</v>
      </c>
      <c r="O170" s="17" t="b">
        <v>0</v>
      </c>
    </row>
    <row r="171" spans="1:15" ht="15.95" customHeight="1" x14ac:dyDescent="0.25">
      <c r="A171" s="20">
        <v>43475.668935185182</v>
      </c>
      <c r="B171" s="17" t="s">
        <v>2489</v>
      </c>
      <c r="C171" s="17" t="s">
        <v>2740</v>
      </c>
      <c r="D171" s="17" t="s">
        <v>2614</v>
      </c>
      <c r="E171" s="17" t="s">
        <v>2791</v>
      </c>
      <c r="F171" s="17">
        <v>3.25</v>
      </c>
      <c r="G171" s="17">
        <v>3.7</v>
      </c>
      <c r="H171" s="17">
        <v>3.9</v>
      </c>
      <c r="I171" s="17">
        <v>1</v>
      </c>
      <c r="J171" s="17" t="b">
        <v>0</v>
      </c>
      <c r="K171" s="17" t="b">
        <v>0</v>
      </c>
      <c r="L171" s="17" t="b">
        <v>0</v>
      </c>
      <c r="M171" s="17" t="b">
        <v>0</v>
      </c>
      <c r="N171" s="17" t="b">
        <v>1</v>
      </c>
      <c r="O171" s="17" t="b">
        <v>0</v>
      </c>
    </row>
    <row r="172" spans="1:15" ht="15.95" customHeight="1" x14ac:dyDescent="0.25">
      <c r="A172" s="20">
        <v>43475.668981481482</v>
      </c>
      <c r="B172" s="17" t="s">
        <v>2489</v>
      </c>
      <c r="C172" s="17" t="s">
        <v>2740</v>
      </c>
      <c r="D172" s="17" t="s">
        <v>2620</v>
      </c>
      <c r="E172" s="17" t="s">
        <v>2791</v>
      </c>
      <c r="F172" s="17">
        <v>3.25</v>
      </c>
      <c r="G172" s="17">
        <v>3.7</v>
      </c>
      <c r="H172" s="17">
        <v>3.9</v>
      </c>
      <c r="I172" s="17">
        <v>1</v>
      </c>
      <c r="J172" s="17" t="b">
        <v>0</v>
      </c>
      <c r="K172" s="17" t="b">
        <v>0</v>
      </c>
      <c r="L172" s="17" t="b">
        <v>0</v>
      </c>
      <c r="M172" s="17" t="b">
        <v>0</v>
      </c>
      <c r="N172" s="17" t="b">
        <v>1</v>
      </c>
      <c r="O172" s="17" t="b">
        <v>0</v>
      </c>
    </row>
    <row r="173" spans="1:15" ht="15.95" customHeigh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</row>
    <row r="174" spans="1:15" ht="15.95" customHeigh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15.95" customHeight="1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</row>
    <row r="176" spans="1:15" ht="15.95" customHeight="1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</row>
    <row r="177" spans="1:15" ht="15.95" customHeigh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15.95" customHeigh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</row>
    <row r="179" spans="1:15" ht="15.95" customHeight="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</row>
    <row r="180" spans="1:15" ht="15.95" customHeight="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15.95" customHeigh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</row>
    <row r="182" spans="1:15" ht="15.95" customHeigh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</row>
    <row r="183" spans="1:15" ht="15.95" customHeigh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15.95" customHeigh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</row>
    <row r="185" spans="1:15" ht="15.95" customHeigh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</row>
    <row r="186" spans="1:15" ht="15.95" customHeigh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15.95" customHeigh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</row>
    <row r="188" spans="1:15" ht="15.95" customHeigh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</row>
    <row r="189" spans="1:15" ht="15.95" customHeigh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15.95" customHeigh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</row>
    <row r="191" spans="1:15" ht="15.95" customHeigh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</row>
    <row r="192" spans="1:15" ht="15.95" customHeigh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15.95" customHeigh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</row>
    <row r="194" spans="1:15" ht="15.95" customHeigh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</row>
    <row r="195" spans="1:15" ht="15.95" customHeigh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15.95" customHeigh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</row>
    <row r="197" spans="1:15" ht="15.95" customHeigh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</row>
    <row r="198" spans="1:15" ht="15.95" customHeigh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15.95" customHeigh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</row>
    <row r="200" spans="1:15" ht="15.95" customHeigh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</row>
    <row r="201" spans="1:15" ht="15.95" customHeight="1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15.95" customHeight="1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</row>
    <row r="203" spans="1:15" ht="15.95" customHeight="1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</row>
    <row r="204" spans="1:15" ht="15.95" customHeight="1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15.95" customHeight="1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</row>
    <row r="206" spans="1:15" ht="15.95" customHeight="1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</row>
    <row r="207" spans="1:15" ht="15.95" customHeight="1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15.95" customHeight="1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</row>
    <row r="209" spans="1:15" ht="15.95" customHeight="1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</row>
    <row r="210" spans="1:15" ht="15.95" customHeight="1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15.95" customHeight="1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</row>
    <row r="212" spans="1:15" ht="15.95" customHeight="1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</row>
    <row r="213" spans="1:15" ht="15.95" customHeight="1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15.95" customHeight="1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</row>
    <row r="215" spans="1:15" ht="15.95" customHeight="1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</row>
    <row r="216" spans="1:15" ht="15.95" customHeight="1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15.95" customHeight="1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</row>
    <row r="218" spans="1:15" ht="15.95" customHeight="1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</row>
    <row r="219" spans="1:15" ht="15.95" customHeight="1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15.95" customHeight="1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</row>
    <row r="221" spans="1:15" ht="15.95" customHeight="1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</row>
    <row r="222" spans="1:15" ht="15.95" customHeight="1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15.95" customHeight="1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</row>
    <row r="224" spans="1:15" ht="15.95" customHeight="1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</row>
    <row r="225" spans="1:15" ht="15.95" customHeight="1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15.95" customHeight="1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</row>
    <row r="227" spans="1:15" ht="15.95" customHeight="1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</row>
    <row r="228" spans="1:15" ht="15.95" customHeight="1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15.95" customHeight="1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</row>
    <row r="230" spans="1:15" ht="15.95" customHeight="1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</row>
    <row r="231" spans="1:15" ht="15.95" customHeight="1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15.95" customHeight="1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</row>
    <row r="233" spans="1:15" ht="15.95" customHeight="1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</row>
    <row r="234" spans="1:15" ht="15.95" customHeight="1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15.95" customHeight="1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</row>
    <row r="236" spans="1:15" ht="15.95" customHeight="1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</row>
    <row r="237" spans="1:15" ht="15.95" customHeight="1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15.95" customHeight="1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</row>
    <row r="239" spans="1:15" ht="15.95" customHeight="1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</row>
    <row r="240" spans="1:15" ht="15.95" customHeight="1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15.95" customHeight="1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</row>
    <row r="242" spans="1:15" ht="15.95" customHeight="1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</row>
    <row r="243" spans="1:15" ht="15.95" customHeight="1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15.95" customHeight="1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</row>
    <row r="245" spans="1:15" ht="15.95" customHeight="1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</row>
    <row r="246" spans="1:15" ht="15.95" customHeight="1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15.95" customHeight="1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</row>
    <row r="248" spans="1:15" ht="15.95" customHeight="1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</row>
    <row r="249" spans="1:15" ht="15.95" customHeight="1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15.95" customHeight="1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</row>
    <row r="251" spans="1:15" ht="15.95" customHeight="1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</row>
    <row r="252" spans="1:15" ht="15.95" customHeight="1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15.95" customHeight="1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</row>
    <row r="254" spans="1:15" ht="15.95" customHeight="1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</row>
    <row r="255" spans="1:15" ht="15.95" customHeight="1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15.95" customHeight="1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</row>
    <row r="257" spans="1:15" ht="15.95" customHeight="1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</row>
    <row r="258" spans="1:15" ht="15.95" customHeight="1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15.95" customHeight="1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</row>
    <row r="260" spans="1:15" ht="15.95" customHeight="1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</row>
    <row r="261" spans="1:15" ht="15.95" customHeight="1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15.95" customHeight="1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</row>
    <row r="263" spans="1:15" ht="15.95" customHeight="1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</row>
    <row r="264" spans="1:15" ht="15.95" customHeight="1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15.95" customHeight="1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5.95" customHeight="1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</row>
    <row r="267" spans="1:15" ht="15.95" customHeight="1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15.95" customHeight="1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</row>
    <row r="269" spans="1:15" ht="15.95" customHeight="1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</row>
    <row r="270" spans="1:15" ht="15.95" customHeight="1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15.95" customHeight="1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</row>
    <row r="272" spans="1:15" ht="15.95" customHeight="1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</row>
    <row r="273" spans="1:15" ht="15.95" customHeight="1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15.95" customHeight="1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</row>
    <row r="275" spans="1:15" ht="15.95" customHeight="1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</row>
    <row r="276" spans="1:15" ht="15.95" customHeight="1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15.95" customHeight="1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</row>
    <row r="278" spans="1:15" ht="15.95" customHeight="1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</row>
    <row r="279" spans="1:15" ht="15.95" customHeight="1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15.95" customHeight="1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</row>
    <row r="281" spans="1:15" ht="15.95" customHeight="1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</row>
    <row r="282" spans="1:15" ht="15.95" customHeight="1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15.95" customHeight="1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</row>
    <row r="284" spans="1:15" ht="15.95" customHeight="1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</row>
    <row r="285" spans="1:15" ht="15.95" customHeight="1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15.95" customHeight="1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</row>
    <row r="287" spans="1:15" ht="15.95" customHeight="1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</row>
    <row r="288" spans="1:15" ht="15.95" customHeight="1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15.95" customHeight="1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</row>
    <row r="290" spans="1:15" ht="15.95" customHeight="1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</row>
    <row r="291" spans="1:15" ht="15.95" customHeight="1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15.95" customHeight="1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</row>
    <row r="293" spans="1:15" ht="15.95" customHeight="1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</row>
    <row r="294" spans="1:15" ht="15.95" customHeight="1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15.95" customHeight="1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</row>
    <row r="296" spans="1:15" ht="15.95" customHeight="1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</row>
    <row r="297" spans="1:15" ht="15.95" customHeight="1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15.95" customHeight="1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</row>
    <row r="299" spans="1:15" ht="15.95" customHeight="1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</row>
    <row r="300" spans="1:15" ht="15.95" customHeight="1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15.95" customHeight="1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</row>
    <row r="302" spans="1:15" ht="15.95" customHeight="1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</row>
    <row r="303" spans="1:15" ht="15.95" customHeight="1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15.95" customHeight="1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</row>
    <row r="305" spans="1:15" ht="15.95" customHeight="1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</row>
    <row r="306" spans="1:15" ht="15.95" customHeight="1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15.95" customHeight="1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</row>
    <row r="308" spans="1:15" ht="15.95" customHeight="1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</row>
    <row r="309" spans="1:15" ht="15.95" customHeight="1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15.95" customHeight="1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</row>
    <row r="311" spans="1:15" ht="15.95" customHeight="1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</row>
    <row r="312" spans="1:15" ht="15.95" customHeight="1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15.95" customHeight="1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</row>
    <row r="314" spans="1:15" ht="15.95" customHeight="1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</row>
    <row r="315" spans="1:15" ht="15.95" customHeight="1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15.95" customHeight="1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</row>
    <row r="317" spans="1:15" ht="15.95" customHeight="1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</row>
    <row r="318" spans="1:15" ht="15.95" customHeight="1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15.95" customHeight="1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</row>
    <row r="320" spans="1:15" ht="15.95" customHeight="1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</row>
    <row r="321" spans="1:15" ht="15.95" customHeight="1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15.95" customHeight="1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</row>
    <row r="323" spans="1:15" ht="15.95" customHeight="1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</row>
    <row r="324" spans="1:15" ht="15.95" customHeight="1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15.95" customHeight="1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</row>
    <row r="326" spans="1:15" ht="15.95" customHeight="1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</row>
    <row r="327" spans="1:15" ht="15.95" customHeight="1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15.95" customHeight="1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</row>
    <row r="329" spans="1:15" ht="15.95" customHeight="1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</row>
    <row r="330" spans="1:15" ht="15.95" customHeight="1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15.95" customHeight="1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</row>
    <row r="332" spans="1:15" ht="15.95" customHeight="1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</row>
    <row r="333" spans="1:15" ht="15.95" customHeight="1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15.95" customHeight="1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</row>
    <row r="335" spans="1:15" ht="15.95" customHeight="1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</row>
    <row r="336" spans="1:15" ht="15.95" customHeight="1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15.95" customHeight="1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</row>
    <row r="338" spans="1:15" ht="15.95" customHeight="1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</row>
    <row r="339" spans="1:15" ht="15.95" customHeight="1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15.95" customHeight="1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</row>
    <row r="341" spans="1:15" ht="15.95" customHeight="1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</row>
    <row r="342" spans="1:15" ht="15.95" customHeight="1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15.95" customHeight="1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</row>
    <row r="344" spans="1:15" ht="15.95" customHeight="1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</row>
    <row r="345" spans="1:15" ht="15.95" customHeight="1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15.95" customHeight="1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</row>
    <row r="347" spans="1:15" ht="15.95" customHeight="1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</row>
    <row r="348" spans="1:15" ht="15.95" customHeight="1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15.95" customHeight="1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</row>
    <row r="350" spans="1:15" ht="15.95" customHeight="1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</row>
    <row r="351" spans="1:15" ht="15.95" customHeight="1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15.95" customHeight="1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</row>
    <row r="353" spans="1:15" ht="15.95" customHeight="1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</row>
    <row r="354" spans="1:15" ht="15.95" customHeight="1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15.95" customHeight="1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</row>
    <row r="356" spans="1:15" ht="15.95" customHeight="1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</row>
    <row r="357" spans="1:15" ht="15.95" customHeight="1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15.95" customHeight="1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</row>
    <row r="359" spans="1:15" ht="15.95" customHeight="1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</row>
    <row r="360" spans="1:15" ht="15.95" customHeight="1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15.95" customHeight="1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</row>
    <row r="362" spans="1:15" ht="15.95" customHeight="1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</row>
    <row r="363" spans="1:15" ht="15.95" customHeight="1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15.95" customHeight="1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</row>
    <row r="365" spans="1:15" ht="15.95" customHeight="1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</row>
    <row r="366" spans="1:15" ht="15.95" customHeight="1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15.95" customHeight="1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</row>
    <row r="368" spans="1:15" ht="15.95" customHeight="1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</row>
    <row r="369" spans="1:15" ht="15.95" customHeight="1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15.95" customHeight="1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</row>
    <row r="371" spans="1:15" ht="15.95" customHeight="1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</row>
    <row r="372" spans="1:15" ht="15.95" customHeight="1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15.95" customHeight="1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</row>
    <row r="374" spans="1:15" ht="15.95" customHeight="1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</row>
    <row r="375" spans="1:15" ht="15.95" customHeight="1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15.95" customHeight="1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</row>
    <row r="377" spans="1:15" ht="15.95" customHeight="1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</row>
    <row r="378" spans="1:15" ht="15.95" customHeight="1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15.95" customHeight="1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</row>
    <row r="380" spans="1:15" ht="15.95" customHeight="1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</row>
    <row r="381" spans="1:15" ht="15.95" customHeight="1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15.95" customHeight="1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</row>
    <row r="383" spans="1:15" ht="15.95" customHeight="1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</row>
    <row r="384" spans="1:15" ht="15.95" customHeight="1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15.95" customHeight="1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</row>
    <row r="386" spans="1:15" ht="15.95" customHeight="1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</row>
    <row r="387" spans="1:15" ht="15.95" customHeight="1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15.95" customHeight="1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</row>
    <row r="389" spans="1:15" ht="15.95" customHeight="1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</row>
    <row r="390" spans="1:15" ht="15.95" customHeight="1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15.95" customHeight="1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</row>
    <row r="392" spans="1:15" ht="15.95" customHeight="1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</row>
    <row r="393" spans="1:15" ht="15.95" customHeight="1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15.95" customHeight="1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</row>
    <row r="395" spans="1:15" ht="15.95" customHeight="1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</row>
    <row r="396" spans="1:15" ht="15.95" customHeight="1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15.95" customHeight="1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</row>
    <row r="398" spans="1:15" ht="15.95" customHeight="1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</row>
    <row r="399" spans="1:15" ht="15.95" customHeight="1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15.95" customHeight="1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</row>
    <row r="401" spans="1:15" ht="15.95" customHeight="1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</row>
    <row r="402" spans="1:15" ht="15.95" customHeight="1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15.95" customHeight="1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</row>
    <row r="404" spans="1:15" ht="15.95" customHeight="1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</row>
    <row r="405" spans="1:15" ht="15.95" customHeight="1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15.95" customHeight="1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</row>
    <row r="407" spans="1:15" ht="15.95" customHeight="1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</row>
    <row r="408" spans="1:15" ht="15.95" customHeight="1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15.95" customHeight="1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</row>
    <row r="410" spans="1:15" ht="15.95" customHeight="1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</row>
    <row r="411" spans="1:15" ht="15.95" customHeight="1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15.95" customHeight="1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</row>
    <row r="413" spans="1:15" ht="15.95" customHeight="1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</row>
    <row r="414" spans="1:15" ht="15.95" customHeight="1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15.95" customHeight="1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</row>
    <row r="416" spans="1:15" ht="15.95" customHeight="1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</row>
    <row r="417" spans="1:15" ht="15.95" customHeight="1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15.95" customHeight="1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</row>
    <row r="419" spans="1:15" ht="15.95" customHeight="1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</row>
    <row r="420" spans="1:15" ht="15.95" customHeight="1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15.95" customHeight="1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</row>
    <row r="422" spans="1:15" ht="15.95" customHeight="1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</row>
    <row r="423" spans="1:15" ht="15.95" customHeight="1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15.95" customHeight="1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</row>
    <row r="425" spans="1:15" ht="15.95" customHeight="1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</row>
    <row r="426" spans="1:15" ht="15.95" customHeight="1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15.95" customHeight="1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</row>
    <row r="428" spans="1:15" ht="15.95" customHeight="1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</row>
    <row r="429" spans="1:15" ht="15.95" customHeight="1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15.95" customHeight="1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</row>
    <row r="431" spans="1:15" ht="15.95" customHeight="1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</row>
    <row r="432" spans="1:15" ht="15.95" customHeight="1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15.95" customHeight="1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</row>
    <row r="434" spans="1:15" ht="15.95" customHeight="1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</row>
    <row r="435" spans="1:15" ht="15.95" customHeight="1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15.95" customHeight="1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</row>
    <row r="437" spans="1:15" ht="15.95" customHeight="1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</row>
    <row r="438" spans="1:15" ht="15.95" customHeight="1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15.95" customHeight="1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</row>
    <row r="440" spans="1:15" ht="15.95" customHeight="1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</row>
    <row r="441" spans="1:15" ht="15.95" customHeight="1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15.95" customHeight="1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</row>
    <row r="443" spans="1:15" ht="15.95" customHeight="1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</row>
    <row r="444" spans="1:15" ht="15.95" customHeight="1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15.95" customHeight="1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</row>
    <row r="446" spans="1:15" ht="15.95" customHeight="1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</row>
    <row r="447" spans="1:15" ht="15.95" customHeight="1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15.95" customHeight="1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</row>
    <row r="449" spans="1:15" ht="15.95" customHeight="1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</row>
    <row r="450" spans="1:15" ht="15.95" customHeight="1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15.95" customHeight="1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</row>
    <row r="452" spans="1:15" ht="15.95" customHeight="1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</row>
    <row r="453" spans="1:15" ht="15.95" customHeight="1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15.95" customHeight="1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</row>
    <row r="455" spans="1:15" ht="15.95" customHeight="1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</row>
    <row r="456" spans="1:15" ht="15.95" customHeight="1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15.95" customHeight="1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</row>
    <row r="458" spans="1:15" ht="15.95" customHeight="1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</row>
    <row r="459" spans="1:15" ht="15.95" customHeight="1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15.95" customHeight="1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</row>
    <row r="461" spans="1:15" ht="15.95" customHeight="1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</row>
    <row r="462" spans="1:15" ht="15.95" customHeight="1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15.95" customHeight="1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</row>
    <row r="464" spans="1:15" ht="15.95" customHeight="1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</row>
    <row r="465" spans="1:15" ht="15.95" customHeight="1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15.95" customHeight="1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</row>
    <row r="467" spans="1:15" ht="15.95" customHeight="1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</row>
    <row r="468" spans="1:15" ht="15.95" customHeight="1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15.95" customHeight="1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</row>
    <row r="470" spans="1:15" ht="15.95" customHeight="1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</row>
    <row r="471" spans="1:15" ht="15.95" customHeight="1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15.95" customHeight="1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</row>
    <row r="473" spans="1:15" ht="15.95" customHeight="1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</row>
    <row r="474" spans="1:15" ht="15.95" customHeight="1" x14ac:dyDescent="0.2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15.95" customHeight="1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</row>
    <row r="476" spans="1:15" ht="15.95" customHeight="1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</row>
    <row r="477" spans="1:15" ht="15.95" customHeight="1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15.95" customHeight="1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</row>
    <row r="479" spans="1:15" ht="15.95" customHeight="1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</row>
    <row r="480" spans="1:15" ht="15.95" customHeight="1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</row>
    <row r="481" spans="1:15" ht="15.95" customHeight="1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</row>
    <row r="482" spans="1:15" ht="15.95" customHeight="1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</row>
    <row r="483" spans="1:15" ht="15.95" customHeight="1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</row>
    <row r="484" spans="1:15" ht="15.95" customHeight="1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</row>
    <row r="485" spans="1:15" ht="15.95" customHeight="1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</row>
    <row r="486" spans="1:15" ht="15.95" customHeight="1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</row>
    <row r="487" spans="1:15" ht="15.95" customHeight="1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</row>
    <row r="488" spans="1:15" ht="15.95" customHeight="1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</row>
    <row r="489" spans="1:15" ht="15.95" customHeight="1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</row>
    <row r="490" spans="1:15" ht="15.95" customHeight="1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</row>
    <row r="491" spans="1:15" ht="15.95" customHeight="1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</row>
    <row r="492" spans="1:15" ht="15.95" customHeight="1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</row>
    <row r="493" spans="1:15" ht="15.95" customHeight="1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</row>
    <row r="494" spans="1:15" ht="15.95" customHeight="1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</row>
    <row r="495" spans="1:15" ht="15.95" customHeight="1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</row>
    <row r="496" spans="1:15" ht="15.95" customHeight="1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</row>
    <row r="497" spans="1:15" ht="15.95" customHeight="1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</row>
    <row r="498" spans="1:15" ht="15.95" customHeight="1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</row>
    <row r="499" spans="1:15" ht="15.95" customHeight="1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</row>
    <row r="500" spans="1:15" ht="15.95" customHeight="1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</row>
    <row r="501" spans="1:15" ht="15.95" customHeight="1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</row>
    <row r="502" spans="1:15" ht="15.95" customHeight="1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</row>
    <row r="503" spans="1:15" ht="15.95" customHeight="1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</row>
    <row r="504" spans="1:15" ht="15.95" customHeight="1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</row>
    <row r="505" spans="1:15" ht="15.95" customHeight="1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</row>
    <row r="506" spans="1:15" ht="15.95" customHeight="1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</row>
    <row r="507" spans="1:15" ht="15.95" customHeight="1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</row>
    <row r="508" spans="1:15" ht="15.95" customHeight="1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</row>
    <row r="509" spans="1:15" ht="15.95" customHeight="1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</row>
    <row r="510" spans="1:15" ht="15.95" customHeight="1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</row>
    <row r="511" spans="1:15" ht="15.95" customHeight="1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</row>
    <row r="512" spans="1:15" ht="15.95" customHeight="1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</row>
    <row r="513" spans="1:15" ht="15.95" customHeight="1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</row>
    <row r="514" spans="1:15" ht="15.95" customHeight="1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</row>
    <row r="515" spans="1:15" ht="15.95" customHeight="1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</row>
    <row r="516" spans="1:15" ht="15.95" customHeight="1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</row>
    <row r="517" spans="1:15" ht="15.95" customHeight="1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</row>
    <row r="518" spans="1:15" ht="15.95" customHeight="1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</row>
    <row r="519" spans="1:15" ht="15.95" customHeight="1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</row>
    <row r="520" spans="1:15" ht="15.95" customHeight="1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</row>
    <row r="521" spans="1:15" ht="15.95" customHeight="1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</row>
    <row r="522" spans="1:15" ht="15.95" customHeight="1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</row>
    <row r="523" spans="1:15" ht="15.95" customHeight="1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</row>
    <row r="524" spans="1:15" ht="15.95" customHeight="1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</row>
    <row r="525" spans="1:15" ht="15.95" customHeight="1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</row>
    <row r="526" spans="1:15" ht="15.95" customHeight="1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</row>
    <row r="527" spans="1:15" ht="15.95" customHeight="1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</row>
    <row r="528" spans="1:15" ht="15.95" customHeight="1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</row>
    <row r="529" spans="1:15" ht="15.95" customHeight="1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</row>
    <row r="530" spans="1:15" ht="15.95" customHeight="1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</row>
    <row r="531" spans="1:15" ht="15.95" customHeight="1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</row>
    <row r="532" spans="1:15" ht="15.95" customHeight="1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</row>
    <row r="533" spans="1:15" ht="15.95" customHeight="1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</row>
    <row r="534" spans="1:15" ht="15.95" customHeight="1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</row>
    <row r="535" spans="1:15" ht="15.95" customHeight="1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</row>
    <row r="536" spans="1:15" ht="15.95" customHeight="1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</row>
    <row r="537" spans="1:15" ht="15.95" customHeight="1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</row>
    <row r="538" spans="1:15" ht="15.95" customHeight="1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</row>
    <row r="539" spans="1:15" ht="15.95" customHeight="1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</row>
    <row r="540" spans="1:15" ht="15.95" customHeight="1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</row>
    <row r="541" spans="1:15" ht="15.95" customHeight="1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</row>
    <row r="542" spans="1:15" ht="15.95" customHeight="1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</row>
    <row r="543" spans="1:15" ht="15.95" customHeight="1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</row>
    <row r="544" spans="1:15" ht="15.95" customHeight="1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</row>
    <row r="545" spans="1:15" ht="15.95" customHeight="1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</row>
    <row r="546" spans="1:15" ht="15.95" customHeight="1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</row>
    <row r="547" spans="1:15" ht="15.95" customHeight="1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</row>
    <row r="548" spans="1:15" ht="15.95" customHeight="1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</row>
    <row r="549" spans="1:15" ht="15.95" customHeight="1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</row>
    <row r="550" spans="1:15" ht="15.95" customHeight="1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</row>
    <row r="551" spans="1:15" ht="15.95" customHeight="1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</row>
    <row r="552" spans="1:15" ht="15.95" customHeight="1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</row>
    <row r="553" spans="1:15" ht="15.95" customHeight="1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</row>
    <row r="554" spans="1:15" ht="15.95" customHeight="1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</row>
    <row r="555" spans="1:15" ht="15.95" customHeight="1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</row>
    <row r="556" spans="1:15" ht="15.95" customHeight="1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</row>
    <row r="557" spans="1:15" ht="15.95" customHeight="1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</row>
    <row r="558" spans="1:15" ht="15.95" customHeight="1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</row>
    <row r="559" spans="1:15" ht="15.95" customHeight="1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</row>
    <row r="560" spans="1:15" ht="15.95" customHeight="1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</row>
    <row r="561" spans="1:15" ht="15.95" customHeight="1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</row>
    <row r="562" spans="1:15" ht="15.95" customHeight="1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</row>
    <row r="563" spans="1:15" ht="15.95" customHeight="1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</row>
    <row r="564" spans="1:15" ht="15.95" customHeight="1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</row>
    <row r="565" spans="1:15" ht="15.95" customHeight="1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</row>
    <row r="566" spans="1:15" ht="15.95" customHeight="1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</row>
    <row r="567" spans="1:15" ht="15.95" customHeight="1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</row>
    <row r="568" spans="1:15" ht="15.95" customHeight="1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</row>
    <row r="569" spans="1:15" ht="15.95" customHeight="1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</row>
    <row r="570" spans="1:15" ht="15.95" customHeight="1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</row>
    <row r="571" spans="1:15" ht="15.95" customHeight="1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</row>
    <row r="572" spans="1:15" ht="15.95" customHeight="1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</row>
    <row r="573" spans="1:15" ht="15.95" customHeight="1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</row>
    <row r="574" spans="1:15" ht="15.95" customHeight="1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</row>
    <row r="575" spans="1:15" ht="15.95" customHeight="1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</row>
    <row r="576" spans="1:15" ht="15.95" customHeight="1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</row>
    <row r="577" spans="1:15" ht="15.95" customHeight="1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</row>
    <row r="578" spans="1:15" ht="15.95" customHeight="1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</row>
    <row r="579" spans="1:15" ht="15.95" customHeight="1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</row>
    <row r="580" spans="1:15" ht="15.95" customHeight="1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</row>
    <row r="581" spans="1:15" ht="15.95" customHeight="1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</row>
    <row r="582" spans="1:15" ht="15.95" customHeight="1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</row>
    <row r="583" spans="1:15" ht="15.95" customHeight="1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</row>
    <row r="584" spans="1:15" ht="15.95" customHeight="1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</row>
    <row r="585" spans="1:15" ht="15.95" customHeight="1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</row>
    <row r="586" spans="1:15" ht="15.95" customHeight="1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</row>
    <row r="587" spans="1:15" ht="15.95" customHeight="1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</row>
    <row r="588" spans="1:15" ht="15.95" customHeight="1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</row>
    <row r="589" spans="1:15" ht="15.95" customHeight="1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</row>
    <row r="590" spans="1:15" ht="15.95" customHeight="1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</row>
    <row r="591" spans="1:15" ht="15.95" customHeight="1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</row>
    <row r="592" spans="1:15" ht="15.95" customHeight="1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</row>
    <row r="593" spans="1:15" ht="15.95" customHeight="1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</row>
    <row r="594" spans="1:15" ht="15.95" customHeight="1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</row>
    <row r="595" spans="1:15" ht="15.95" customHeight="1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</row>
    <row r="596" spans="1:15" ht="15.95" customHeight="1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</row>
    <row r="597" spans="1:15" ht="15.95" customHeight="1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</row>
    <row r="598" spans="1:15" ht="15.95" customHeight="1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</row>
    <row r="599" spans="1:15" ht="15.95" customHeight="1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</row>
    <row r="600" spans="1:15" ht="15.95" customHeight="1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</row>
    <row r="601" spans="1:15" ht="15.95" customHeight="1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</row>
    <row r="602" spans="1:15" ht="15.95" customHeight="1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</row>
    <row r="603" spans="1:15" ht="15.95" customHeight="1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</row>
    <row r="604" spans="1:15" ht="15.95" customHeight="1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</row>
    <row r="605" spans="1:15" ht="15.95" customHeight="1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</row>
    <row r="606" spans="1:15" ht="15.95" customHeight="1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</row>
    <row r="607" spans="1:15" ht="15.95" customHeight="1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</row>
    <row r="608" spans="1:15" ht="15.95" customHeight="1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</row>
    <row r="609" spans="1:15" ht="15.95" customHeight="1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</row>
    <row r="610" spans="1:15" ht="15.95" customHeight="1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</row>
    <row r="611" spans="1:15" ht="15.95" customHeight="1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</row>
    <row r="612" spans="1:15" ht="15.95" customHeight="1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</row>
    <row r="613" spans="1:15" ht="15.95" customHeight="1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</row>
    <row r="614" spans="1:15" ht="15.95" customHeight="1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</row>
    <row r="615" spans="1:15" ht="15.95" customHeight="1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</row>
    <row r="616" spans="1:15" ht="15.95" customHeight="1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</row>
    <row r="617" spans="1:15" ht="15.95" customHeight="1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</row>
    <row r="618" spans="1:15" ht="15.95" customHeight="1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</row>
    <row r="619" spans="1:15" ht="15.95" customHeight="1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</row>
    <row r="620" spans="1:15" ht="15.95" customHeight="1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</row>
    <row r="621" spans="1:15" ht="15.95" customHeight="1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</row>
    <row r="622" spans="1:15" ht="15.95" customHeight="1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</row>
    <row r="623" spans="1:15" ht="15.95" customHeight="1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</row>
    <row r="624" spans="1:15" ht="15.95" customHeight="1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</row>
    <row r="625" spans="1:15" ht="15.95" customHeight="1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</row>
    <row r="626" spans="1:15" ht="15.95" customHeight="1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</row>
    <row r="627" spans="1:15" ht="15.95" customHeight="1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</row>
    <row r="628" spans="1:15" ht="15.95" customHeight="1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</row>
    <row r="629" spans="1:15" ht="15.95" customHeight="1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</row>
    <row r="630" spans="1:15" ht="15.95" customHeight="1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</row>
    <row r="631" spans="1:15" ht="15.95" customHeight="1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</row>
    <row r="632" spans="1:15" ht="15.95" customHeight="1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</row>
    <row r="633" spans="1:15" ht="15.95" customHeight="1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</row>
    <row r="634" spans="1:15" ht="15.95" customHeight="1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</row>
    <row r="635" spans="1:15" ht="15.95" customHeight="1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</row>
    <row r="636" spans="1:15" ht="15.95" customHeight="1" x14ac:dyDescent="0.2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</row>
    <row r="637" spans="1:15" ht="15.95" customHeight="1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</row>
    <row r="638" spans="1:15" ht="15.95" customHeight="1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</row>
    <row r="639" spans="1:15" ht="15.95" customHeight="1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</row>
    <row r="640" spans="1:15" ht="15.95" customHeight="1" x14ac:dyDescent="0.2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</row>
    <row r="641" spans="1:15" ht="15.95" customHeight="1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</row>
    <row r="642" spans="1:15" ht="15.95" customHeight="1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</row>
    <row r="643" spans="1:15" ht="15.95" customHeight="1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</row>
    <row r="644" spans="1:15" ht="15.95" customHeight="1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</row>
    <row r="645" spans="1:15" ht="15.95" customHeight="1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</row>
    <row r="646" spans="1:15" ht="15.95" customHeight="1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</row>
    <row r="647" spans="1:15" ht="15.95" customHeight="1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</row>
    <row r="648" spans="1:15" ht="15.95" customHeight="1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</row>
    <row r="649" spans="1:15" ht="15.95" customHeight="1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</row>
    <row r="650" spans="1:15" ht="15.95" customHeight="1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</row>
    <row r="651" spans="1:15" ht="15.95" customHeight="1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</row>
    <row r="652" spans="1:15" ht="15.95" customHeight="1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</row>
    <row r="653" spans="1:15" ht="15.95" customHeight="1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</row>
    <row r="654" spans="1:15" ht="15.95" customHeight="1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</row>
    <row r="655" spans="1:15" ht="15.95" customHeight="1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</row>
    <row r="656" spans="1:15" ht="15.95" customHeight="1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</row>
    <row r="657" spans="1:15" ht="15.95" customHeight="1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</row>
    <row r="658" spans="1:15" ht="15.95" customHeight="1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</row>
    <row r="659" spans="1:15" ht="15.95" customHeight="1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</row>
    <row r="660" spans="1:15" ht="15.95" customHeight="1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</row>
    <row r="661" spans="1:15" ht="15.95" customHeight="1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</row>
    <row r="662" spans="1:15" ht="15.95" customHeight="1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</row>
    <row r="663" spans="1:15" ht="15.95" customHeight="1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</row>
    <row r="664" spans="1:15" ht="15.95" customHeight="1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</row>
    <row r="665" spans="1:15" ht="15.95" customHeight="1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</row>
    <row r="666" spans="1:15" ht="15.95" customHeight="1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</row>
    <row r="667" spans="1:15" ht="15.95" customHeight="1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</row>
    <row r="668" spans="1:15" ht="15.95" customHeight="1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</row>
    <row r="669" spans="1:15" ht="15.95" customHeight="1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</row>
    <row r="670" spans="1:15" ht="15.95" customHeight="1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</row>
    <row r="671" spans="1:15" ht="15.95" customHeight="1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</row>
    <row r="672" spans="1:15" ht="15.95" customHeight="1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</row>
    <row r="673" spans="1:15" ht="15.95" customHeight="1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</row>
    <row r="674" spans="1:15" ht="15.95" customHeight="1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</row>
    <row r="675" spans="1:15" ht="15.95" customHeight="1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</row>
    <row r="676" spans="1:15" ht="15.95" customHeight="1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</row>
    <row r="677" spans="1:15" ht="15.95" customHeight="1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</row>
    <row r="678" spans="1:15" ht="15.95" customHeight="1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</row>
    <row r="679" spans="1:15" ht="15.95" customHeight="1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</row>
    <row r="680" spans="1:15" ht="15.95" customHeight="1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</row>
    <row r="681" spans="1:15" ht="15.95" customHeight="1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</row>
    <row r="682" spans="1:15" ht="15.95" customHeight="1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</row>
    <row r="683" spans="1:15" ht="15.95" customHeight="1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</row>
    <row r="684" spans="1:15" ht="15.95" customHeight="1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</row>
    <row r="685" spans="1:15" ht="15.95" customHeight="1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</row>
    <row r="686" spans="1:15" ht="15.95" customHeight="1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</row>
    <row r="687" spans="1:15" ht="15.95" customHeight="1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</row>
    <row r="688" spans="1:15" ht="15.95" customHeight="1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</row>
    <row r="689" spans="1:15" ht="15.95" customHeight="1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</row>
    <row r="690" spans="1:15" ht="15.95" customHeight="1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</row>
    <row r="691" spans="1:15" ht="15.95" customHeight="1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</row>
    <row r="692" spans="1:15" ht="15.95" customHeight="1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</row>
    <row r="693" spans="1:15" ht="15.95" customHeight="1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</row>
    <row r="694" spans="1:15" ht="15.95" customHeight="1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</row>
    <row r="695" spans="1:15" ht="15.95" customHeight="1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</row>
    <row r="696" spans="1:15" ht="15.95" customHeight="1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</row>
    <row r="697" spans="1:15" ht="15.95" customHeight="1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</row>
    <row r="698" spans="1:15" ht="15.95" customHeight="1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</row>
    <row r="699" spans="1:15" ht="15.95" customHeight="1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</row>
    <row r="700" spans="1:15" ht="15.95" customHeight="1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</row>
    <row r="701" spans="1:15" ht="15.95" customHeight="1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</row>
    <row r="702" spans="1:15" ht="15.95" customHeight="1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</row>
    <row r="703" spans="1:15" ht="15.95" customHeight="1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</row>
    <row r="704" spans="1:15" ht="15.95" customHeight="1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</row>
    <row r="705" spans="1:15" ht="15.95" customHeight="1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</row>
    <row r="706" spans="1:15" ht="15.95" customHeight="1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</row>
    <row r="707" spans="1:15" ht="15.95" customHeight="1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</row>
    <row r="708" spans="1:15" ht="15.95" customHeight="1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</row>
    <row r="709" spans="1:15" ht="15.95" customHeight="1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</row>
    <row r="710" spans="1:15" ht="15.95" customHeight="1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</row>
    <row r="711" spans="1:15" ht="15.95" customHeight="1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</row>
    <row r="712" spans="1:15" ht="15.95" customHeight="1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</row>
    <row r="713" spans="1:15" ht="15.95" customHeight="1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</row>
    <row r="714" spans="1:15" ht="15.95" customHeight="1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</row>
    <row r="715" spans="1:15" ht="15.95" customHeight="1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</row>
    <row r="716" spans="1:15" ht="15.95" customHeight="1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</row>
    <row r="717" spans="1:15" ht="15.95" customHeight="1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</row>
    <row r="718" spans="1:15" ht="15.95" customHeight="1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</row>
    <row r="719" spans="1:15" ht="15.95" customHeight="1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</row>
    <row r="720" spans="1:15" ht="15.95" customHeight="1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</row>
    <row r="721" spans="1:15" ht="15.95" customHeight="1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</row>
    <row r="722" spans="1:15" ht="15.95" customHeight="1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</row>
    <row r="723" spans="1:15" ht="15.95" customHeight="1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</row>
    <row r="724" spans="1:15" ht="15.95" customHeight="1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</row>
    <row r="725" spans="1:15" ht="15.95" customHeight="1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</row>
    <row r="726" spans="1:15" ht="15.95" customHeight="1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</row>
    <row r="727" spans="1:15" ht="15.95" customHeight="1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</row>
    <row r="728" spans="1:15" ht="15.95" customHeight="1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</row>
    <row r="729" spans="1:15" ht="15.95" customHeight="1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</row>
    <row r="730" spans="1:15" ht="15.95" customHeight="1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</row>
    <row r="731" spans="1:15" ht="15.95" customHeight="1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</row>
    <row r="732" spans="1:15" ht="15.95" customHeight="1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</row>
    <row r="733" spans="1:15" ht="15.95" customHeight="1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</row>
    <row r="734" spans="1:15" ht="15.95" customHeight="1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</row>
    <row r="735" spans="1:15" ht="15.95" customHeight="1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</row>
    <row r="736" spans="1:15" ht="15.95" customHeight="1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</row>
    <row r="737" spans="1:15" ht="15.95" customHeight="1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</row>
    <row r="738" spans="1:15" ht="15.95" customHeight="1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</row>
    <row r="739" spans="1:15" ht="15.95" customHeight="1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</row>
    <row r="740" spans="1:15" ht="15.95" customHeight="1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</row>
    <row r="741" spans="1:15" ht="15.95" customHeight="1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</row>
    <row r="742" spans="1:15" ht="15.95" customHeight="1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</row>
    <row r="743" spans="1:15" ht="15.95" customHeight="1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</row>
    <row r="744" spans="1:15" ht="15.95" customHeight="1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</row>
    <row r="745" spans="1:15" ht="15.95" customHeight="1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</row>
    <row r="746" spans="1:15" ht="15.95" customHeight="1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</row>
    <row r="747" spans="1:15" ht="15.95" customHeight="1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</row>
    <row r="748" spans="1:15" ht="15.95" customHeight="1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</row>
    <row r="749" spans="1:15" ht="15.95" customHeight="1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</row>
    <row r="750" spans="1:15" ht="15.95" customHeight="1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</row>
    <row r="751" spans="1:15" ht="15.95" customHeight="1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</row>
    <row r="752" spans="1:15" ht="15.95" customHeight="1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</row>
    <row r="753" spans="1:15" ht="15.95" customHeight="1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</row>
    <row r="754" spans="1:15" ht="15.95" customHeight="1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</row>
    <row r="755" spans="1:15" ht="15.95" customHeight="1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</row>
    <row r="756" spans="1:15" ht="15.95" customHeight="1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</row>
    <row r="757" spans="1:15" ht="15.95" customHeight="1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</row>
    <row r="758" spans="1:15" ht="15.95" customHeight="1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</row>
    <row r="759" spans="1:15" ht="15.95" customHeight="1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</row>
    <row r="760" spans="1:15" ht="15.95" customHeight="1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</row>
    <row r="761" spans="1:15" ht="15.95" customHeight="1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</row>
    <row r="762" spans="1:15" ht="15.95" customHeight="1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</row>
    <row r="763" spans="1:15" ht="15.95" customHeight="1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</row>
    <row r="764" spans="1:15" ht="15.95" customHeight="1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</row>
    <row r="765" spans="1:15" ht="15.95" customHeight="1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</row>
    <row r="766" spans="1:15" ht="15.95" customHeight="1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</row>
    <row r="767" spans="1:15" ht="15.95" customHeight="1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</row>
    <row r="768" spans="1:15" ht="15.95" customHeight="1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</row>
    <row r="769" spans="1:15" ht="15.95" customHeight="1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</row>
    <row r="770" spans="1:15" ht="15.95" customHeight="1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</row>
    <row r="771" spans="1:15" ht="15.95" customHeight="1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</row>
    <row r="772" spans="1:15" ht="15.95" customHeight="1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</row>
    <row r="773" spans="1:15" ht="15.95" customHeight="1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</row>
    <row r="774" spans="1:15" ht="15.95" customHeight="1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</row>
    <row r="775" spans="1:15" ht="15.95" customHeight="1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</row>
    <row r="776" spans="1:15" ht="15.95" customHeight="1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</row>
    <row r="777" spans="1:15" ht="15.95" customHeight="1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</row>
    <row r="778" spans="1:15" ht="15.95" customHeight="1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</row>
    <row r="779" spans="1:15" ht="15.95" customHeight="1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</row>
    <row r="780" spans="1:15" ht="15.95" customHeight="1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</row>
    <row r="781" spans="1:15" ht="15.95" customHeight="1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</row>
    <row r="782" spans="1:15" ht="15.95" customHeight="1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</row>
    <row r="783" spans="1:15" ht="15.95" customHeight="1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</row>
    <row r="784" spans="1:15" ht="15.95" customHeight="1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</row>
    <row r="785" spans="1:15" ht="15.95" customHeight="1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</row>
    <row r="786" spans="1:15" ht="15.95" customHeight="1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</row>
    <row r="787" spans="1:15" ht="15.95" customHeight="1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</row>
    <row r="788" spans="1:15" ht="15.95" customHeight="1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</row>
    <row r="789" spans="1:15" ht="15.95" customHeight="1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</row>
    <row r="790" spans="1:15" ht="15.95" customHeight="1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</row>
    <row r="791" spans="1:15" ht="15.95" customHeight="1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</row>
    <row r="792" spans="1:15" ht="15.95" customHeight="1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</row>
    <row r="793" spans="1:15" ht="15.95" customHeight="1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</row>
    <row r="794" spans="1:15" ht="15.95" customHeight="1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</row>
    <row r="795" spans="1:15" ht="15.95" customHeight="1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</row>
    <row r="796" spans="1:15" ht="15.95" customHeight="1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</row>
    <row r="797" spans="1:15" ht="15.95" customHeight="1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</row>
    <row r="798" spans="1:15" ht="15.95" customHeight="1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</row>
    <row r="799" spans="1:15" ht="15.95" customHeight="1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</row>
    <row r="800" spans="1:15" ht="15.95" customHeight="1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</row>
    <row r="801" spans="1:15" ht="15.95" customHeight="1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</row>
    <row r="802" spans="1:15" ht="15.95" customHeight="1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</row>
    <row r="803" spans="1:15" ht="15.95" customHeight="1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</row>
    <row r="804" spans="1:15" ht="15.95" customHeight="1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</row>
    <row r="805" spans="1:15" ht="15.95" customHeight="1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</row>
    <row r="806" spans="1:15" ht="15.95" customHeight="1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</row>
    <row r="807" spans="1:15" ht="15.95" customHeight="1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</row>
    <row r="808" spans="1:15" ht="15.95" customHeight="1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</row>
    <row r="809" spans="1:15" ht="15.95" customHeight="1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</row>
    <row r="810" spans="1:15" ht="15.95" customHeight="1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</row>
    <row r="811" spans="1:15" ht="15.95" customHeight="1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</row>
    <row r="812" spans="1:15" ht="15.95" customHeight="1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</row>
    <row r="813" spans="1:15" ht="15.95" customHeight="1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</row>
    <row r="814" spans="1:15" ht="15.95" customHeight="1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</row>
    <row r="815" spans="1:15" ht="15.95" customHeight="1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</row>
    <row r="816" spans="1:15" ht="15.95" customHeight="1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</row>
    <row r="817" spans="1:15" ht="15.95" customHeight="1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</row>
    <row r="818" spans="1:15" ht="15.95" customHeight="1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</row>
    <row r="819" spans="1:15" ht="15.95" customHeight="1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</row>
    <row r="820" spans="1:15" ht="15.95" customHeight="1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</row>
    <row r="821" spans="1:15" ht="15.95" customHeight="1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</row>
    <row r="822" spans="1:15" ht="15.95" customHeight="1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</row>
    <row r="823" spans="1:15" ht="15.95" customHeight="1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</row>
    <row r="824" spans="1:15" ht="15.95" customHeight="1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</row>
    <row r="825" spans="1:15" ht="15.95" customHeight="1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</row>
    <row r="826" spans="1:15" ht="15.95" customHeight="1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</row>
    <row r="827" spans="1:15" ht="15.95" customHeight="1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</row>
    <row r="828" spans="1:15" ht="15.95" customHeight="1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</row>
    <row r="829" spans="1:15" ht="15.95" customHeight="1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</row>
    <row r="830" spans="1:15" ht="15.95" customHeight="1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</row>
    <row r="831" spans="1:15" ht="15.95" customHeight="1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</row>
    <row r="832" spans="1:15" ht="15.95" customHeight="1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</row>
    <row r="833" spans="1:15" ht="15.95" customHeight="1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</row>
    <row r="834" spans="1:15" ht="15.95" customHeight="1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</row>
    <row r="835" spans="1:15" ht="15.95" customHeight="1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</row>
    <row r="836" spans="1:15" ht="15.95" customHeight="1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</row>
    <row r="837" spans="1:15" ht="15.95" customHeight="1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</row>
    <row r="838" spans="1:15" ht="15.95" customHeight="1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</row>
    <row r="839" spans="1:15" ht="15.95" customHeight="1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</row>
    <row r="840" spans="1:15" ht="15.95" customHeight="1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</row>
    <row r="841" spans="1:15" ht="15.95" customHeight="1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</row>
    <row r="842" spans="1:15" ht="15.95" customHeight="1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</row>
    <row r="843" spans="1:15" ht="15.95" customHeight="1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</row>
    <row r="844" spans="1:15" ht="15.95" customHeight="1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</row>
    <row r="845" spans="1:15" ht="15.95" customHeight="1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</row>
    <row r="846" spans="1:15" ht="15.95" customHeight="1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</row>
    <row r="847" spans="1:15" ht="15.95" customHeight="1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</row>
    <row r="848" spans="1:15" ht="15.95" customHeight="1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</row>
    <row r="849" spans="1:15" ht="15.95" customHeight="1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</row>
    <row r="850" spans="1:15" ht="15.95" customHeight="1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</row>
    <row r="851" spans="1:15" ht="15.95" customHeight="1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</row>
    <row r="852" spans="1:15" ht="15.95" customHeight="1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</row>
    <row r="853" spans="1:15" ht="15.95" customHeight="1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</row>
    <row r="854" spans="1:15" ht="15.95" customHeight="1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</row>
    <row r="855" spans="1:15" ht="15.95" customHeight="1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</row>
    <row r="856" spans="1:15" ht="15.95" customHeight="1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</row>
    <row r="857" spans="1:15" ht="15.95" customHeight="1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</row>
    <row r="858" spans="1:15" ht="15.95" customHeight="1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</row>
    <row r="859" spans="1:15" ht="15.95" customHeight="1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</row>
    <row r="860" spans="1:15" ht="15.95" customHeight="1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</row>
    <row r="861" spans="1:15" ht="15.95" customHeight="1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</row>
    <row r="862" spans="1:15" ht="15.95" customHeight="1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</row>
    <row r="863" spans="1:15" ht="15.95" customHeight="1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</row>
    <row r="864" spans="1:15" ht="15.95" customHeight="1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</row>
    <row r="865" spans="1:15" ht="15.95" customHeight="1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</row>
    <row r="866" spans="1:15" ht="15.95" customHeight="1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</row>
    <row r="867" spans="1:15" ht="15.95" customHeight="1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</row>
    <row r="868" spans="1:15" ht="15.95" customHeight="1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</row>
    <row r="869" spans="1:15" ht="15.95" customHeight="1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</row>
    <row r="870" spans="1:15" ht="15.95" customHeight="1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</row>
    <row r="871" spans="1:15" ht="15.95" customHeight="1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</row>
    <row r="872" spans="1:15" ht="15.95" customHeight="1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</row>
    <row r="873" spans="1:15" ht="15.95" customHeight="1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</row>
    <row r="874" spans="1:15" ht="15.95" customHeight="1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</row>
    <row r="875" spans="1:15" ht="15.95" customHeight="1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</row>
    <row r="876" spans="1:15" ht="15.95" customHeight="1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</row>
    <row r="877" spans="1:15" ht="15.95" customHeight="1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</row>
    <row r="878" spans="1:15" ht="15.95" customHeight="1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</row>
    <row r="879" spans="1:15" ht="15.95" customHeight="1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</row>
    <row r="880" spans="1:15" ht="15.95" customHeight="1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</row>
    <row r="881" spans="1:15" ht="15.95" customHeight="1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</row>
    <row r="882" spans="1:15" ht="15.95" customHeight="1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</row>
    <row r="883" spans="1:15" ht="15.95" customHeight="1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</row>
    <row r="884" spans="1:15" ht="15.95" customHeight="1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</row>
    <row r="885" spans="1:15" ht="15.95" customHeight="1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</row>
    <row r="886" spans="1:15" ht="15.95" customHeight="1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</row>
    <row r="887" spans="1:15" ht="15.95" customHeight="1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</row>
    <row r="888" spans="1:15" ht="15.95" customHeight="1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</row>
    <row r="889" spans="1:15" ht="15.95" customHeight="1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</row>
    <row r="890" spans="1:15" ht="15.95" customHeight="1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</row>
    <row r="891" spans="1:15" ht="15.95" customHeight="1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</row>
    <row r="892" spans="1:15" ht="15.95" customHeight="1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</row>
    <row r="893" spans="1:15" ht="15.95" customHeight="1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</row>
    <row r="894" spans="1:15" ht="15.95" customHeight="1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</row>
    <row r="895" spans="1:15" ht="15.95" customHeight="1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</row>
    <row r="896" spans="1:15" ht="15.95" customHeight="1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</row>
    <row r="897" spans="1:15" ht="15.95" customHeight="1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</row>
    <row r="898" spans="1:15" ht="15.95" customHeight="1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</row>
    <row r="899" spans="1:15" ht="15.95" customHeight="1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</row>
    <row r="900" spans="1:15" ht="15.95" customHeight="1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</row>
    <row r="901" spans="1:15" ht="15.95" customHeight="1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</row>
    <row r="902" spans="1:15" ht="15.95" customHeight="1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</row>
    <row r="903" spans="1:15" ht="15.95" customHeight="1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</row>
    <row r="904" spans="1:15" ht="15.95" customHeight="1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</row>
    <row r="905" spans="1:15" ht="15.95" customHeight="1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</row>
    <row r="906" spans="1:15" ht="15.95" customHeight="1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</row>
    <row r="907" spans="1:15" ht="15.95" customHeight="1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</row>
    <row r="908" spans="1:15" ht="15.95" customHeight="1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</row>
    <row r="909" spans="1:15" ht="15.95" customHeight="1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</row>
    <row r="910" spans="1:15" ht="15.95" customHeight="1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</row>
    <row r="911" spans="1:15" ht="15.95" customHeight="1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</row>
    <row r="912" spans="1:15" ht="15.95" customHeight="1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</row>
    <row r="913" spans="1:15" ht="15.95" customHeight="1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</row>
    <row r="914" spans="1:15" ht="15.95" customHeight="1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</row>
    <row r="915" spans="1:15" ht="15.95" customHeight="1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</row>
    <row r="916" spans="1:15" ht="15.95" customHeight="1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</row>
    <row r="917" spans="1:15" ht="15.95" customHeight="1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</row>
    <row r="918" spans="1:15" ht="15.95" customHeight="1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</row>
    <row r="919" spans="1:15" ht="15.95" customHeight="1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</row>
    <row r="920" spans="1:15" ht="15.95" customHeight="1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</row>
    <row r="921" spans="1:15" ht="15.95" customHeight="1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</row>
    <row r="922" spans="1:15" ht="15.95" customHeight="1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</row>
    <row r="923" spans="1:15" ht="15.95" customHeight="1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</row>
    <row r="924" spans="1:15" ht="15.95" customHeight="1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</row>
    <row r="925" spans="1:15" ht="15.95" customHeight="1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</row>
    <row r="926" spans="1:15" ht="15.95" customHeight="1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</row>
    <row r="927" spans="1:15" ht="15.95" customHeight="1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</row>
    <row r="928" spans="1:15" ht="15.95" customHeight="1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</row>
    <row r="929" spans="1:15" ht="15.95" customHeight="1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</row>
    <row r="930" spans="1:15" ht="15.95" customHeight="1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</row>
    <row r="931" spans="1:15" ht="15.95" customHeight="1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</row>
    <row r="932" spans="1:15" ht="15.95" customHeight="1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</row>
    <row r="933" spans="1:15" ht="15.95" customHeight="1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</row>
    <row r="934" spans="1:15" ht="15.95" customHeight="1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</row>
    <row r="935" spans="1:15" ht="15.95" customHeight="1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</row>
    <row r="936" spans="1:15" ht="15.95" customHeight="1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</row>
    <row r="937" spans="1:15" ht="15.95" customHeight="1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</row>
    <row r="938" spans="1:15" ht="15.95" customHeight="1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</row>
    <row r="939" spans="1:15" ht="15.95" customHeight="1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</row>
    <row r="940" spans="1:15" ht="15.95" customHeight="1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</row>
    <row r="941" spans="1:15" ht="15.95" customHeight="1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</row>
    <row r="942" spans="1:15" ht="15.95" customHeight="1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</row>
    <row r="943" spans="1:15" ht="15.95" customHeight="1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</row>
    <row r="944" spans="1:15" ht="15.95" customHeight="1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</row>
    <row r="945" spans="1:15" ht="15.95" customHeight="1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</row>
    <row r="946" spans="1:15" ht="15.95" customHeight="1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</row>
    <row r="947" spans="1:15" ht="15.95" customHeight="1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</row>
    <row r="948" spans="1:15" ht="15.95" customHeight="1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</row>
    <row r="949" spans="1:15" ht="15.95" customHeight="1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</row>
    <row r="950" spans="1:15" ht="15.95" customHeight="1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</row>
    <row r="951" spans="1:15" ht="15.95" customHeight="1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</row>
    <row r="952" spans="1:15" ht="15.95" customHeight="1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</row>
    <row r="953" spans="1:15" ht="15.95" customHeight="1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</row>
    <row r="954" spans="1:15" ht="15.95" customHeight="1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</row>
    <row r="955" spans="1:15" ht="15.95" customHeight="1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</row>
    <row r="956" spans="1:15" ht="15.95" customHeight="1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</row>
    <row r="957" spans="1:15" ht="15.95" customHeight="1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</row>
    <row r="958" spans="1:15" ht="15.95" customHeight="1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</row>
    <row r="959" spans="1:15" ht="15.95" customHeight="1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</row>
    <row r="960" spans="1:15" ht="15.95" customHeight="1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</row>
    <row r="961" spans="1:15" ht="15.95" customHeight="1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</row>
    <row r="962" spans="1:15" ht="15.95" customHeight="1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</row>
    <row r="963" spans="1:15" ht="15.95" customHeight="1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</row>
    <row r="964" spans="1:15" ht="15.95" customHeight="1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</row>
    <row r="965" spans="1:15" ht="15.95" customHeight="1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</row>
    <row r="966" spans="1:15" ht="15.95" customHeight="1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</row>
    <row r="967" spans="1:15" ht="15.95" customHeight="1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</row>
    <row r="968" spans="1:15" ht="15.95" customHeight="1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</row>
    <row r="969" spans="1:15" ht="15.95" customHeight="1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</row>
    <row r="970" spans="1:15" ht="15.95" customHeight="1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</row>
    <row r="971" spans="1:15" ht="15.95" customHeight="1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</row>
    <row r="972" spans="1:15" ht="15.95" customHeight="1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</row>
    <row r="973" spans="1:15" ht="15.95" customHeight="1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</row>
    <row r="974" spans="1:15" ht="15.95" customHeight="1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</row>
    <row r="975" spans="1:15" ht="15.95" customHeight="1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</row>
    <row r="976" spans="1:15" ht="15.95" customHeight="1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</row>
    <row r="977" spans="1:15" ht="15.95" customHeight="1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</row>
    <row r="978" spans="1:15" ht="15.95" customHeight="1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</row>
    <row r="979" spans="1:15" ht="15.95" customHeight="1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</row>
    <row r="980" spans="1:15" ht="15.95" customHeight="1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</row>
    <row r="981" spans="1:15" ht="15.95" customHeight="1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</row>
    <row r="982" spans="1:15" ht="15.95" customHeight="1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</row>
    <row r="983" spans="1:15" ht="15.95" customHeight="1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</row>
    <row r="984" spans="1:15" ht="15.95" customHeight="1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</row>
    <row r="985" spans="1:15" ht="15.95" customHeight="1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</row>
    <row r="986" spans="1:15" ht="15.95" customHeight="1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</row>
    <row r="987" spans="1:15" ht="15.95" customHeight="1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</row>
    <row r="988" spans="1:15" ht="15.95" customHeight="1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</row>
    <row r="989" spans="1:15" ht="15.95" customHeight="1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</row>
    <row r="990" spans="1:15" ht="15.95" customHeight="1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</row>
    <row r="991" spans="1:15" ht="15.95" customHeight="1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</row>
    <row r="992" spans="1:15" ht="15.95" customHeight="1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</row>
    <row r="993" spans="1:15" ht="15.95" customHeight="1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</row>
    <row r="994" spans="1:15" ht="15.95" customHeight="1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</row>
    <row r="995" spans="1:15" ht="15.95" customHeight="1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</row>
    <row r="996" spans="1:15" ht="15.95" customHeight="1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</row>
    <row r="997" spans="1:15" ht="15.95" customHeight="1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</row>
    <row r="998" spans="1:15" ht="15.95" customHeight="1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</row>
    <row r="999" spans="1:15" ht="15.95" customHeight="1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</row>
    <row r="1000" spans="1:15" ht="15.95" customHeight="1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135"/>
  <sheetViews>
    <sheetView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V7" sqref="V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2" t="s">
        <v>2436</v>
      </c>
      <c r="B1" s="56" t="s">
        <v>2412</v>
      </c>
      <c r="C1" s="56" t="s">
        <v>2413</v>
      </c>
      <c r="D1" s="56" t="s">
        <v>2414</v>
      </c>
      <c r="E1" s="56" t="s">
        <v>2437</v>
      </c>
      <c r="F1" s="56" t="s">
        <v>2438</v>
      </c>
      <c r="G1" s="56" t="s">
        <v>2439</v>
      </c>
      <c r="H1" s="58" t="s">
        <v>2441</v>
      </c>
      <c r="I1" s="59"/>
      <c r="J1" s="60"/>
      <c r="K1" s="58" t="s">
        <v>2430</v>
      </c>
      <c r="L1" s="59"/>
      <c r="M1" s="59"/>
      <c r="N1" s="59"/>
      <c r="O1" s="59"/>
      <c r="P1" s="59"/>
      <c r="Q1" s="60"/>
      <c r="R1" s="56" t="s">
        <v>2440</v>
      </c>
      <c r="S1" s="58" t="s">
        <v>2452</v>
      </c>
      <c r="T1" s="59"/>
      <c r="U1" s="61"/>
    </row>
    <row r="2" spans="1:21" ht="66" x14ac:dyDescent="0.25">
      <c r="A2" s="63"/>
      <c r="B2" s="57"/>
      <c r="C2" s="57"/>
      <c r="D2" s="57"/>
      <c r="E2" s="57"/>
      <c r="F2" s="57"/>
      <c r="G2" s="57"/>
      <c r="H2" s="55" t="s">
        <v>2442</v>
      </c>
      <c r="I2" s="55" t="s">
        <v>2443</v>
      </c>
      <c r="J2" s="55" t="s">
        <v>2444</v>
      </c>
      <c r="K2" s="55" t="s">
        <v>2445</v>
      </c>
      <c r="L2" s="55" t="s">
        <v>2446</v>
      </c>
      <c r="M2" s="55" t="s">
        <v>2447</v>
      </c>
      <c r="N2" s="55" t="s">
        <v>2448</v>
      </c>
      <c r="O2" s="55" t="s">
        <v>2449</v>
      </c>
      <c r="P2" s="55" t="s">
        <v>2450</v>
      </c>
      <c r="Q2" s="55" t="s">
        <v>2451</v>
      </c>
      <c r="R2" s="57"/>
      <c r="S2" s="55" t="s">
        <v>2453</v>
      </c>
      <c r="T2" s="55" t="s">
        <v>2454</v>
      </c>
      <c r="U2" s="51" t="s">
        <v>2455</v>
      </c>
    </row>
    <row r="3" spans="1:21" ht="16.5" x14ac:dyDescent="0.25">
      <c r="A3" s="23" t="str">
        <f>A6</f>
        <v>Пс9.5.1</v>
      </c>
      <c r="B3" s="24" t="s">
        <v>2457</v>
      </c>
      <c r="C3" s="24" t="s">
        <v>2458</v>
      </c>
      <c r="D3" s="24" t="s">
        <v>2522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21" ht="16.5" x14ac:dyDescent="0.25">
      <c r="A4" s="23" t="str">
        <f>A6</f>
        <v>Пс9.5.1</v>
      </c>
      <c r="B4" s="24" t="s">
        <v>2457</v>
      </c>
      <c r="C4" s="24" t="s">
        <v>2459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21" ht="16.5" x14ac:dyDescent="0.25">
      <c r="A5" s="23" t="s">
        <v>2457</v>
      </c>
      <c r="B5" s="24" t="s">
        <v>2457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21" ht="33" x14ac:dyDescent="0.25">
      <c r="A6" s="26" t="s">
        <v>2548</v>
      </c>
      <c r="B6" s="27" t="s">
        <v>2548</v>
      </c>
      <c r="C6" s="27"/>
      <c r="D6" s="27" t="s">
        <v>2526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21" ht="16.5" x14ac:dyDescent="0.25">
      <c r="A7" s="50" t="s">
        <v>2548</v>
      </c>
      <c r="B7" s="55">
        <v>1</v>
      </c>
      <c r="C7" s="55" t="s">
        <v>2417</v>
      </c>
      <c r="D7" s="55" t="s">
        <v>2477</v>
      </c>
      <c r="E7" s="55">
        <v>14</v>
      </c>
      <c r="F7" s="24">
        <v>0.88800000000000001</v>
      </c>
      <c r="G7" s="55"/>
      <c r="H7" s="55">
        <v>4470</v>
      </c>
      <c r="I7" s="55">
        <v>12</v>
      </c>
      <c r="J7" s="55" t="s">
        <v>2</v>
      </c>
      <c r="K7" s="55"/>
      <c r="L7" s="55"/>
      <c r="M7" s="55"/>
      <c r="N7" s="55"/>
      <c r="O7" s="55"/>
      <c r="P7" s="55"/>
      <c r="Q7" s="55"/>
      <c r="R7" s="55"/>
      <c r="S7" s="55">
        <v>650</v>
      </c>
      <c r="T7" s="55">
        <v>780</v>
      </c>
      <c r="U7" s="51">
        <v>30</v>
      </c>
    </row>
    <row r="8" spans="1:21" ht="16.5" x14ac:dyDescent="0.25">
      <c r="A8" s="50" t="s">
        <v>2548</v>
      </c>
      <c r="B8" s="55">
        <v>2</v>
      </c>
      <c r="C8" s="55" t="s">
        <v>2417</v>
      </c>
      <c r="D8" s="55" t="s">
        <v>2478</v>
      </c>
      <c r="E8" s="55">
        <v>22.6</v>
      </c>
      <c r="F8" s="24">
        <v>0.88800000000000001</v>
      </c>
      <c r="G8" s="55" t="s">
        <v>0</v>
      </c>
      <c r="H8" s="55">
        <v>1290</v>
      </c>
      <c r="I8" s="55">
        <v>12</v>
      </c>
      <c r="J8" s="55" t="s">
        <v>2</v>
      </c>
      <c r="K8" s="55"/>
      <c r="L8" s="55"/>
      <c r="M8" s="55"/>
      <c r="N8" s="55"/>
      <c r="O8" s="55"/>
      <c r="P8" s="55"/>
      <c r="Q8" s="55"/>
      <c r="R8" s="55"/>
      <c r="S8" s="55">
        <v>650</v>
      </c>
      <c r="T8" s="55">
        <v>780</v>
      </c>
      <c r="U8" s="51">
        <v>30</v>
      </c>
    </row>
    <row r="9" spans="1:21" ht="16.5" x14ac:dyDescent="0.25">
      <c r="A9" s="50" t="s">
        <v>2548</v>
      </c>
      <c r="B9" s="55">
        <v>3</v>
      </c>
      <c r="C9" s="55" t="s">
        <v>2417</v>
      </c>
      <c r="D9" s="55" t="s">
        <v>2479</v>
      </c>
      <c r="E9" s="55">
        <v>12</v>
      </c>
      <c r="F9" s="24">
        <v>0.88800000000000001</v>
      </c>
      <c r="G9" s="55" t="s">
        <v>0</v>
      </c>
      <c r="H9" s="55">
        <v>1290</v>
      </c>
      <c r="I9" s="55">
        <v>12</v>
      </c>
      <c r="J9" s="55" t="s">
        <v>2</v>
      </c>
      <c r="K9" s="55"/>
      <c r="L9" s="55"/>
      <c r="M9" s="55"/>
      <c r="N9" s="55"/>
      <c r="O9" s="55"/>
      <c r="P9" s="55"/>
      <c r="Q9" s="55"/>
      <c r="R9" s="55"/>
      <c r="S9" s="55">
        <v>650</v>
      </c>
      <c r="T9" s="55">
        <v>780</v>
      </c>
      <c r="U9" s="51">
        <v>30</v>
      </c>
    </row>
    <row r="10" spans="1:21" ht="16.5" x14ac:dyDescent="0.25">
      <c r="A10" s="50" t="s">
        <v>2548</v>
      </c>
      <c r="B10" s="55">
        <v>4</v>
      </c>
      <c r="C10" s="55" t="s">
        <v>2417</v>
      </c>
      <c r="D10" s="55" t="s">
        <v>2480</v>
      </c>
      <c r="E10" s="55">
        <v>46</v>
      </c>
      <c r="F10" s="24">
        <v>0.88800000000000001</v>
      </c>
      <c r="G10" s="55" t="s">
        <v>0</v>
      </c>
      <c r="H10" s="55">
        <v>1625</v>
      </c>
      <c r="I10" s="55">
        <v>12</v>
      </c>
      <c r="J10" s="55" t="s">
        <v>2</v>
      </c>
      <c r="K10" s="55"/>
      <c r="L10" s="55"/>
      <c r="M10" s="55"/>
      <c r="N10" s="55"/>
      <c r="O10" s="55"/>
      <c r="P10" s="55"/>
      <c r="Q10" s="55"/>
      <c r="R10" s="55"/>
      <c r="S10" s="55">
        <v>650</v>
      </c>
      <c r="T10" s="55">
        <v>780</v>
      </c>
      <c r="U10" s="51">
        <v>30</v>
      </c>
    </row>
    <row r="11" spans="1:21" ht="16.5" x14ac:dyDescent="0.25">
      <c r="A11" s="50" t="s">
        <v>2548</v>
      </c>
      <c r="B11" s="55">
        <v>5</v>
      </c>
      <c r="C11" s="55" t="s">
        <v>2419</v>
      </c>
      <c r="D11" s="55" t="s">
        <v>2481</v>
      </c>
      <c r="E11" s="55">
        <v>37</v>
      </c>
      <c r="F11" s="24">
        <v>0.222</v>
      </c>
      <c r="G11" s="55" t="s">
        <v>0</v>
      </c>
      <c r="H11" s="55">
        <v>270</v>
      </c>
      <c r="I11" s="55">
        <v>6</v>
      </c>
      <c r="J11" s="55" t="s">
        <v>1</v>
      </c>
      <c r="K11" s="55"/>
      <c r="L11" s="55"/>
      <c r="M11" s="55"/>
      <c r="N11" s="55"/>
      <c r="O11" s="55"/>
      <c r="P11" s="55"/>
      <c r="Q11" s="55"/>
      <c r="R11" s="55"/>
      <c r="S11" s="55">
        <v>200</v>
      </c>
      <c r="T11" s="55">
        <v>250</v>
      </c>
      <c r="U11" s="51">
        <v>7.5</v>
      </c>
    </row>
    <row r="12" spans="1:21" ht="16.5" x14ac:dyDescent="0.25">
      <c r="A12" s="50" t="s">
        <v>2548</v>
      </c>
      <c r="B12" s="55">
        <v>6</v>
      </c>
      <c r="C12" s="55" t="s">
        <v>2417</v>
      </c>
      <c r="D12" s="55" t="s">
        <v>2482</v>
      </c>
      <c r="E12" s="55">
        <v>23</v>
      </c>
      <c r="F12" s="24">
        <v>0.88800000000000001</v>
      </c>
      <c r="G12" s="55"/>
      <c r="H12" s="55">
        <v>750</v>
      </c>
      <c r="I12" s="55">
        <v>12</v>
      </c>
      <c r="J12" s="55" t="s">
        <v>2</v>
      </c>
      <c r="K12" s="55"/>
      <c r="L12" s="55"/>
      <c r="M12" s="55"/>
      <c r="N12" s="55"/>
      <c r="O12" s="55"/>
      <c r="P12" s="55"/>
      <c r="Q12" s="55"/>
      <c r="R12" s="55"/>
      <c r="S12" s="55">
        <v>650</v>
      </c>
      <c r="T12" s="55">
        <v>780</v>
      </c>
      <c r="U12" s="51">
        <v>30</v>
      </c>
    </row>
    <row r="13" spans="1:21" ht="16.5" x14ac:dyDescent="0.25">
      <c r="A13" s="50" t="s">
        <v>2548</v>
      </c>
      <c r="B13" s="55">
        <v>7</v>
      </c>
      <c r="C13" s="55" t="s">
        <v>2417</v>
      </c>
      <c r="D13" s="55" t="s">
        <v>2483</v>
      </c>
      <c r="E13" s="55">
        <v>10</v>
      </c>
      <c r="F13" s="24">
        <v>0.88800000000000001</v>
      </c>
      <c r="G13" s="55"/>
      <c r="H13" s="55">
        <v>4470</v>
      </c>
      <c r="I13" s="55">
        <v>12</v>
      </c>
      <c r="J13" s="55" t="s">
        <v>2</v>
      </c>
      <c r="K13" s="55"/>
      <c r="L13" s="55"/>
      <c r="M13" s="55"/>
      <c r="N13" s="55"/>
      <c r="O13" s="55"/>
      <c r="P13" s="55"/>
      <c r="Q13" s="55"/>
      <c r="R13" s="55"/>
      <c r="S13" s="55">
        <v>650</v>
      </c>
      <c r="T13" s="55">
        <v>780</v>
      </c>
      <c r="U13" s="51">
        <v>30</v>
      </c>
    </row>
    <row r="14" spans="1:21" ht="16.5" x14ac:dyDescent="0.25">
      <c r="A14" s="50" t="s">
        <v>2548</v>
      </c>
      <c r="B14" s="55">
        <v>9</v>
      </c>
      <c r="C14" s="55" t="s">
        <v>2417</v>
      </c>
      <c r="D14" s="55" t="s">
        <v>2485</v>
      </c>
      <c r="E14" s="55">
        <v>8</v>
      </c>
      <c r="F14" s="24">
        <v>0.88800000000000001</v>
      </c>
      <c r="G14" s="55" t="s">
        <v>0</v>
      </c>
      <c r="H14" s="55">
        <v>1390</v>
      </c>
      <c r="I14" s="55">
        <v>12</v>
      </c>
      <c r="J14" s="55" t="s">
        <v>2</v>
      </c>
      <c r="K14" s="55"/>
      <c r="L14" s="55"/>
      <c r="M14" s="55"/>
      <c r="N14" s="55"/>
      <c r="O14" s="55"/>
      <c r="P14" s="55"/>
      <c r="Q14" s="55"/>
      <c r="R14" s="55"/>
      <c r="S14" s="55">
        <v>650</v>
      </c>
      <c r="T14" s="55">
        <v>780</v>
      </c>
      <c r="U14" s="51">
        <v>30</v>
      </c>
    </row>
    <row r="15" spans="1:21" ht="33" x14ac:dyDescent="0.25">
      <c r="A15" s="50" t="s">
        <v>2548</v>
      </c>
      <c r="B15" s="55">
        <v>13</v>
      </c>
      <c r="C15" s="55" t="s">
        <v>2417</v>
      </c>
      <c r="D15" s="55" t="s">
        <v>2549</v>
      </c>
      <c r="E15" s="55">
        <v>23</v>
      </c>
      <c r="F15" s="24">
        <v>0.88800000000000001</v>
      </c>
      <c r="G15" s="55" t="s">
        <v>0</v>
      </c>
      <c r="H15" s="55">
        <v>1220</v>
      </c>
      <c r="I15" s="55">
        <v>12</v>
      </c>
      <c r="J15" s="55" t="s">
        <v>2</v>
      </c>
      <c r="K15" s="55"/>
      <c r="L15" s="55"/>
      <c r="M15" s="55"/>
      <c r="N15" s="55"/>
      <c r="O15" s="55"/>
      <c r="P15" s="55"/>
      <c r="Q15" s="55"/>
      <c r="R15" s="55"/>
      <c r="S15" s="55">
        <v>650</v>
      </c>
      <c r="T15" s="55">
        <v>780</v>
      </c>
      <c r="U15" s="51">
        <v>30</v>
      </c>
    </row>
    <row r="16" spans="1:21" ht="33" x14ac:dyDescent="0.25">
      <c r="A16" s="50" t="s">
        <v>2548</v>
      </c>
      <c r="B16" s="55"/>
      <c r="C16" s="29" t="s">
        <v>2463</v>
      </c>
      <c r="D16" s="29" t="s">
        <v>2520</v>
      </c>
      <c r="E16" s="29">
        <v>2.2000000000000002</v>
      </c>
      <c r="F16" s="29" t="s">
        <v>4</v>
      </c>
      <c r="G16" s="29" t="s">
        <v>3</v>
      </c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1"/>
    </row>
    <row r="17" spans="1:21" ht="16.5" x14ac:dyDescent="0.25">
      <c r="A17" s="50" t="s">
        <v>2548</v>
      </c>
      <c r="B17" s="55"/>
      <c r="C17" s="29" t="s">
        <v>2463</v>
      </c>
      <c r="D17" s="29" t="s">
        <v>2464</v>
      </c>
      <c r="E17" s="29">
        <v>0.5</v>
      </c>
      <c r="F17" s="29" t="s">
        <v>4</v>
      </c>
      <c r="G17" s="29" t="s">
        <v>3</v>
      </c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1"/>
    </row>
    <row r="18" spans="1:21" ht="16.5" x14ac:dyDescent="0.25">
      <c r="A18" s="50"/>
      <c r="B18" s="55"/>
      <c r="C18" s="55" t="s">
        <v>2519</v>
      </c>
      <c r="D18" s="55" t="s">
        <v>2518</v>
      </c>
      <c r="E18" s="55">
        <v>1220.4000000000001</v>
      </c>
      <c r="F18" s="55" t="s">
        <v>4</v>
      </c>
      <c r="G18" s="55" t="s">
        <v>3</v>
      </c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1"/>
    </row>
    <row r="19" spans="1:21" ht="16.5" x14ac:dyDescent="0.25">
      <c r="A19" s="50"/>
      <c r="B19" s="55"/>
      <c r="C19" s="55" t="s">
        <v>2517</v>
      </c>
      <c r="D19" s="55" t="s">
        <v>2516</v>
      </c>
      <c r="E19" s="55">
        <v>840.00000000000011</v>
      </c>
      <c r="F19" s="55" t="s">
        <v>4</v>
      </c>
      <c r="G19" s="55" t="s">
        <v>3</v>
      </c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1"/>
    </row>
    <row r="20" spans="1:21" ht="16.5" x14ac:dyDescent="0.25">
      <c r="A20" s="50"/>
      <c r="B20" s="55"/>
      <c r="C20" s="55" t="s">
        <v>2515</v>
      </c>
      <c r="D20" s="55" t="s">
        <v>2514</v>
      </c>
      <c r="E20" s="55">
        <v>113.32</v>
      </c>
      <c r="F20" s="55"/>
      <c r="G20" s="55" t="s">
        <v>2362</v>
      </c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1"/>
    </row>
    <row r="21" spans="1:21" ht="16.5" x14ac:dyDescent="0.25">
      <c r="A21" s="50"/>
      <c r="B21" s="55"/>
      <c r="C21" s="55" t="s">
        <v>2513</v>
      </c>
      <c r="D21" s="55" t="s">
        <v>2512</v>
      </c>
      <c r="E21" s="55">
        <v>167.1</v>
      </c>
      <c r="F21" s="55"/>
      <c r="G21" s="55" t="s">
        <v>2362</v>
      </c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1"/>
    </row>
    <row r="22" spans="1:21" ht="16.5" x14ac:dyDescent="0.25">
      <c r="A22" s="50"/>
      <c r="B22" s="55"/>
      <c r="C22" s="55"/>
      <c r="D22" s="55" t="s">
        <v>2511</v>
      </c>
      <c r="E22" s="55">
        <v>2.2999999999999998</v>
      </c>
      <c r="F22" s="55"/>
      <c r="G22" s="55" t="s">
        <v>2361</v>
      </c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1"/>
    </row>
    <row r="23" spans="1:21" ht="33" x14ac:dyDescent="0.25">
      <c r="A23" s="23" t="s">
        <v>2457</v>
      </c>
      <c r="B23" s="24"/>
      <c r="C23" s="24" t="s">
        <v>2510</v>
      </c>
      <c r="D23" s="24" t="s">
        <v>2509</v>
      </c>
      <c r="E23" s="24">
        <v>3</v>
      </c>
      <c r="F23" s="24">
        <v>1</v>
      </c>
      <c r="G23" s="24"/>
      <c r="H23" s="24">
        <v>200</v>
      </c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 t="s">
        <v>2462</v>
      </c>
      <c r="T23" s="24" t="s">
        <v>2462</v>
      </c>
      <c r="U23" s="25"/>
    </row>
    <row r="24" spans="1:21" ht="33" x14ac:dyDescent="0.25">
      <c r="A24" s="31" t="s">
        <v>2737</v>
      </c>
      <c r="B24" s="32" t="s">
        <v>2737</v>
      </c>
      <c r="C24" s="32" t="s">
        <v>2433</v>
      </c>
      <c r="D24" s="32" t="s">
        <v>2466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3"/>
    </row>
    <row r="25" spans="1:21" ht="33" x14ac:dyDescent="0.25">
      <c r="A25" s="50" t="s">
        <v>2737</v>
      </c>
      <c r="B25" s="55" t="s">
        <v>2738</v>
      </c>
      <c r="C25" s="55" t="s">
        <v>2419</v>
      </c>
      <c r="D25" s="55" t="s">
        <v>2467</v>
      </c>
      <c r="E25" s="55">
        <v>9</v>
      </c>
      <c r="F25" s="24">
        <v>0.39500000000000002</v>
      </c>
      <c r="G25" s="55"/>
      <c r="H25" s="55">
        <v>245</v>
      </c>
      <c r="I25" s="55">
        <v>8</v>
      </c>
      <c r="J25" s="55" t="s">
        <v>1</v>
      </c>
      <c r="K25" s="55"/>
      <c r="L25" s="55"/>
      <c r="M25" s="55"/>
      <c r="N25" s="55"/>
      <c r="O25" s="55"/>
      <c r="P25" s="55"/>
      <c r="Q25" s="55"/>
      <c r="R25" s="55"/>
      <c r="S25" s="55" t="s">
        <v>2462</v>
      </c>
      <c r="T25" s="55" t="s">
        <v>2462</v>
      </c>
      <c r="U25" s="51">
        <v>10</v>
      </c>
    </row>
    <row r="26" spans="1:21" ht="33" x14ac:dyDescent="0.25">
      <c r="A26" s="50" t="s">
        <v>2737</v>
      </c>
      <c r="B26" s="55" t="s">
        <v>2739</v>
      </c>
      <c r="C26" s="55" t="s">
        <v>2419</v>
      </c>
      <c r="D26" s="55" t="s">
        <v>2468</v>
      </c>
      <c r="E26" s="55">
        <v>2</v>
      </c>
      <c r="F26" s="24">
        <v>0.39500000000000002</v>
      </c>
      <c r="G26" s="55"/>
      <c r="H26" s="55">
        <v>1280</v>
      </c>
      <c r="I26" s="55">
        <v>8</v>
      </c>
      <c r="J26" s="55" t="s">
        <v>1</v>
      </c>
      <c r="K26" s="55"/>
      <c r="L26" s="55"/>
      <c r="M26" s="55"/>
      <c r="N26" s="55"/>
      <c r="O26" s="55"/>
      <c r="P26" s="55"/>
      <c r="Q26" s="55"/>
      <c r="R26" s="55"/>
      <c r="S26" s="55" t="s">
        <v>2462</v>
      </c>
      <c r="T26" s="55" t="s">
        <v>2462</v>
      </c>
      <c r="U26" s="51">
        <v>10</v>
      </c>
    </row>
    <row r="27" spans="1:21" ht="16.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ht="16.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ht="16.5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ht="16.5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ht="16.5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ht="16.5" x14ac:dyDescent="0.25">
      <c r="A32" s="23" t="s">
        <v>2457</v>
      </c>
      <c r="B32" s="24" t="s">
        <v>2457</v>
      </c>
      <c r="C32" s="24" t="s">
        <v>2458</v>
      </c>
      <c r="D32" s="24" t="s">
        <v>2522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5"/>
    </row>
    <row r="33" spans="1:21" ht="16.5" x14ac:dyDescent="0.25">
      <c r="A33" s="23" t="s">
        <v>2457</v>
      </c>
      <c r="B33" s="24" t="s">
        <v>2457</v>
      </c>
      <c r="C33" s="24" t="s">
        <v>2459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5"/>
    </row>
    <row r="34" spans="1:21" ht="16.5" x14ac:dyDescent="0.25">
      <c r="A34" s="23" t="s">
        <v>2457</v>
      </c>
      <c r="B34" s="24" t="s">
        <v>2457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5"/>
    </row>
    <row r="35" spans="1:21" ht="33" x14ac:dyDescent="0.25">
      <c r="A35" s="26" t="s">
        <v>2550</v>
      </c>
      <c r="B35" s="27" t="s">
        <v>2550</v>
      </c>
      <c r="C35" s="27"/>
      <c r="D35" s="27" t="s">
        <v>2525</v>
      </c>
      <c r="E35" s="27">
        <v>1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8"/>
    </row>
    <row r="36" spans="1:21" ht="33" x14ac:dyDescent="0.25">
      <c r="A36" s="50" t="s">
        <v>2550</v>
      </c>
      <c r="B36" s="55">
        <v>1</v>
      </c>
      <c r="C36" s="55" t="s">
        <v>2417</v>
      </c>
      <c r="D36" s="55" t="s">
        <v>2477</v>
      </c>
      <c r="E36" s="55">
        <v>28</v>
      </c>
      <c r="F36" s="24">
        <v>0.88800000000000001</v>
      </c>
      <c r="G36" s="55"/>
      <c r="H36" s="55">
        <v>5900</v>
      </c>
      <c r="I36" s="55">
        <v>12</v>
      </c>
      <c r="J36" s="55" t="s">
        <v>2</v>
      </c>
      <c r="K36" s="55"/>
      <c r="L36" s="55"/>
      <c r="M36" s="55"/>
      <c r="N36" s="55"/>
      <c r="O36" s="55"/>
      <c r="P36" s="55"/>
      <c r="Q36" s="55"/>
      <c r="R36" s="55"/>
      <c r="S36" s="55" t="s">
        <v>2462</v>
      </c>
      <c r="T36" s="55" t="s">
        <v>2462</v>
      </c>
      <c r="U36" s="51">
        <v>30</v>
      </c>
    </row>
    <row r="37" spans="1:21" ht="33" x14ac:dyDescent="0.25">
      <c r="A37" s="50" t="s">
        <v>2550</v>
      </c>
      <c r="B37" s="55">
        <v>2</v>
      </c>
      <c r="C37" s="55" t="s">
        <v>2417</v>
      </c>
      <c r="D37" s="55" t="s">
        <v>2478</v>
      </c>
      <c r="E37" s="55">
        <v>30</v>
      </c>
      <c r="F37" s="24">
        <v>1.208</v>
      </c>
      <c r="G37" s="55" t="s">
        <v>0</v>
      </c>
      <c r="H37" s="55">
        <v>1490</v>
      </c>
      <c r="I37" s="55">
        <v>14</v>
      </c>
      <c r="J37" s="55" t="s">
        <v>2</v>
      </c>
      <c r="K37" s="55"/>
      <c r="L37" s="55"/>
      <c r="M37" s="55"/>
      <c r="N37" s="55"/>
      <c r="O37" s="55"/>
      <c r="P37" s="55"/>
      <c r="Q37" s="55"/>
      <c r="R37" s="55"/>
      <c r="S37" s="55" t="s">
        <v>2462</v>
      </c>
      <c r="T37" s="55" t="s">
        <v>2462</v>
      </c>
      <c r="U37" s="51">
        <v>35</v>
      </c>
    </row>
    <row r="38" spans="1:21" ht="33" x14ac:dyDescent="0.25">
      <c r="A38" s="50" t="s">
        <v>2550</v>
      </c>
      <c r="B38" s="55">
        <v>3</v>
      </c>
      <c r="C38" s="55" t="s">
        <v>2417</v>
      </c>
      <c r="D38" s="55" t="s">
        <v>2479</v>
      </c>
      <c r="E38" s="55">
        <v>27</v>
      </c>
      <c r="F38" s="24">
        <v>0.88800000000000001</v>
      </c>
      <c r="G38" s="55" t="s">
        <v>0</v>
      </c>
      <c r="H38" s="55">
        <v>1290</v>
      </c>
      <c r="I38" s="55">
        <v>12</v>
      </c>
      <c r="J38" s="55" t="s">
        <v>2</v>
      </c>
      <c r="K38" s="55"/>
      <c r="L38" s="55"/>
      <c r="M38" s="55"/>
      <c r="N38" s="55"/>
      <c r="O38" s="55"/>
      <c r="P38" s="55"/>
      <c r="Q38" s="55"/>
      <c r="R38" s="55"/>
      <c r="S38" s="55" t="s">
        <v>2462</v>
      </c>
      <c r="T38" s="55" t="s">
        <v>2462</v>
      </c>
      <c r="U38" s="51">
        <v>30</v>
      </c>
    </row>
    <row r="39" spans="1:21" ht="33" x14ac:dyDescent="0.25">
      <c r="A39" s="50" t="s">
        <v>2550</v>
      </c>
      <c r="B39" s="55">
        <v>5</v>
      </c>
      <c r="C39" s="55" t="s">
        <v>2419</v>
      </c>
      <c r="D39" s="55" t="s">
        <v>2481</v>
      </c>
      <c r="E39" s="55">
        <v>106</v>
      </c>
      <c r="F39" s="24">
        <v>0.222</v>
      </c>
      <c r="G39" s="55" t="s">
        <v>0</v>
      </c>
      <c r="H39" s="55">
        <v>270</v>
      </c>
      <c r="I39" s="55">
        <v>6</v>
      </c>
      <c r="J39" s="55" t="s">
        <v>1</v>
      </c>
      <c r="K39" s="55"/>
      <c r="L39" s="55"/>
      <c r="M39" s="55"/>
      <c r="N39" s="55"/>
      <c r="O39" s="55"/>
      <c r="P39" s="55"/>
      <c r="Q39" s="55"/>
      <c r="R39" s="55"/>
      <c r="S39" s="55" t="s">
        <v>2462</v>
      </c>
      <c r="T39" s="55" t="s">
        <v>2462</v>
      </c>
      <c r="U39" s="51">
        <v>7.5</v>
      </c>
    </row>
    <row r="40" spans="1:21" ht="33" x14ac:dyDescent="0.25">
      <c r="A40" s="50" t="s">
        <v>2550</v>
      </c>
      <c r="B40" s="55">
        <v>6</v>
      </c>
      <c r="C40" s="55" t="s">
        <v>2417</v>
      </c>
      <c r="D40" s="55" t="s">
        <v>2482</v>
      </c>
      <c r="E40" s="55">
        <v>60</v>
      </c>
      <c r="F40" s="24">
        <v>1.5780000000000001</v>
      </c>
      <c r="G40" s="55"/>
      <c r="H40" s="55">
        <v>2750</v>
      </c>
      <c r="I40" s="55">
        <v>16</v>
      </c>
      <c r="J40" s="55" t="s">
        <v>2</v>
      </c>
      <c r="K40" s="55"/>
      <c r="L40" s="55"/>
      <c r="M40" s="55"/>
      <c r="N40" s="55"/>
      <c r="O40" s="55"/>
      <c r="P40" s="55"/>
      <c r="Q40" s="55"/>
      <c r="R40" s="55"/>
      <c r="S40" s="55" t="s">
        <v>2462</v>
      </c>
      <c r="T40" s="55" t="s">
        <v>2462</v>
      </c>
      <c r="U40" s="51">
        <v>40</v>
      </c>
    </row>
    <row r="41" spans="1:21" ht="33" x14ac:dyDescent="0.25">
      <c r="A41" s="50" t="s">
        <v>2550</v>
      </c>
      <c r="B41" s="55">
        <v>7</v>
      </c>
      <c r="C41" s="55" t="s">
        <v>2417</v>
      </c>
      <c r="D41" s="55" t="s">
        <v>2483</v>
      </c>
      <c r="E41" s="55">
        <v>30</v>
      </c>
      <c r="F41" s="24">
        <v>0.88800000000000001</v>
      </c>
      <c r="G41" s="55"/>
      <c r="H41" s="55">
        <v>5900</v>
      </c>
      <c r="I41" s="55">
        <v>12</v>
      </c>
      <c r="J41" s="55" t="s">
        <v>2</v>
      </c>
      <c r="K41" s="55"/>
      <c r="L41" s="55"/>
      <c r="M41" s="55"/>
      <c r="N41" s="55"/>
      <c r="O41" s="55"/>
      <c r="P41" s="55"/>
      <c r="Q41" s="55"/>
      <c r="R41" s="55"/>
      <c r="S41" s="55" t="s">
        <v>2462</v>
      </c>
      <c r="T41" s="55" t="s">
        <v>2462</v>
      </c>
      <c r="U41" s="51">
        <v>30</v>
      </c>
    </row>
    <row r="42" spans="1:21" ht="33" x14ac:dyDescent="0.25">
      <c r="A42" s="50" t="s">
        <v>2550</v>
      </c>
      <c r="B42" s="55">
        <v>8</v>
      </c>
      <c r="C42" s="55" t="s">
        <v>2417</v>
      </c>
      <c r="D42" s="55" t="s">
        <v>2484</v>
      </c>
      <c r="E42" s="55">
        <v>60</v>
      </c>
      <c r="F42" s="24">
        <v>1.5780000000000001</v>
      </c>
      <c r="G42" s="55" t="s">
        <v>0</v>
      </c>
      <c r="H42" s="55">
        <v>1770</v>
      </c>
      <c r="I42" s="55">
        <v>16</v>
      </c>
      <c r="J42" s="55" t="s">
        <v>2</v>
      </c>
      <c r="K42" s="55"/>
      <c r="L42" s="55"/>
      <c r="M42" s="55"/>
      <c r="N42" s="55"/>
      <c r="O42" s="55"/>
      <c r="P42" s="55"/>
      <c r="Q42" s="55"/>
      <c r="R42" s="55"/>
      <c r="S42" s="55" t="s">
        <v>2462</v>
      </c>
      <c r="T42" s="55" t="s">
        <v>2462</v>
      </c>
      <c r="U42" s="51">
        <v>40</v>
      </c>
    </row>
    <row r="43" spans="1:21" ht="33" x14ac:dyDescent="0.25">
      <c r="A43" s="50" t="s">
        <v>2550</v>
      </c>
      <c r="B43" s="55">
        <v>9</v>
      </c>
      <c r="C43" s="55" t="s">
        <v>2417</v>
      </c>
      <c r="D43" s="55" t="s">
        <v>2485</v>
      </c>
      <c r="E43" s="55">
        <v>28</v>
      </c>
      <c r="F43" s="24">
        <v>0.88800000000000001</v>
      </c>
      <c r="G43" s="55" t="s">
        <v>0</v>
      </c>
      <c r="H43" s="55">
        <v>1390</v>
      </c>
      <c r="I43" s="55">
        <v>12</v>
      </c>
      <c r="J43" s="55" t="s">
        <v>2</v>
      </c>
      <c r="K43" s="55"/>
      <c r="L43" s="55"/>
      <c r="M43" s="55"/>
      <c r="N43" s="55"/>
      <c r="O43" s="55"/>
      <c r="P43" s="55"/>
      <c r="Q43" s="55"/>
      <c r="R43" s="55"/>
      <c r="S43" s="55" t="s">
        <v>2462</v>
      </c>
      <c r="T43" s="55" t="s">
        <v>2462</v>
      </c>
      <c r="U43" s="51">
        <v>30</v>
      </c>
    </row>
    <row r="44" spans="1:21" ht="33" x14ac:dyDescent="0.25">
      <c r="A44" s="50" t="s">
        <v>2550</v>
      </c>
      <c r="B44" s="55" t="s">
        <v>2465</v>
      </c>
      <c r="C44" s="55" t="s">
        <v>2433</v>
      </c>
      <c r="D44" s="55" t="s">
        <v>2466</v>
      </c>
      <c r="E44" s="55">
        <v>12</v>
      </c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1"/>
    </row>
    <row r="45" spans="1:21" ht="16.5" x14ac:dyDescent="0.25">
      <c r="A45" s="50" t="s">
        <v>2550</v>
      </c>
      <c r="B45" s="55"/>
      <c r="C45" s="29" t="s">
        <v>2463</v>
      </c>
      <c r="D45" s="29" t="s">
        <v>2464</v>
      </c>
      <c r="E45" s="29">
        <v>4.1999999999999993</v>
      </c>
      <c r="F45" s="29" t="s">
        <v>4</v>
      </c>
      <c r="G45" s="29" t="s">
        <v>3</v>
      </c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1"/>
    </row>
    <row r="46" spans="1:21" ht="33" x14ac:dyDescent="0.25">
      <c r="A46" s="50" t="s">
        <v>2550</v>
      </c>
      <c r="B46" s="55"/>
      <c r="C46" s="29" t="s">
        <v>2463</v>
      </c>
      <c r="D46" s="29" t="s">
        <v>2520</v>
      </c>
      <c r="E46" s="29">
        <v>0.9</v>
      </c>
      <c r="F46" s="29" t="s">
        <v>4</v>
      </c>
      <c r="G46" s="29" t="s">
        <v>3</v>
      </c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1"/>
    </row>
    <row r="47" spans="1:21" ht="16.5" x14ac:dyDescent="0.25">
      <c r="A47" s="50"/>
      <c r="B47" s="55"/>
      <c r="C47" s="55" t="s">
        <v>2519</v>
      </c>
      <c r="D47" s="55" t="s">
        <v>2518</v>
      </c>
      <c r="E47" s="55">
        <v>810</v>
      </c>
      <c r="F47" s="55" t="s">
        <v>4</v>
      </c>
      <c r="G47" s="55" t="s">
        <v>3</v>
      </c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1"/>
    </row>
    <row r="48" spans="1:21" ht="16.5" x14ac:dyDescent="0.25">
      <c r="A48" s="50"/>
      <c r="B48" s="55"/>
      <c r="C48" s="55" t="s">
        <v>2517</v>
      </c>
      <c r="D48" s="55" t="s">
        <v>2516</v>
      </c>
      <c r="E48" s="55">
        <v>2800.0000000000005</v>
      </c>
      <c r="F48" s="55" t="s">
        <v>4</v>
      </c>
      <c r="G48" s="55" t="s">
        <v>3</v>
      </c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1"/>
    </row>
    <row r="49" spans="1:21" ht="16.5" x14ac:dyDescent="0.25">
      <c r="A49" s="50"/>
      <c r="B49" s="55"/>
      <c r="C49" s="55" t="s">
        <v>2515</v>
      </c>
      <c r="D49" s="55" t="s">
        <v>2514</v>
      </c>
      <c r="E49" s="55">
        <v>113.32</v>
      </c>
      <c r="F49" s="55"/>
      <c r="G49" s="55" t="s">
        <v>2362</v>
      </c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1"/>
    </row>
    <row r="50" spans="1:21" ht="16.5" x14ac:dyDescent="0.25">
      <c r="A50" s="50"/>
      <c r="B50" s="55"/>
      <c r="C50" s="55" t="s">
        <v>2513</v>
      </c>
      <c r="D50" s="55" t="s">
        <v>2512</v>
      </c>
      <c r="E50" s="55">
        <v>166.7</v>
      </c>
      <c r="F50" s="55"/>
      <c r="G50" s="55" t="s">
        <v>2362</v>
      </c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1"/>
    </row>
    <row r="51" spans="1:21" ht="16.5" x14ac:dyDescent="0.25">
      <c r="A51" s="50"/>
      <c r="B51" s="55"/>
      <c r="C51" s="55"/>
      <c r="D51" s="55" t="s">
        <v>2511</v>
      </c>
      <c r="E51" s="55">
        <v>5.4</v>
      </c>
      <c r="F51" s="55"/>
      <c r="G51" s="55" t="s">
        <v>2361</v>
      </c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1"/>
    </row>
    <row r="52" spans="1:21" ht="16.5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ht="16.5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ht="16.5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ht="16.5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ht="16.5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ht="16.5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ht="16.5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ht="16.5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ht="16.5" x14ac:dyDescent="0.25">
      <c r="A60" s="23" t="s">
        <v>2457</v>
      </c>
      <c r="B60" s="24" t="s">
        <v>2457</v>
      </c>
      <c r="C60" s="24" t="s">
        <v>2458</v>
      </c>
      <c r="D60" s="24" t="s">
        <v>2522</v>
      </c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5"/>
    </row>
    <row r="61" spans="1:21" ht="16.5" x14ac:dyDescent="0.25">
      <c r="A61" s="23" t="s">
        <v>2457</v>
      </c>
      <c r="B61" s="24" t="s">
        <v>2457</v>
      </c>
      <c r="C61" s="24" t="s">
        <v>2459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5"/>
    </row>
    <row r="62" spans="1:21" ht="16.5" x14ac:dyDescent="0.25">
      <c r="A62" s="23" t="s">
        <v>2457</v>
      </c>
      <c r="B62" s="24" t="s">
        <v>2457</v>
      </c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5"/>
    </row>
    <row r="63" spans="1:21" ht="33" x14ac:dyDescent="0.25">
      <c r="A63" s="26" t="s">
        <v>2551</v>
      </c>
      <c r="B63" s="27" t="s">
        <v>2551</v>
      </c>
      <c r="C63" s="27"/>
      <c r="D63" s="27" t="s">
        <v>2524</v>
      </c>
      <c r="E63" s="27">
        <v>5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8"/>
    </row>
    <row r="64" spans="1:21" ht="33" x14ac:dyDescent="0.25">
      <c r="A64" s="50" t="s">
        <v>2551</v>
      </c>
      <c r="B64" s="55">
        <v>1</v>
      </c>
      <c r="C64" s="55" t="s">
        <v>2417</v>
      </c>
      <c r="D64" s="55" t="s">
        <v>2477</v>
      </c>
      <c r="E64" s="55">
        <v>1</v>
      </c>
      <c r="F64" s="24">
        <v>0.88800000000000001</v>
      </c>
      <c r="G64" s="55" t="s">
        <v>2361</v>
      </c>
      <c r="H64" s="55">
        <v>309200</v>
      </c>
      <c r="I64" s="55">
        <v>12</v>
      </c>
      <c r="J64" s="55" t="s">
        <v>2</v>
      </c>
      <c r="K64" s="55"/>
      <c r="L64" s="55"/>
      <c r="M64" s="55"/>
      <c r="N64" s="55"/>
      <c r="O64" s="55"/>
      <c r="P64" s="55"/>
      <c r="Q64" s="55"/>
      <c r="R64" s="55"/>
      <c r="S64" s="55" t="s">
        <v>2462</v>
      </c>
      <c r="T64" s="55" t="s">
        <v>2462</v>
      </c>
      <c r="U64" s="51">
        <v>30</v>
      </c>
    </row>
    <row r="65" spans="1:21" ht="33" x14ac:dyDescent="0.25">
      <c r="A65" s="50" t="s">
        <v>2551</v>
      </c>
      <c r="B65" s="55">
        <v>2</v>
      </c>
      <c r="C65" s="55" t="s">
        <v>2417</v>
      </c>
      <c r="D65" s="55" t="s">
        <v>2478</v>
      </c>
      <c r="E65" s="55">
        <v>100</v>
      </c>
      <c r="F65" s="24">
        <v>1.208</v>
      </c>
      <c r="G65" s="55" t="s">
        <v>0</v>
      </c>
      <c r="H65" s="55">
        <v>1490</v>
      </c>
      <c r="I65" s="55">
        <v>14</v>
      </c>
      <c r="J65" s="55" t="s">
        <v>2</v>
      </c>
      <c r="K65" s="55"/>
      <c r="L65" s="55"/>
      <c r="M65" s="55"/>
      <c r="N65" s="55"/>
      <c r="O65" s="55"/>
      <c r="P65" s="55"/>
      <c r="Q65" s="55"/>
      <c r="R65" s="55"/>
      <c r="S65" s="55" t="s">
        <v>2462</v>
      </c>
      <c r="T65" s="55" t="s">
        <v>2462</v>
      </c>
      <c r="U65" s="51">
        <v>35</v>
      </c>
    </row>
    <row r="66" spans="1:21" ht="33" x14ac:dyDescent="0.25">
      <c r="A66" s="50" t="s">
        <v>2551</v>
      </c>
      <c r="B66" s="55">
        <v>3</v>
      </c>
      <c r="C66" s="55" t="s">
        <v>2417</v>
      </c>
      <c r="D66" s="55" t="s">
        <v>2479</v>
      </c>
      <c r="E66" s="55">
        <v>27</v>
      </c>
      <c r="F66" s="24">
        <v>0.88800000000000001</v>
      </c>
      <c r="G66" s="55" t="s">
        <v>0</v>
      </c>
      <c r="H66" s="55">
        <v>1290</v>
      </c>
      <c r="I66" s="55">
        <v>12</v>
      </c>
      <c r="J66" s="55" t="s">
        <v>2</v>
      </c>
      <c r="K66" s="55"/>
      <c r="L66" s="55"/>
      <c r="M66" s="55"/>
      <c r="N66" s="55"/>
      <c r="O66" s="55"/>
      <c r="P66" s="55"/>
      <c r="Q66" s="55"/>
      <c r="R66" s="55"/>
      <c r="S66" s="55" t="s">
        <v>2462</v>
      </c>
      <c r="T66" s="55" t="s">
        <v>2462</v>
      </c>
      <c r="U66" s="51">
        <v>30</v>
      </c>
    </row>
    <row r="67" spans="1:21" ht="33" x14ac:dyDescent="0.25">
      <c r="A67" s="50" t="s">
        <v>2551</v>
      </c>
      <c r="B67" s="55">
        <v>5</v>
      </c>
      <c r="C67" s="55" t="s">
        <v>2419</v>
      </c>
      <c r="D67" s="55" t="s">
        <v>2480</v>
      </c>
      <c r="E67" s="55">
        <v>200</v>
      </c>
      <c r="F67" s="24">
        <v>1.208</v>
      </c>
      <c r="G67" s="55" t="s">
        <v>0</v>
      </c>
      <c r="H67" s="55">
        <v>3255</v>
      </c>
      <c r="I67" s="55">
        <v>14</v>
      </c>
      <c r="J67" s="55" t="s">
        <v>2</v>
      </c>
      <c r="K67" s="55"/>
      <c r="L67" s="55"/>
      <c r="M67" s="55"/>
      <c r="N67" s="55"/>
      <c r="O67" s="55"/>
      <c r="P67" s="55"/>
      <c r="Q67" s="55"/>
      <c r="R67" s="55"/>
      <c r="S67" s="55" t="s">
        <v>2462</v>
      </c>
      <c r="T67" s="55" t="s">
        <v>2462</v>
      </c>
      <c r="U67" s="51">
        <v>35</v>
      </c>
    </row>
    <row r="68" spans="1:21" ht="33" x14ac:dyDescent="0.25">
      <c r="A68" s="50" t="s">
        <v>2551</v>
      </c>
      <c r="B68" s="55">
        <v>6</v>
      </c>
      <c r="C68" s="55" t="s">
        <v>2417</v>
      </c>
      <c r="D68" s="55" t="s">
        <v>2481</v>
      </c>
      <c r="E68" s="55">
        <v>351</v>
      </c>
      <c r="F68" s="24">
        <v>0.222</v>
      </c>
      <c r="G68" s="55"/>
      <c r="H68" s="55">
        <v>270</v>
      </c>
      <c r="I68" s="55">
        <v>6</v>
      </c>
      <c r="J68" s="55" t="s">
        <v>1</v>
      </c>
      <c r="K68" s="55"/>
      <c r="L68" s="55"/>
      <c r="M68" s="55"/>
      <c r="N68" s="55"/>
      <c r="O68" s="55"/>
      <c r="P68" s="55"/>
      <c r="Q68" s="55"/>
      <c r="R68" s="55"/>
      <c r="S68" s="55" t="s">
        <v>2462</v>
      </c>
      <c r="T68" s="55" t="s">
        <v>2462</v>
      </c>
      <c r="U68" s="51">
        <v>7.5</v>
      </c>
    </row>
    <row r="69" spans="1:21" ht="33" x14ac:dyDescent="0.25">
      <c r="A69" s="50" t="s">
        <v>2551</v>
      </c>
      <c r="B69" s="55">
        <v>7</v>
      </c>
      <c r="C69" s="55" t="s">
        <v>2417</v>
      </c>
      <c r="D69" s="55" t="s">
        <v>2482</v>
      </c>
      <c r="E69" s="55">
        <v>200</v>
      </c>
      <c r="F69" s="24">
        <v>1.5780000000000001</v>
      </c>
      <c r="G69" s="55"/>
      <c r="H69" s="55">
        <v>2750</v>
      </c>
      <c r="I69" s="55">
        <v>16</v>
      </c>
      <c r="J69" s="55" t="s">
        <v>2</v>
      </c>
      <c r="K69" s="55"/>
      <c r="L69" s="55"/>
      <c r="M69" s="55"/>
      <c r="N69" s="55"/>
      <c r="O69" s="55"/>
      <c r="P69" s="55"/>
      <c r="Q69" s="55"/>
      <c r="R69" s="55"/>
      <c r="S69" s="55" t="s">
        <v>2462</v>
      </c>
      <c r="T69" s="55" t="s">
        <v>2462</v>
      </c>
      <c r="U69" s="51">
        <v>40</v>
      </c>
    </row>
    <row r="70" spans="1:21" ht="33" x14ac:dyDescent="0.25">
      <c r="A70" s="50" t="s">
        <v>2551</v>
      </c>
      <c r="B70" s="55">
        <v>8</v>
      </c>
      <c r="C70" s="55" t="s">
        <v>2417</v>
      </c>
      <c r="D70" s="55" t="s">
        <v>2483</v>
      </c>
      <c r="E70" s="55">
        <v>1</v>
      </c>
      <c r="F70" s="24">
        <v>0.88800000000000001</v>
      </c>
      <c r="G70" s="55" t="s">
        <v>2361</v>
      </c>
      <c r="H70" s="55">
        <v>160300</v>
      </c>
      <c r="I70" s="55">
        <v>12</v>
      </c>
      <c r="J70" s="55" t="s">
        <v>2</v>
      </c>
      <c r="K70" s="55"/>
      <c r="L70" s="55"/>
      <c r="M70" s="55"/>
      <c r="N70" s="55"/>
      <c r="O70" s="55"/>
      <c r="P70" s="55"/>
      <c r="Q70" s="55"/>
      <c r="R70" s="55"/>
      <c r="S70" s="55" t="s">
        <v>2462</v>
      </c>
      <c r="T70" s="55" t="s">
        <v>2462</v>
      </c>
      <c r="U70" s="51">
        <v>30</v>
      </c>
    </row>
    <row r="71" spans="1:21" ht="33" x14ac:dyDescent="0.25">
      <c r="A71" s="50" t="s">
        <v>2551</v>
      </c>
      <c r="B71" s="55">
        <v>9</v>
      </c>
      <c r="C71" s="55" t="s">
        <v>2417</v>
      </c>
      <c r="D71" s="55" t="s">
        <v>2484</v>
      </c>
      <c r="E71" s="55">
        <v>200</v>
      </c>
      <c r="F71" s="24">
        <v>1.5780000000000001</v>
      </c>
      <c r="G71" s="55" t="s">
        <v>0</v>
      </c>
      <c r="H71" s="55">
        <v>1770</v>
      </c>
      <c r="I71" s="55">
        <v>16</v>
      </c>
      <c r="J71" s="55" t="s">
        <v>2</v>
      </c>
      <c r="K71" s="55"/>
      <c r="L71" s="55"/>
      <c r="M71" s="55"/>
      <c r="N71" s="55"/>
      <c r="O71" s="55"/>
      <c r="P71" s="55"/>
      <c r="Q71" s="55"/>
      <c r="R71" s="55"/>
      <c r="S71" s="55" t="s">
        <v>2462</v>
      </c>
      <c r="T71" s="55" t="s">
        <v>2462</v>
      </c>
      <c r="U71" s="51">
        <v>40</v>
      </c>
    </row>
    <row r="72" spans="1:21" ht="33" x14ac:dyDescent="0.25">
      <c r="A72" s="50" t="s">
        <v>2551</v>
      </c>
      <c r="B72" s="55">
        <v>10</v>
      </c>
      <c r="C72" s="55" t="s">
        <v>2417</v>
      </c>
      <c r="D72" s="55" t="s">
        <v>2485</v>
      </c>
      <c r="E72" s="55">
        <v>28</v>
      </c>
      <c r="F72" s="24">
        <v>0.88800000000000001</v>
      </c>
      <c r="G72" s="55" t="s">
        <v>0</v>
      </c>
      <c r="H72" s="55">
        <v>1390</v>
      </c>
      <c r="I72" s="55">
        <v>12</v>
      </c>
      <c r="J72" s="55" t="s">
        <v>2</v>
      </c>
      <c r="K72" s="55"/>
      <c r="L72" s="55"/>
      <c r="M72" s="55"/>
      <c r="N72" s="55"/>
      <c r="O72" s="55"/>
      <c r="P72" s="55"/>
      <c r="Q72" s="55"/>
      <c r="R72" s="55"/>
      <c r="S72" s="55" t="s">
        <v>2462</v>
      </c>
      <c r="T72" s="55" t="s">
        <v>2462</v>
      </c>
      <c r="U72" s="51">
        <v>30</v>
      </c>
    </row>
    <row r="73" spans="1:21" ht="33" x14ac:dyDescent="0.25">
      <c r="A73" s="50" t="s">
        <v>2551</v>
      </c>
      <c r="B73" s="55" t="s">
        <v>2465</v>
      </c>
      <c r="C73" s="55" t="s">
        <v>2433</v>
      </c>
      <c r="D73" s="55" t="s">
        <v>2466</v>
      </c>
      <c r="E73" s="55">
        <v>34</v>
      </c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1"/>
    </row>
    <row r="74" spans="1:21" ht="16.5" x14ac:dyDescent="0.25">
      <c r="A74" s="50" t="s">
        <v>2551</v>
      </c>
      <c r="B74" s="55"/>
      <c r="C74" s="29" t="s">
        <v>2463</v>
      </c>
      <c r="D74" s="29" t="s">
        <v>2464</v>
      </c>
      <c r="E74" s="29">
        <v>13.8</v>
      </c>
      <c r="F74" s="29" t="s">
        <v>4</v>
      </c>
      <c r="G74" s="29" t="s">
        <v>3</v>
      </c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1"/>
    </row>
    <row r="75" spans="1:21" ht="33" x14ac:dyDescent="0.25">
      <c r="A75" s="50" t="s">
        <v>2551</v>
      </c>
      <c r="B75" s="55"/>
      <c r="C75" s="29" t="s">
        <v>2463</v>
      </c>
      <c r="D75" s="29" t="s">
        <v>2520</v>
      </c>
      <c r="E75" s="29">
        <v>3</v>
      </c>
      <c r="F75" s="29" t="s">
        <v>4</v>
      </c>
      <c r="G75" s="29" t="s">
        <v>3</v>
      </c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1"/>
    </row>
    <row r="76" spans="1:21" ht="16.5" x14ac:dyDescent="0.25">
      <c r="A76" s="50"/>
      <c r="B76" s="55"/>
      <c r="C76" s="55" t="s">
        <v>2519</v>
      </c>
      <c r="D76" s="55" t="s">
        <v>2518</v>
      </c>
      <c r="E76" s="55">
        <v>2700</v>
      </c>
      <c r="F76" s="55" t="s">
        <v>4</v>
      </c>
      <c r="G76" s="55" t="s">
        <v>3</v>
      </c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1"/>
    </row>
    <row r="77" spans="1:21" ht="16.5" x14ac:dyDescent="0.25">
      <c r="A77" s="50"/>
      <c r="B77" s="55"/>
      <c r="C77" s="55" t="s">
        <v>2517</v>
      </c>
      <c r="D77" s="55" t="s">
        <v>2516</v>
      </c>
      <c r="E77" s="55">
        <v>2800.0000000000005</v>
      </c>
      <c r="F77" s="55" t="s">
        <v>4</v>
      </c>
      <c r="G77" s="55" t="s">
        <v>3</v>
      </c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1"/>
    </row>
    <row r="78" spans="1:21" ht="16.5" x14ac:dyDescent="0.25">
      <c r="A78" s="50"/>
      <c r="B78" s="55"/>
      <c r="C78" s="55" t="s">
        <v>2515</v>
      </c>
      <c r="D78" s="55" t="s">
        <v>2514</v>
      </c>
      <c r="E78" s="55">
        <v>113.32</v>
      </c>
      <c r="F78" s="55"/>
      <c r="G78" s="55" t="s">
        <v>2362</v>
      </c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1"/>
    </row>
    <row r="79" spans="1:21" ht="16.5" x14ac:dyDescent="0.25">
      <c r="A79" s="50"/>
      <c r="B79" s="55"/>
      <c r="C79" s="55" t="s">
        <v>2513</v>
      </c>
      <c r="D79" s="55" t="s">
        <v>2512</v>
      </c>
      <c r="E79" s="55">
        <v>166.7</v>
      </c>
      <c r="F79" s="55"/>
      <c r="G79" s="55" t="s">
        <v>2362</v>
      </c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1"/>
    </row>
    <row r="80" spans="1:21" ht="16.5" x14ac:dyDescent="0.25">
      <c r="A80" s="50"/>
      <c r="B80" s="55"/>
      <c r="C80" s="55"/>
      <c r="D80" s="55" t="s">
        <v>2511</v>
      </c>
      <c r="E80" s="55">
        <v>5.4</v>
      </c>
      <c r="F80" s="55"/>
      <c r="G80" s="55" t="s">
        <v>2361</v>
      </c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1"/>
    </row>
    <row r="81" spans="1:21" ht="16.5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ht="16.5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ht="16.5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ht="16.5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ht="16.5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ht="16.5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ht="16.5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ht="16.5" x14ac:dyDescent="0.25">
      <c r="A88" s="23" t="s">
        <v>2457</v>
      </c>
      <c r="B88" s="24" t="s">
        <v>2457</v>
      </c>
      <c r="C88" s="24" t="s">
        <v>2458</v>
      </c>
      <c r="D88" s="24" t="s">
        <v>2522</v>
      </c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5"/>
    </row>
    <row r="89" spans="1:21" ht="16.5" x14ac:dyDescent="0.25">
      <c r="A89" s="23" t="s">
        <v>2457</v>
      </c>
      <c r="B89" s="24" t="s">
        <v>2457</v>
      </c>
      <c r="C89" s="24" t="s">
        <v>2459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5"/>
    </row>
    <row r="90" spans="1:21" ht="16.5" x14ac:dyDescent="0.25">
      <c r="A90" s="23" t="s">
        <v>2457</v>
      </c>
      <c r="B90" s="24" t="s">
        <v>2457</v>
      </c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5"/>
    </row>
    <row r="91" spans="1:21" ht="33" x14ac:dyDescent="0.25">
      <c r="A91" s="26" t="s">
        <v>2528</v>
      </c>
      <c r="B91" s="27" t="s">
        <v>2528</v>
      </c>
      <c r="C91" s="27"/>
      <c r="D91" s="27" t="s">
        <v>2523</v>
      </c>
      <c r="E91" s="27">
        <v>1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8"/>
    </row>
    <row r="92" spans="1:21" ht="33" x14ac:dyDescent="0.25">
      <c r="A92" s="50" t="s">
        <v>2528</v>
      </c>
      <c r="B92" s="55">
        <v>1</v>
      </c>
      <c r="C92" s="55" t="s">
        <v>2417</v>
      </c>
      <c r="D92" s="55" t="s">
        <v>2477</v>
      </c>
      <c r="E92" s="55">
        <v>28</v>
      </c>
      <c r="F92" s="24">
        <v>0.88800000000000001</v>
      </c>
      <c r="G92" s="55"/>
      <c r="H92" s="55">
        <v>3150</v>
      </c>
      <c r="I92" s="55">
        <v>12</v>
      </c>
      <c r="J92" s="55" t="s">
        <v>2</v>
      </c>
      <c r="K92" s="55"/>
      <c r="L92" s="55"/>
      <c r="M92" s="55"/>
      <c r="N92" s="55"/>
      <c r="O92" s="55"/>
      <c r="P92" s="55"/>
      <c r="Q92" s="55"/>
      <c r="R92" s="55"/>
      <c r="S92" s="55" t="s">
        <v>2462</v>
      </c>
      <c r="T92" s="55" t="s">
        <v>2462</v>
      </c>
      <c r="U92" s="51">
        <v>30</v>
      </c>
    </row>
    <row r="93" spans="1:21" ht="33" x14ac:dyDescent="0.25">
      <c r="A93" s="50" t="s">
        <v>2528</v>
      </c>
      <c r="B93" s="55">
        <v>2</v>
      </c>
      <c r="C93" s="55" t="s">
        <v>2417</v>
      </c>
      <c r="D93" s="55" t="s">
        <v>2478</v>
      </c>
      <c r="E93" s="55">
        <v>32</v>
      </c>
      <c r="F93" s="24">
        <v>1.208</v>
      </c>
      <c r="G93" s="55" t="s">
        <v>0</v>
      </c>
      <c r="H93" s="55">
        <v>1490</v>
      </c>
      <c r="I93" s="55">
        <v>14</v>
      </c>
      <c r="J93" s="55" t="s">
        <v>2</v>
      </c>
      <c r="K93" s="55"/>
      <c r="L93" s="55"/>
      <c r="M93" s="55"/>
      <c r="N93" s="55"/>
      <c r="O93" s="55"/>
      <c r="P93" s="55"/>
      <c r="Q93" s="55"/>
      <c r="R93" s="55"/>
      <c r="S93" s="55" t="s">
        <v>2462</v>
      </c>
      <c r="T93" s="55" t="s">
        <v>2462</v>
      </c>
      <c r="U93" s="51">
        <v>35</v>
      </c>
    </row>
    <row r="94" spans="1:21" ht="33" x14ac:dyDescent="0.25">
      <c r="A94" s="50" t="s">
        <v>2528</v>
      </c>
      <c r="B94" s="55">
        <v>3</v>
      </c>
      <c r="C94" s="55" t="s">
        <v>2417</v>
      </c>
      <c r="D94" s="55" t="s">
        <v>2479</v>
      </c>
      <c r="E94" s="55">
        <v>27</v>
      </c>
      <c r="F94" s="24">
        <v>0.88800000000000001</v>
      </c>
      <c r="G94" s="55" t="s">
        <v>0</v>
      </c>
      <c r="H94" s="55">
        <v>1290</v>
      </c>
      <c r="I94" s="55">
        <v>12</v>
      </c>
      <c r="J94" s="55" t="s">
        <v>2</v>
      </c>
      <c r="K94" s="55"/>
      <c r="L94" s="55"/>
      <c r="M94" s="55"/>
      <c r="N94" s="55"/>
      <c r="O94" s="55"/>
      <c r="P94" s="55"/>
      <c r="Q94" s="55"/>
      <c r="R94" s="55"/>
      <c r="S94" s="55" t="s">
        <v>2462</v>
      </c>
      <c r="T94" s="55" t="s">
        <v>2462</v>
      </c>
      <c r="U94" s="51">
        <v>30</v>
      </c>
    </row>
    <row r="95" spans="1:21" ht="33" x14ac:dyDescent="0.25">
      <c r="A95" s="50" t="s">
        <v>2528</v>
      </c>
      <c r="B95" s="55">
        <v>5</v>
      </c>
      <c r="C95" s="55" t="s">
        <v>2419</v>
      </c>
      <c r="D95" s="55" t="s">
        <v>2480</v>
      </c>
      <c r="E95" s="55">
        <v>64</v>
      </c>
      <c r="F95" s="24">
        <v>1.208</v>
      </c>
      <c r="G95" s="55" t="s">
        <v>0</v>
      </c>
      <c r="H95" s="55">
        <v>3255</v>
      </c>
      <c r="I95" s="55">
        <v>14</v>
      </c>
      <c r="J95" s="55" t="s">
        <v>2</v>
      </c>
      <c r="K95" s="55"/>
      <c r="L95" s="55"/>
      <c r="M95" s="55"/>
      <c r="N95" s="55"/>
      <c r="O95" s="55"/>
      <c r="P95" s="55"/>
      <c r="Q95" s="55"/>
      <c r="R95" s="55"/>
      <c r="S95" s="55" t="s">
        <v>2462</v>
      </c>
      <c r="T95" s="55" t="s">
        <v>2462</v>
      </c>
      <c r="U95" s="51">
        <v>35</v>
      </c>
    </row>
    <row r="96" spans="1:21" ht="33" x14ac:dyDescent="0.25">
      <c r="A96" s="50" t="s">
        <v>2528</v>
      </c>
      <c r="B96" s="55">
        <v>6</v>
      </c>
      <c r="C96" s="55" t="s">
        <v>2417</v>
      </c>
      <c r="D96" s="55" t="s">
        <v>2481</v>
      </c>
      <c r="E96" s="55">
        <v>113</v>
      </c>
      <c r="F96" s="24">
        <v>0.222</v>
      </c>
      <c r="G96" s="55" t="s">
        <v>0</v>
      </c>
      <c r="H96" s="55">
        <v>270</v>
      </c>
      <c r="I96" s="55">
        <v>6</v>
      </c>
      <c r="J96" s="55" t="s">
        <v>1</v>
      </c>
      <c r="K96" s="55"/>
      <c r="L96" s="55"/>
      <c r="M96" s="55"/>
      <c r="N96" s="55"/>
      <c r="O96" s="55"/>
      <c r="P96" s="55"/>
      <c r="Q96" s="55"/>
      <c r="R96" s="55"/>
      <c r="S96" s="55" t="s">
        <v>2462</v>
      </c>
      <c r="T96" s="55" t="s">
        <v>2462</v>
      </c>
      <c r="U96" s="51">
        <v>7.5</v>
      </c>
    </row>
    <row r="97" spans="1:21" ht="33" x14ac:dyDescent="0.25">
      <c r="A97" s="50" t="s">
        <v>2528</v>
      </c>
      <c r="B97" s="55">
        <v>7</v>
      </c>
      <c r="C97" s="55" t="s">
        <v>2417</v>
      </c>
      <c r="D97" s="55" t="s">
        <v>2482</v>
      </c>
      <c r="E97" s="55">
        <v>64</v>
      </c>
      <c r="F97" s="24">
        <v>1.5780000000000001</v>
      </c>
      <c r="G97" s="55"/>
      <c r="H97" s="55">
        <v>2750</v>
      </c>
      <c r="I97" s="55">
        <v>16</v>
      </c>
      <c r="J97" s="55" t="s">
        <v>2</v>
      </c>
      <c r="K97" s="55"/>
      <c r="L97" s="55"/>
      <c r="M97" s="55"/>
      <c r="N97" s="55"/>
      <c r="O97" s="55"/>
      <c r="P97" s="55"/>
      <c r="Q97" s="55"/>
      <c r="R97" s="55"/>
      <c r="S97" s="55" t="s">
        <v>2462</v>
      </c>
      <c r="T97" s="55" t="s">
        <v>2462</v>
      </c>
      <c r="U97" s="51">
        <v>40</v>
      </c>
    </row>
    <row r="98" spans="1:21" ht="33" x14ac:dyDescent="0.25">
      <c r="A98" s="50" t="s">
        <v>2528</v>
      </c>
      <c r="B98" s="55">
        <v>8</v>
      </c>
      <c r="C98" s="55" t="s">
        <v>2417</v>
      </c>
      <c r="D98" s="55" t="s">
        <v>2483</v>
      </c>
      <c r="E98" s="55">
        <v>29</v>
      </c>
      <c r="F98" s="24">
        <v>0.88800000000000001</v>
      </c>
      <c r="G98" s="55"/>
      <c r="H98" s="55">
        <v>3150</v>
      </c>
      <c r="I98" s="55">
        <v>12</v>
      </c>
      <c r="J98" s="55" t="s">
        <v>2</v>
      </c>
      <c r="K98" s="55"/>
      <c r="L98" s="55"/>
      <c r="M98" s="55"/>
      <c r="N98" s="55"/>
      <c r="O98" s="55"/>
      <c r="P98" s="55"/>
      <c r="Q98" s="55"/>
      <c r="R98" s="55"/>
      <c r="S98" s="55" t="s">
        <v>2462</v>
      </c>
      <c r="T98" s="55" t="s">
        <v>2462</v>
      </c>
      <c r="U98" s="51">
        <v>30</v>
      </c>
    </row>
    <row r="99" spans="1:21" ht="33" x14ac:dyDescent="0.25">
      <c r="A99" s="50" t="s">
        <v>2528</v>
      </c>
      <c r="B99" s="55">
        <v>9</v>
      </c>
      <c r="C99" s="55" t="s">
        <v>2417</v>
      </c>
      <c r="D99" s="55" t="s">
        <v>2484</v>
      </c>
      <c r="E99" s="55">
        <v>64</v>
      </c>
      <c r="F99" s="24">
        <v>1.5780000000000001</v>
      </c>
      <c r="G99" s="55" t="s">
        <v>0</v>
      </c>
      <c r="H99" s="55">
        <v>1770</v>
      </c>
      <c r="I99" s="55">
        <v>16</v>
      </c>
      <c r="J99" s="55" t="s">
        <v>2</v>
      </c>
      <c r="K99" s="55"/>
      <c r="L99" s="55"/>
      <c r="M99" s="55"/>
      <c r="N99" s="55"/>
      <c r="O99" s="55"/>
      <c r="P99" s="55"/>
      <c r="Q99" s="55"/>
      <c r="R99" s="55"/>
      <c r="S99" s="55" t="s">
        <v>2462</v>
      </c>
      <c r="T99" s="55" t="s">
        <v>2462</v>
      </c>
      <c r="U99" s="51">
        <v>40</v>
      </c>
    </row>
    <row r="100" spans="1:21" ht="33" x14ac:dyDescent="0.25">
      <c r="A100" s="50" t="s">
        <v>2528</v>
      </c>
      <c r="B100" s="55">
        <v>10</v>
      </c>
      <c r="C100" s="55" t="s">
        <v>2417</v>
      </c>
      <c r="D100" s="55" t="s">
        <v>2485</v>
      </c>
      <c r="E100" s="55">
        <v>28</v>
      </c>
      <c r="F100" s="24">
        <v>0.88800000000000001</v>
      </c>
      <c r="G100" s="55" t="s">
        <v>0</v>
      </c>
      <c r="H100" s="55">
        <v>1390</v>
      </c>
      <c r="I100" s="55">
        <v>12</v>
      </c>
      <c r="J100" s="55" t="s">
        <v>2</v>
      </c>
      <c r="K100" s="55"/>
      <c r="L100" s="55"/>
      <c r="M100" s="55"/>
      <c r="N100" s="55"/>
      <c r="O100" s="55"/>
      <c r="P100" s="55"/>
      <c r="Q100" s="55"/>
      <c r="R100" s="55"/>
      <c r="S100" s="55" t="s">
        <v>2462</v>
      </c>
      <c r="T100" s="55" t="s">
        <v>2462</v>
      </c>
      <c r="U100" s="51">
        <v>30</v>
      </c>
    </row>
    <row r="101" spans="1:21" ht="33" x14ac:dyDescent="0.25">
      <c r="A101" s="50" t="s">
        <v>2528</v>
      </c>
      <c r="B101" s="55" t="s">
        <v>2465</v>
      </c>
      <c r="C101" s="55" t="s">
        <v>2433</v>
      </c>
      <c r="D101" s="55" t="s">
        <v>2466</v>
      </c>
      <c r="E101" s="55">
        <v>12</v>
      </c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1"/>
    </row>
    <row r="102" spans="1:21" ht="16.5" x14ac:dyDescent="0.25">
      <c r="A102" s="50" t="s">
        <v>2528</v>
      </c>
      <c r="B102" s="55"/>
      <c r="C102" s="29" t="s">
        <v>2463</v>
      </c>
      <c r="D102" s="29" t="s">
        <v>2464</v>
      </c>
      <c r="E102" s="29">
        <v>4.5</v>
      </c>
      <c r="F102" s="29" t="s">
        <v>4</v>
      </c>
      <c r="G102" s="29" t="s">
        <v>3</v>
      </c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1"/>
    </row>
    <row r="103" spans="1:21" ht="33" x14ac:dyDescent="0.25">
      <c r="A103" s="50" t="s">
        <v>2528</v>
      </c>
      <c r="B103" s="55"/>
      <c r="C103" s="29" t="s">
        <v>2463</v>
      </c>
      <c r="D103" s="29" t="s">
        <v>2520</v>
      </c>
      <c r="E103" s="29">
        <v>1</v>
      </c>
      <c r="F103" s="29" t="s">
        <v>4</v>
      </c>
      <c r="G103" s="29" t="s">
        <v>3</v>
      </c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1"/>
    </row>
    <row r="104" spans="1:21" ht="16.5" x14ac:dyDescent="0.25">
      <c r="A104" s="50"/>
      <c r="B104" s="55"/>
      <c r="C104" s="55" t="s">
        <v>2519</v>
      </c>
      <c r="D104" s="55" t="s">
        <v>2518</v>
      </c>
      <c r="E104" s="55">
        <v>864</v>
      </c>
      <c r="F104" s="55" t="s">
        <v>4</v>
      </c>
      <c r="G104" s="55" t="s">
        <v>3</v>
      </c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1"/>
    </row>
    <row r="105" spans="1:21" ht="16.5" x14ac:dyDescent="0.25">
      <c r="A105" s="50"/>
      <c r="B105" s="55"/>
      <c r="C105" s="55" t="s">
        <v>2517</v>
      </c>
      <c r="D105" s="55" t="s">
        <v>2516</v>
      </c>
      <c r="E105" s="55">
        <v>896.00000000000011</v>
      </c>
      <c r="F105" s="55" t="s">
        <v>4</v>
      </c>
      <c r="G105" s="55" t="s">
        <v>3</v>
      </c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1"/>
    </row>
    <row r="106" spans="1:21" ht="16.5" x14ac:dyDescent="0.25">
      <c r="A106" s="50"/>
      <c r="B106" s="55"/>
      <c r="C106" s="55" t="s">
        <v>2515</v>
      </c>
      <c r="D106" s="55" t="s">
        <v>2514</v>
      </c>
      <c r="E106" s="55">
        <v>113.32</v>
      </c>
      <c r="F106" s="55"/>
      <c r="G106" s="55" t="s">
        <v>2362</v>
      </c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1"/>
    </row>
    <row r="107" spans="1:21" ht="16.5" x14ac:dyDescent="0.25">
      <c r="A107" s="50"/>
      <c r="B107" s="55"/>
      <c r="C107" s="55" t="s">
        <v>2513</v>
      </c>
      <c r="D107" s="55" t="s">
        <v>2512</v>
      </c>
      <c r="E107" s="55">
        <v>166.7</v>
      </c>
      <c r="F107" s="55"/>
      <c r="G107" s="55" t="s">
        <v>2362</v>
      </c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1"/>
    </row>
    <row r="108" spans="1:21" ht="16.5" x14ac:dyDescent="0.25">
      <c r="A108" s="50"/>
      <c r="B108" s="55"/>
      <c r="C108" s="55"/>
      <c r="D108" s="55" t="s">
        <v>2511</v>
      </c>
      <c r="E108" s="55">
        <v>5.4</v>
      </c>
      <c r="F108" s="55"/>
      <c r="G108" s="55" t="s">
        <v>2361</v>
      </c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1"/>
    </row>
    <row r="109" spans="1:21" ht="16.5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ht="16.5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ht="16.5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</row>
    <row r="112" spans="1:21" ht="16.5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</row>
    <row r="113" spans="1:21" ht="16.5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</row>
    <row r="114" spans="1:21" ht="16.5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</row>
    <row r="115" spans="1:21" ht="16.5" x14ac:dyDescent="0.25">
      <c r="A115" s="23" t="s">
        <v>2457</v>
      </c>
      <c r="B115" s="24" t="s">
        <v>2457</v>
      </c>
      <c r="C115" s="24" t="s">
        <v>2458</v>
      </c>
      <c r="D115" s="24" t="s">
        <v>2522</v>
      </c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5"/>
    </row>
    <row r="116" spans="1:21" ht="16.5" x14ac:dyDescent="0.25">
      <c r="A116" s="23" t="s">
        <v>2457</v>
      </c>
      <c r="B116" s="24" t="s">
        <v>2457</v>
      </c>
      <c r="C116" s="24" t="s">
        <v>2459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5"/>
    </row>
    <row r="117" spans="1:21" ht="16.5" x14ac:dyDescent="0.25">
      <c r="A117" s="23" t="s">
        <v>2457</v>
      </c>
      <c r="B117" s="24" t="s">
        <v>2457</v>
      </c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5"/>
    </row>
    <row r="118" spans="1:21" ht="33" x14ac:dyDescent="0.25">
      <c r="A118" s="26" t="s">
        <v>2529</v>
      </c>
      <c r="B118" s="27" t="s">
        <v>2529</v>
      </c>
      <c r="C118" s="27"/>
      <c r="D118" s="27" t="s">
        <v>2521</v>
      </c>
      <c r="E118" s="27">
        <v>1</v>
      </c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8"/>
    </row>
    <row r="119" spans="1:21" ht="33" x14ac:dyDescent="0.25">
      <c r="A119" s="50" t="s">
        <v>2529</v>
      </c>
      <c r="B119" s="55">
        <v>1</v>
      </c>
      <c r="C119" s="55" t="s">
        <v>2417</v>
      </c>
      <c r="D119" s="55" t="s">
        <v>2477</v>
      </c>
      <c r="E119" s="55">
        <v>13</v>
      </c>
      <c r="F119" s="24">
        <v>0.88800000000000001</v>
      </c>
      <c r="G119" s="55"/>
      <c r="H119" s="55">
        <v>5630</v>
      </c>
      <c r="I119" s="55">
        <v>12</v>
      </c>
      <c r="J119" s="55" t="s">
        <v>2</v>
      </c>
      <c r="K119" s="55"/>
      <c r="L119" s="55"/>
      <c r="M119" s="55"/>
      <c r="N119" s="55"/>
      <c r="O119" s="55"/>
      <c r="P119" s="55"/>
      <c r="Q119" s="55"/>
      <c r="R119" s="55"/>
      <c r="S119" s="55" t="s">
        <v>2462</v>
      </c>
      <c r="T119" s="55" t="s">
        <v>2462</v>
      </c>
      <c r="U119" s="51">
        <v>30</v>
      </c>
    </row>
    <row r="120" spans="1:21" ht="33" x14ac:dyDescent="0.25">
      <c r="A120" s="50" t="s">
        <v>2529</v>
      </c>
      <c r="B120" s="55">
        <v>2</v>
      </c>
      <c r="C120" s="55" t="s">
        <v>2417</v>
      </c>
      <c r="D120" s="55" t="s">
        <v>2478</v>
      </c>
      <c r="E120" s="55">
        <v>29</v>
      </c>
      <c r="F120" s="24">
        <v>0.88800000000000001</v>
      </c>
      <c r="G120" s="55" t="s">
        <v>0</v>
      </c>
      <c r="H120" s="55">
        <v>1290</v>
      </c>
      <c r="I120" s="55">
        <v>12</v>
      </c>
      <c r="J120" s="55" t="s">
        <v>2</v>
      </c>
      <c r="K120" s="55"/>
      <c r="L120" s="55"/>
      <c r="M120" s="55"/>
      <c r="N120" s="55"/>
      <c r="O120" s="55"/>
      <c r="P120" s="55"/>
      <c r="Q120" s="55"/>
      <c r="R120" s="55"/>
      <c r="S120" s="55" t="s">
        <v>2462</v>
      </c>
      <c r="T120" s="55" t="s">
        <v>2462</v>
      </c>
      <c r="U120" s="51">
        <v>30</v>
      </c>
    </row>
    <row r="121" spans="1:21" ht="33" x14ac:dyDescent="0.25">
      <c r="A121" s="50" t="s">
        <v>2529</v>
      </c>
      <c r="B121" s="55">
        <v>3</v>
      </c>
      <c r="C121" s="55" t="s">
        <v>2417</v>
      </c>
      <c r="D121" s="55" t="s">
        <v>2479</v>
      </c>
      <c r="E121" s="55">
        <v>12</v>
      </c>
      <c r="F121" s="24">
        <v>0.88800000000000001</v>
      </c>
      <c r="G121" s="55" t="s">
        <v>0</v>
      </c>
      <c r="H121" s="55">
        <v>1290</v>
      </c>
      <c r="I121" s="55">
        <v>12</v>
      </c>
      <c r="J121" s="55" t="s">
        <v>2</v>
      </c>
      <c r="K121" s="55"/>
      <c r="L121" s="55"/>
      <c r="M121" s="55"/>
      <c r="N121" s="55"/>
      <c r="O121" s="55"/>
      <c r="P121" s="55"/>
      <c r="Q121" s="55"/>
      <c r="R121" s="55"/>
      <c r="S121" s="55" t="s">
        <v>2462</v>
      </c>
      <c r="T121" s="55" t="s">
        <v>2462</v>
      </c>
      <c r="U121" s="51">
        <v>30</v>
      </c>
    </row>
    <row r="122" spans="1:21" ht="33" x14ac:dyDescent="0.25">
      <c r="A122" s="50" t="s">
        <v>2529</v>
      </c>
      <c r="B122" s="55">
        <v>5</v>
      </c>
      <c r="C122" s="55" t="s">
        <v>2419</v>
      </c>
      <c r="D122" s="55" t="s">
        <v>2480</v>
      </c>
      <c r="E122" s="55">
        <v>58</v>
      </c>
      <c r="F122" s="24">
        <v>0.88800000000000001</v>
      </c>
      <c r="G122" s="55" t="s">
        <v>0</v>
      </c>
      <c r="H122" s="55">
        <v>1625</v>
      </c>
      <c r="I122" s="55">
        <v>12</v>
      </c>
      <c r="J122" s="55" t="s">
        <v>2</v>
      </c>
      <c r="K122" s="55"/>
      <c r="L122" s="55"/>
      <c r="M122" s="55"/>
      <c r="N122" s="55"/>
      <c r="O122" s="55"/>
      <c r="P122" s="55"/>
      <c r="Q122" s="55"/>
      <c r="R122" s="55"/>
      <c r="S122" s="55" t="s">
        <v>2462</v>
      </c>
      <c r="T122" s="55" t="s">
        <v>2462</v>
      </c>
      <c r="U122" s="51">
        <v>30</v>
      </c>
    </row>
    <row r="123" spans="1:21" ht="33" x14ac:dyDescent="0.25">
      <c r="A123" s="50" t="s">
        <v>2529</v>
      </c>
      <c r="B123" s="55">
        <v>6</v>
      </c>
      <c r="C123" s="55" t="s">
        <v>2417</v>
      </c>
      <c r="D123" s="55" t="s">
        <v>2481</v>
      </c>
      <c r="E123" s="55">
        <v>85</v>
      </c>
      <c r="F123" s="24">
        <v>0.222</v>
      </c>
      <c r="G123" s="55" t="s">
        <v>0</v>
      </c>
      <c r="H123" s="55">
        <v>270</v>
      </c>
      <c r="I123" s="55">
        <v>6</v>
      </c>
      <c r="J123" s="55" t="s">
        <v>1</v>
      </c>
      <c r="K123" s="55"/>
      <c r="L123" s="55"/>
      <c r="M123" s="55"/>
      <c r="N123" s="55"/>
      <c r="O123" s="55"/>
      <c r="P123" s="55"/>
      <c r="Q123" s="55"/>
      <c r="R123" s="55"/>
      <c r="S123" s="55" t="s">
        <v>2462</v>
      </c>
      <c r="T123" s="55" t="s">
        <v>2462</v>
      </c>
      <c r="U123" s="51">
        <v>7.5</v>
      </c>
    </row>
    <row r="124" spans="1:21" ht="33" x14ac:dyDescent="0.25">
      <c r="A124" s="50" t="s">
        <v>2529</v>
      </c>
      <c r="B124" s="55">
        <v>7</v>
      </c>
      <c r="C124" s="55" t="s">
        <v>2417</v>
      </c>
      <c r="D124" s="55" t="s">
        <v>2482</v>
      </c>
      <c r="E124" s="55">
        <v>114</v>
      </c>
      <c r="F124" s="24">
        <v>0.88800000000000001</v>
      </c>
      <c r="G124" s="55"/>
      <c r="H124" s="55">
        <v>750</v>
      </c>
      <c r="I124" s="55">
        <v>12</v>
      </c>
      <c r="J124" s="55" t="s">
        <v>2</v>
      </c>
      <c r="K124" s="55"/>
      <c r="L124" s="55"/>
      <c r="M124" s="55"/>
      <c r="N124" s="55"/>
      <c r="O124" s="55"/>
      <c r="P124" s="55"/>
      <c r="Q124" s="55"/>
      <c r="R124" s="55"/>
      <c r="S124" s="55" t="s">
        <v>2462</v>
      </c>
      <c r="T124" s="55" t="s">
        <v>2462</v>
      </c>
      <c r="U124" s="51">
        <v>30</v>
      </c>
    </row>
    <row r="125" spans="1:21" ht="33" x14ac:dyDescent="0.25">
      <c r="A125" s="50" t="s">
        <v>2529</v>
      </c>
      <c r="B125" s="55">
        <v>8</v>
      </c>
      <c r="C125" s="55" t="s">
        <v>2417</v>
      </c>
      <c r="D125" s="55" t="s">
        <v>2483</v>
      </c>
      <c r="E125" s="55">
        <v>9</v>
      </c>
      <c r="F125" s="24">
        <v>0.88800000000000001</v>
      </c>
      <c r="G125" s="55"/>
      <c r="H125" s="55">
        <v>5630</v>
      </c>
      <c r="I125" s="55">
        <v>12</v>
      </c>
      <c r="J125" s="55" t="s">
        <v>2</v>
      </c>
      <c r="K125" s="55"/>
      <c r="L125" s="55"/>
      <c r="M125" s="55"/>
      <c r="N125" s="55"/>
      <c r="O125" s="55"/>
      <c r="P125" s="55"/>
      <c r="Q125" s="55"/>
      <c r="R125" s="55"/>
      <c r="S125" s="55" t="s">
        <v>2462</v>
      </c>
      <c r="T125" s="55" t="s">
        <v>2462</v>
      </c>
      <c r="U125" s="51">
        <v>30</v>
      </c>
    </row>
    <row r="126" spans="1:21" ht="33" x14ac:dyDescent="0.25">
      <c r="A126" s="50" t="s">
        <v>2529</v>
      </c>
      <c r="B126" s="55">
        <v>9</v>
      </c>
      <c r="C126" s="55" t="s">
        <v>2417</v>
      </c>
      <c r="D126" s="55" t="s">
        <v>2484</v>
      </c>
      <c r="E126" s="55">
        <v>114</v>
      </c>
      <c r="F126" s="24">
        <v>0.88800000000000001</v>
      </c>
      <c r="G126" s="55" t="s">
        <v>0</v>
      </c>
      <c r="H126" s="55">
        <v>1390</v>
      </c>
      <c r="I126" s="55">
        <v>12</v>
      </c>
      <c r="J126" s="55" t="s">
        <v>2</v>
      </c>
      <c r="K126" s="55"/>
      <c r="L126" s="55"/>
      <c r="M126" s="55"/>
      <c r="N126" s="55"/>
      <c r="O126" s="55"/>
      <c r="P126" s="55"/>
      <c r="Q126" s="55"/>
      <c r="R126" s="55"/>
      <c r="S126" s="55" t="s">
        <v>2462</v>
      </c>
      <c r="T126" s="55" t="s">
        <v>2462</v>
      </c>
      <c r="U126" s="51">
        <v>30</v>
      </c>
    </row>
    <row r="127" spans="1:21" ht="33" x14ac:dyDescent="0.25">
      <c r="A127" s="50" t="s">
        <v>2529</v>
      </c>
      <c r="B127" s="55">
        <v>10</v>
      </c>
      <c r="C127" s="55" t="s">
        <v>2417</v>
      </c>
      <c r="D127" s="55" t="s">
        <v>2485</v>
      </c>
      <c r="E127" s="55">
        <v>8</v>
      </c>
      <c r="F127" s="24">
        <v>0.88800000000000001</v>
      </c>
      <c r="G127" s="55" t="s">
        <v>0</v>
      </c>
      <c r="H127" s="55">
        <v>1390</v>
      </c>
      <c r="I127" s="55">
        <v>12</v>
      </c>
      <c r="J127" s="55" t="s">
        <v>2</v>
      </c>
      <c r="K127" s="55"/>
      <c r="L127" s="55"/>
      <c r="M127" s="55"/>
      <c r="N127" s="55"/>
      <c r="O127" s="55"/>
      <c r="P127" s="55"/>
      <c r="Q127" s="55"/>
      <c r="R127" s="55"/>
      <c r="S127" s="55" t="s">
        <v>2462</v>
      </c>
      <c r="T127" s="55" t="s">
        <v>2462</v>
      </c>
      <c r="U127" s="51">
        <v>30</v>
      </c>
    </row>
    <row r="128" spans="1:21" ht="33" x14ac:dyDescent="0.25">
      <c r="A128" s="50" t="s">
        <v>2529</v>
      </c>
      <c r="B128" s="55" t="s">
        <v>2465</v>
      </c>
      <c r="C128" s="55" t="s">
        <v>2433</v>
      </c>
      <c r="D128" s="55" t="s">
        <v>2466</v>
      </c>
      <c r="E128" s="55">
        <v>7</v>
      </c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1"/>
    </row>
    <row r="129" spans="1:21" ht="16.5" x14ac:dyDescent="0.25">
      <c r="A129" s="50" t="s">
        <v>2529</v>
      </c>
      <c r="B129" s="55"/>
      <c r="C129" s="29" t="s">
        <v>2463</v>
      </c>
      <c r="D129" s="29" t="s">
        <v>2464</v>
      </c>
      <c r="E129" s="29">
        <v>0</v>
      </c>
      <c r="F129" s="29" t="s">
        <v>4</v>
      </c>
      <c r="G129" s="29" t="s">
        <v>3</v>
      </c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1"/>
    </row>
    <row r="130" spans="1:21" ht="33" x14ac:dyDescent="0.25">
      <c r="A130" s="50" t="s">
        <v>2529</v>
      </c>
      <c r="B130" s="55"/>
      <c r="C130" s="29" t="s">
        <v>2463</v>
      </c>
      <c r="D130" s="29" t="s">
        <v>2520</v>
      </c>
      <c r="E130" s="29">
        <v>0</v>
      </c>
      <c r="F130" s="29" t="s">
        <v>4</v>
      </c>
      <c r="G130" s="29" t="s">
        <v>3</v>
      </c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1"/>
    </row>
    <row r="131" spans="1:21" ht="16.5" x14ac:dyDescent="0.25">
      <c r="A131" s="50"/>
      <c r="B131" s="55"/>
      <c r="C131" s="55" t="s">
        <v>2519</v>
      </c>
      <c r="D131" s="55" t="s">
        <v>2518</v>
      </c>
      <c r="E131" s="55">
        <v>1533.6000000000001</v>
      </c>
      <c r="F131" s="55" t="s">
        <v>4</v>
      </c>
      <c r="G131" s="55" t="s">
        <v>3</v>
      </c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1"/>
    </row>
    <row r="132" spans="1:21" ht="16.5" x14ac:dyDescent="0.25">
      <c r="A132" s="50"/>
      <c r="B132" s="55"/>
      <c r="C132" s="55" t="s">
        <v>2517</v>
      </c>
      <c r="D132" s="55" t="s">
        <v>2516</v>
      </c>
      <c r="E132" s="55">
        <v>1590.4</v>
      </c>
      <c r="F132" s="55" t="s">
        <v>4</v>
      </c>
      <c r="G132" s="55" t="s">
        <v>3</v>
      </c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1"/>
    </row>
    <row r="133" spans="1:21" ht="16.5" x14ac:dyDescent="0.25">
      <c r="A133" s="50"/>
      <c r="B133" s="55"/>
      <c r="C133" s="55" t="s">
        <v>2515</v>
      </c>
      <c r="D133" s="55" t="s">
        <v>2514</v>
      </c>
      <c r="E133" s="55">
        <v>113.32</v>
      </c>
      <c r="F133" s="55"/>
      <c r="G133" s="55" t="s">
        <v>2362</v>
      </c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1"/>
    </row>
    <row r="134" spans="1:21" ht="16.5" x14ac:dyDescent="0.25">
      <c r="A134" s="50"/>
      <c r="B134" s="55"/>
      <c r="C134" s="55" t="s">
        <v>2513</v>
      </c>
      <c r="D134" s="55" t="s">
        <v>2512</v>
      </c>
      <c r="E134" s="55">
        <v>166.7</v>
      </c>
      <c r="F134" s="55"/>
      <c r="G134" s="55" t="s">
        <v>2362</v>
      </c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1"/>
    </row>
    <row r="135" spans="1:21" ht="17.25" thickBot="1" x14ac:dyDescent="0.3">
      <c r="A135" s="47"/>
      <c r="B135" s="48"/>
      <c r="C135" s="48"/>
      <c r="D135" s="48" t="s">
        <v>2511</v>
      </c>
      <c r="E135" s="48">
        <v>8.6</v>
      </c>
      <c r="F135" s="48"/>
      <c r="G135" s="48" t="s">
        <v>2361</v>
      </c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9"/>
    </row>
  </sheetData>
  <mergeCells count="11">
    <mergeCell ref="A1:A2"/>
    <mergeCell ref="B1:B2"/>
    <mergeCell ref="C1:C2"/>
    <mergeCell ref="D1:D2"/>
    <mergeCell ref="E1:E2"/>
    <mergeCell ref="F1:F2"/>
    <mergeCell ref="S1:U1"/>
    <mergeCell ref="G1:G2"/>
    <mergeCell ref="H1:J1"/>
    <mergeCell ref="K1:Q1"/>
    <mergeCell ref="R1:R2"/>
  </mergeCells>
  <conditionalFormatting sqref="A1:H1 A3:U135 H2:Q2 K1 R1:S1 S2:U2">
    <cfRule type="containsText" dxfId="304" priority="1" stopIfTrue="1" operator="containsText" text="С ЛИСТА">
      <formula>NOT(ISERROR(SEARCH("С ЛИСТА",A1)))</formula>
    </cfRule>
    <cfRule type="containsText" dxfId="303" priority="2" stopIfTrue="1" operator="containsText" text="ИЗ ФАЙЛА">
      <formula>NOT(ISERROR(SEARCH("ИЗ ФАЙЛА",A1)))</formula>
    </cfRule>
    <cfRule type="containsText" dxfId="302" priority="3" stopIfTrue="1" operator="containsText" text="!!!">
      <formula>NOT(ISERROR(SEARCH("!!!",A1)))</formula>
    </cfRule>
    <cfRule type="containsText" dxfId="301" priority="4" stopIfTrue="1" operator="containsText" text=" Изделия ">
      <formula>NOT(ISERROR(SEARCH(" Изделия ",A1)))</formula>
    </cfRule>
    <cfRule type="containsText" dxfId="300" priority="5" stopIfTrue="1" operator="containsText" text=" Прокат ">
      <formula>NOT(ISERROR(SEARCH(" Прокат ",A1)))</formula>
    </cfRule>
    <cfRule type="containsText" dxfId="299" priority="6" stopIfTrue="1" operator="containsText" text=" Сборочные единицы ">
      <formula>NOT(ISERROR(SEARCH(" Сборочные единицы ",A1)))</formula>
    </cfRule>
    <cfRule type="containsText" dxfId="298" priority="7" stopIfTrue="1" operator="containsText" text=" Материалы ">
      <formula>NOT(ISERROR(SEARCH(" Материалы ",A1)))</formula>
    </cfRule>
    <cfRule type="containsText" dxfId="297" priority="8" stopIfTrue="1" operator="containsText" text=", на ">
      <formula>NOT(ISERROR(SEARCH(", на ",A1)))</formula>
    </cfRule>
    <cfRule type="containsText" dxfId="296" priority="9" stopIfTrue="1" operator="containsText" text="шт.)">
      <formula>NOT(ISERROR(SEARCH("шт.)",A1)))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errorStyle="warning" allowBlank="1" showInputMessage="1" showErrorMessage="1">
          <x14:formula1>
            <xm:f>'!System'!$AN$1:$AN$6</xm:f>
          </x14:formula1>
          <xm:sqref>G3:G135</xm:sqref>
        </x14:dataValidation>
        <x14:dataValidation type="list" allowBlank="1" showInputMessage="1" showErrorMessage="1">
          <x14:formula1>
            <xm:f>'!System'!$T$1:$AB$1</xm:f>
          </x14:formula1>
          <xm:sqref>J3:J135</xm:sqref>
        </x14:dataValidation>
        <x14:dataValidation type="list" allowBlank="1" showInputMessage="1" showErrorMessage="1">
          <x14:formula1>
            <xm:f>'!System'!$A$1:$R$1</xm:f>
          </x14:formula1>
          <xm:sqref>L3:L135</xm:sqref>
        </x14:dataValidation>
        <x14:dataValidation type="list" allowBlank="1" showInputMessage="1" showErrorMessage="1">
          <x14:formula1>
            <xm:f>'!System'!$AC$1:$AM$1</xm:f>
          </x14:formula1>
          <xm:sqref>O3:O135</xm:sqref>
        </x14:dataValidation>
        <x14:dataValidation type="list" allowBlank="1" showInputMessage="1" showErrorMessage="1">
          <x14:formula1>
            <xm:f>'!System'!$AO$1:$AO$5</xm:f>
          </x14:formula1>
          <xm:sqref>P3:P135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  <x14:dataValidation type="list" allowBlank="1" showInputMessage="1" showErrorMessage="1">
          <x14:formula1>
            <xm:f>'!System'!$V$2:$V$17</xm:f>
          </x14:formula1>
          <xm:sqref>I36</xm:sqref>
        </x14:dataValidation>
        <x14:dataValidation type="list" allowBlank="1" showInputMessage="1" showErrorMessage="1">
          <x14:formula1>
            <xm:f>'!System'!$V$2:$V$17</xm:f>
          </x14:formula1>
          <xm:sqref>I37</xm:sqref>
        </x14:dataValidation>
        <x14:dataValidation type="list" allowBlank="1" showInputMessage="1" showErrorMessage="1">
          <x14:formula1>
            <xm:f>'!System'!$V$2:$V$17</xm:f>
          </x14:formula1>
          <xm:sqref>I38</xm:sqref>
        </x14:dataValidation>
        <x14:dataValidation type="list" allowBlank="1" showInputMessage="1" showErrorMessage="1">
          <x14:formula1>
            <xm:f>'!System'!$T$2:$T$16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  <x14:dataValidation type="list" allowBlank="1" showInputMessage="1" showErrorMessage="1">
          <x14:formula1>
            <xm:f>'!System'!$V$2:$V$17</xm:f>
          </x14:formula1>
          <xm:sqref>I67</xm:sqref>
        </x14:dataValidation>
        <x14:dataValidation type="list" allowBlank="1" showInputMessage="1" showErrorMessage="1">
          <x14:formula1>
            <xm:f>'!System'!$T$2:$T$16</xm:f>
          </x14:formula1>
          <xm:sqref>I68</xm:sqref>
        </x14:dataValidation>
        <x14:dataValidation type="list" allowBlank="1" showInputMessage="1" showErrorMessage="1">
          <x14:formula1>
            <xm:f>'!System'!$V$2:$V$17</xm:f>
          </x14:formula1>
          <xm:sqref>I69</xm:sqref>
        </x14:dataValidation>
        <x14:dataValidation type="list" allowBlank="1" showInputMessage="1" showErrorMessage="1">
          <x14:formula1>
            <xm:f>'!System'!$V$2:$V$17</xm:f>
          </x14:formula1>
          <xm:sqref>I70</xm:sqref>
        </x14:dataValidation>
        <x14:dataValidation type="list" allowBlank="1" showInputMessage="1" showErrorMessage="1">
          <x14:formula1>
            <xm:f>'!System'!$V$2:$V$17</xm:f>
          </x14:formula1>
          <xm:sqref>I71</xm:sqref>
        </x14:dataValidation>
        <x14:dataValidation type="list" allowBlank="1" showInputMessage="1" showErrorMessage="1">
          <x14:formula1>
            <xm:f>'!System'!$V$2:$V$17</xm:f>
          </x14:formula1>
          <xm:sqref>I72</xm:sqref>
        </x14:dataValidation>
        <x14:dataValidation type="list" allowBlank="1" showInputMessage="1" showErrorMessage="1">
          <x14:formula1>
            <xm:f>'!System'!$V$2:$V$17</xm:f>
          </x14:formula1>
          <xm:sqref>I92</xm:sqref>
        </x14:dataValidation>
        <x14:dataValidation type="list" allowBlank="1" showInputMessage="1" showErrorMessage="1">
          <x14:formula1>
            <xm:f>'!System'!$V$2:$V$17</xm:f>
          </x14:formula1>
          <xm:sqref>I93</xm:sqref>
        </x14:dataValidation>
        <x14:dataValidation type="list" allowBlank="1" showInputMessage="1" showErrorMessage="1">
          <x14:formula1>
            <xm:f>'!System'!$V$2:$V$17</xm:f>
          </x14:formula1>
          <xm:sqref>I94</xm:sqref>
        </x14:dataValidation>
        <x14:dataValidation type="list" allowBlank="1" showInputMessage="1" showErrorMessage="1">
          <x14:formula1>
            <xm:f>'!System'!$V$2:$V$17</xm:f>
          </x14:formula1>
          <xm:sqref>I95</xm:sqref>
        </x14:dataValidation>
        <x14:dataValidation type="list" allowBlank="1" showInputMessage="1" showErrorMessage="1">
          <x14:formula1>
            <xm:f>'!System'!$T$2:$T$16</xm:f>
          </x14:formula1>
          <xm:sqref>I96</xm:sqref>
        </x14:dataValidation>
        <x14:dataValidation type="list" allowBlank="1" showInputMessage="1" showErrorMessage="1">
          <x14:formula1>
            <xm:f>'!System'!$V$2:$V$17</xm:f>
          </x14:formula1>
          <xm:sqref>I97</xm:sqref>
        </x14:dataValidation>
        <x14:dataValidation type="list" allowBlank="1" showInputMessage="1" showErrorMessage="1">
          <x14:formula1>
            <xm:f>'!System'!$V$2:$V$17</xm:f>
          </x14:formula1>
          <xm:sqref>I98</xm:sqref>
        </x14:dataValidation>
        <x14:dataValidation type="list" allowBlank="1" showInputMessage="1" showErrorMessage="1">
          <x14:formula1>
            <xm:f>'!System'!$V$2:$V$17</xm:f>
          </x14:formula1>
          <xm:sqref>I99</xm:sqref>
        </x14:dataValidation>
        <x14:dataValidation type="list" allowBlank="1" showInputMessage="1" showErrorMessage="1">
          <x14:formula1>
            <xm:f>'!System'!$V$2:$V$17</xm:f>
          </x14:formula1>
          <xm:sqref>I100</xm:sqref>
        </x14:dataValidation>
        <x14:dataValidation type="list" allowBlank="1" showInputMessage="1" showErrorMessage="1">
          <x14:formula1>
            <xm:f>'!System'!$V$2:$V$17</xm:f>
          </x14:formula1>
          <xm:sqref>I119</xm:sqref>
        </x14:dataValidation>
        <x14:dataValidation type="list" allowBlank="1" showInputMessage="1" showErrorMessage="1">
          <x14:formula1>
            <xm:f>'!System'!$V$2:$V$17</xm:f>
          </x14:formula1>
          <xm:sqref>I120</xm:sqref>
        </x14:dataValidation>
        <x14:dataValidation type="list" allowBlank="1" showInputMessage="1" showErrorMessage="1">
          <x14:formula1>
            <xm:f>'!System'!$V$2:$V$17</xm:f>
          </x14:formula1>
          <xm:sqref>I121</xm:sqref>
        </x14:dataValidation>
        <x14:dataValidation type="list" allowBlank="1" showInputMessage="1" showErrorMessage="1">
          <x14:formula1>
            <xm:f>'!System'!$V$2:$V$17</xm:f>
          </x14:formula1>
          <xm:sqref>I122</xm:sqref>
        </x14:dataValidation>
        <x14:dataValidation type="list" allowBlank="1" showInputMessage="1" showErrorMessage="1">
          <x14:formula1>
            <xm:f>'!System'!$T$2:$T$16</xm:f>
          </x14:formula1>
          <xm:sqref>I123</xm:sqref>
        </x14:dataValidation>
        <x14:dataValidation type="list" allowBlank="1" showInputMessage="1" showErrorMessage="1">
          <x14:formula1>
            <xm:f>'!System'!$V$2:$V$17</xm:f>
          </x14:formula1>
          <xm:sqref>I124</xm:sqref>
        </x14:dataValidation>
        <x14:dataValidation type="list" allowBlank="1" showInputMessage="1" showErrorMessage="1">
          <x14:formula1>
            <xm:f>'!System'!$V$2:$V$17</xm:f>
          </x14:formula1>
          <xm:sqref>I125</xm:sqref>
        </x14:dataValidation>
        <x14:dataValidation type="list" allowBlank="1" showInputMessage="1" showErrorMessage="1">
          <x14:formula1>
            <xm:f>'!System'!$V$2:$V$17</xm:f>
          </x14:formula1>
          <xm:sqref>I126</xm:sqref>
        </x14:dataValidation>
        <x14:dataValidation type="list" allowBlank="1" showInputMessage="1" showErrorMessage="1">
          <x14:formula1>
            <xm:f>'!System'!$V$2:$V$17</xm:f>
          </x14:formula1>
          <xm:sqref>I127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activeCell="W19" sqref="W19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62" t="s">
        <v>2436</v>
      </c>
      <c r="B1" s="56" t="s">
        <v>2412</v>
      </c>
      <c r="C1" s="56" t="s">
        <v>2413</v>
      </c>
      <c r="D1" s="56" t="s">
        <v>2414</v>
      </c>
      <c r="E1" s="56" t="s">
        <v>2437</v>
      </c>
      <c r="F1" s="56" t="s">
        <v>2438</v>
      </c>
      <c r="G1" s="56" t="s">
        <v>2439</v>
      </c>
      <c r="H1" s="58" t="s">
        <v>2441</v>
      </c>
      <c r="I1" s="59"/>
      <c r="J1" s="60"/>
      <c r="K1" s="58" t="s">
        <v>2430</v>
      </c>
      <c r="L1" s="59"/>
      <c r="M1" s="59"/>
      <c r="N1" s="59"/>
      <c r="O1" s="59"/>
      <c r="P1" s="59"/>
      <c r="Q1" s="60"/>
      <c r="R1" s="56" t="s">
        <v>2440</v>
      </c>
      <c r="S1" s="58" t="s">
        <v>2452</v>
      </c>
      <c r="T1" s="59"/>
      <c r="U1" s="61"/>
    </row>
    <row r="2" spans="1:44" ht="66" x14ac:dyDescent="0.25">
      <c r="A2" s="63"/>
      <c r="B2" s="57"/>
      <c r="C2" s="57"/>
      <c r="D2" s="57"/>
      <c r="E2" s="57"/>
      <c r="F2" s="57"/>
      <c r="G2" s="57"/>
      <c r="H2" s="55" t="s">
        <v>2442</v>
      </c>
      <c r="I2" s="55" t="s">
        <v>2443</v>
      </c>
      <c r="J2" s="55" t="s">
        <v>2444</v>
      </c>
      <c r="K2" s="55" t="s">
        <v>2445</v>
      </c>
      <c r="L2" s="55" t="s">
        <v>2446</v>
      </c>
      <c r="M2" s="55" t="s">
        <v>2447</v>
      </c>
      <c r="N2" s="55" t="s">
        <v>2448</v>
      </c>
      <c r="O2" s="55" t="s">
        <v>2449</v>
      </c>
      <c r="P2" s="55" t="s">
        <v>2450</v>
      </c>
      <c r="Q2" s="55" t="s">
        <v>2451</v>
      </c>
      <c r="R2" s="57"/>
      <c r="S2" s="55" t="s">
        <v>2453</v>
      </c>
      <c r="T2" s="55" t="s">
        <v>2454</v>
      </c>
      <c r="U2" s="51" t="s">
        <v>2455</v>
      </c>
    </row>
    <row r="3" spans="1:44" ht="16.5" x14ac:dyDescent="0.25">
      <c r="A3" s="23" t="str">
        <f>A6</f>
        <v>Пс6.1.1</v>
      </c>
      <c r="B3" s="24" t="s">
        <v>2457</v>
      </c>
      <c r="C3" s="24" t="s">
        <v>2458</v>
      </c>
      <c r="D3" s="24" t="s">
        <v>2490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44" ht="16.5" x14ac:dyDescent="0.25">
      <c r="A4" s="23" t="str">
        <f>A6</f>
        <v>Пс6.1.1</v>
      </c>
      <c r="B4" s="24" t="s">
        <v>2457</v>
      </c>
      <c r="C4" s="24" t="s">
        <v>2459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44" ht="16.5" x14ac:dyDescent="0.25">
      <c r="A5" s="23" t="s">
        <v>2457</v>
      </c>
      <c r="B5" s="24" t="s">
        <v>2457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44" ht="33" x14ac:dyDescent="0.25">
      <c r="A6" s="26" t="s">
        <v>2460</v>
      </c>
      <c r="B6" s="27" t="s">
        <v>2460</v>
      </c>
      <c r="C6" s="27"/>
      <c r="D6" s="27" t="s">
        <v>2461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44" ht="16.5" x14ac:dyDescent="0.25">
      <c r="A7" s="50" t="s">
        <v>2460</v>
      </c>
      <c r="B7" s="55">
        <v>1</v>
      </c>
      <c r="C7" s="55" t="s">
        <v>2417</v>
      </c>
      <c r="D7" s="55" t="s">
        <v>2477</v>
      </c>
      <c r="E7" s="55">
        <v>1</v>
      </c>
      <c r="F7" s="24">
        <v>0.88800000000000001</v>
      </c>
      <c r="G7" s="55" t="s">
        <v>2361</v>
      </c>
      <c r="H7" s="55">
        <v>815860</v>
      </c>
      <c r="I7" s="55">
        <v>12</v>
      </c>
      <c r="J7" s="55" t="s">
        <v>2</v>
      </c>
      <c r="K7" s="55"/>
      <c r="L7" s="55"/>
      <c r="M7" s="55"/>
      <c r="N7" s="55"/>
      <c r="O7" s="55"/>
      <c r="P7" s="55"/>
      <c r="Q7" s="55"/>
      <c r="R7" s="55"/>
      <c r="S7" s="55">
        <v>570</v>
      </c>
      <c r="T7" s="55">
        <v>680</v>
      </c>
      <c r="U7" s="51">
        <v>30</v>
      </c>
      <c r="AP7">
        <v>650</v>
      </c>
      <c r="AQ7">
        <v>780</v>
      </c>
      <c r="AR7">
        <v>30</v>
      </c>
    </row>
    <row r="8" spans="1:44" ht="16.5" x14ac:dyDescent="0.25">
      <c r="A8" s="50" t="s">
        <v>2460</v>
      </c>
      <c r="B8" s="55">
        <v>2</v>
      </c>
      <c r="C8" s="55" t="s">
        <v>2417</v>
      </c>
      <c r="D8" s="55" t="s">
        <v>2478</v>
      </c>
      <c r="E8" s="55">
        <v>126</v>
      </c>
      <c r="F8" s="24">
        <v>1.998</v>
      </c>
      <c r="G8" s="55" t="s">
        <v>0</v>
      </c>
      <c r="H8" s="55">
        <v>2610</v>
      </c>
      <c r="I8" s="55">
        <v>18</v>
      </c>
      <c r="J8" s="55" t="s">
        <v>2</v>
      </c>
      <c r="K8" s="55"/>
      <c r="L8" s="55"/>
      <c r="M8" s="55"/>
      <c r="N8" s="55"/>
      <c r="O8" s="55"/>
      <c r="P8" s="55"/>
      <c r="Q8" s="55"/>
      <c r="R8" s="55"/>
      <c r="S8" s="55">
        <v>850</v>
      </c>
      <c r="T8" s="55">
        <v>1020</v>
      </c>
      <c r="U8" s="51">
        <v>45</v>
      </c>
      <c r="AP8">
        <v>970</v>
      </c>
      <c r="AQ8">
        <v>1165</v>
      </c>
      <c r="AR8">
        <v>45</v>
      </c>
    </row>
    <row r="9" spans="1:44" ht="16.5" x14ac:dyDescent="0.25">
      <c r="A9" s="50" t="s">
        <v>2460</v>
      </c>
      <c r="B9" s="55">
        <v>3</v>
      </c>
      <c r="C9" s="55" t="s">
        <v>2417</v>
      </c>
      <c r="D9" s="55" t="s">
        <v>2479</v>
      </c>
      <c r="E9" s="55">
        <v>56</v>
      </c>
      <c r="F9" s="24">
        <v>0.88800000000000001</v>
      </c>
      <c r="G9" s="55" t="s">
        <v>0</v>
      </c>
      <c r="H9" s="55">
        <v>1850</v>
      </c>
      <c r="I9" s="55">
        <v>12</v>
      </c>
      <c r="J9" s="55" t="s">
        <v>2</v>
      </c>
      <c r="K9" s="55"/>
      <c r="L9" s="55"/>
      <c r="M9" s="55"/>
      <c r="N9" s="55"/>
      <c r="O9" s="55"/>
      <c r="P9" s="55"/>
      <c r="Q9" s="55"/>
      <c r="R9" s="55"/>
      <c r="S9" s="55">
        <v>570</v>
      </c>
      <c r="T9" s="55">
        <v>680</v>
      </c>
      <c r="U9" s="51">
        <v>30</v>
      </c>
      <c r="AP9">
        <v>650</v>
      </c>
      <c r="AQ9">
        <v>780</v>
      </c>
      <c r="AR9">
        <v>30</v>
      </c>
    </row>
    <row r="10" spans="1:44" ht="16.5" x14ac:dyDescent="0.25">
      <c r="A10" s="50" t="s">
        <v>2460</v>
      </c>
      <c r="B10" s="55">
        <v>4</v>
      </c>
      <c r="C10" s="55" t="s">
        <v>2417</v>
      </c>
      <c r="D10" s="55" t="s">
        <v>2480</v>
      </c>
      <c r="E10" s="55">
        <v>252</v>
      </c>
      <c r="F10" s="24">
        <v>1.998</v>
      </c>
      <c r="G10" s="55"/>
      <c r="H10" s="55">
        <v>5575</v>
      </c>
      <c r="I10" s="55">
        <v>18</v>
      </c>
      <c r="J10" s="55" t="s">
        <v>2</v>
      </c>
      <c r="K10" s="55"/>
      <c r="L10" s="55"/>
      <c r="M10" s="55"/>
      <c r="N10" s="55"/>
      <c r="O10" s="55"/>
      <c r="P10" s="55"/>
      <c r="Q10" s="55"/>
      <c r="R10" s="55"/>
      <c r="S10" s="55">
        <v>850</v>
      </c>
      <c r="T10" s="55">
        <v>1020</v>
      </c>
      <c r="U10" s="51">
        <v>45</v>
      </c>
      <c r="AP10">
        <v>970</v>
      </c>
      <c r="AQ10">
        <v>1165</v>
      </c>
      <c r="AR10">
        <v>45</v>
      </c>
    </row>
    <row r="11" spans="1:44" ht="16.5" x14ac:dyDescent="0.25">
      <c r="A11" s="50" t="s">
        <v>2460</v>
      </c>
      <c r="B11" s="55">
        <v>5</v>
      </c>
      <c r="C11" s="55" t="s">
        <v>2419</v>
      </c>
      <c r="D11" s="55" t="s">
        <v>2481</v>
      </c>
      <c r="E11" s="55">
        <v>493</v>
      </c>
      <c r="F11" s="24">
        <v>0.222</v>
      </c>
      <c r="G11" s="55" t="s">
        <v>0</v>
      </c>
      <c r="H11" s="55">
        <v>470</v>
      </c>
      <c r="I11" s="55">
        <v>6</v>
      </c>
      <c r="J11" s="55" t="s">
        <v>1</v>
      </c>
      <c r="K11" s="55"/>
      <c r="L11" s="55"/>
      <c r="M11" s="55"/>
      <c r="N11" s="55"/>
      <c r="O11" s="55"/>
      <c r="P11" s="55"/>
      <c r="Q11" s="55"/>
      <c r="R11" s="55"/>
      <c r="S11" s="55">
        <v>200</v>
      </c>
      <c r="T11" s="55">
        <v>250</v>
      </c>
      <c r="U11" s="51">
        <v>7.5</v>
      </c>
      <c r="AP11">
        <v>200</v>
      </c>
      <c r="AQ11">
        <v>250</v>
      </c>
      <c r="AR11">
        <v>7.5</v>
      </c>
    </row>
    <row r="12" spans="1:44" ht="16.5" x14ac:dyDescent="0.25">
      <c r="A12" s="50" t="s">
        <v>2460</v>
      </c>
      <c r="B12" s="55">
        <v>6</v>
      </c>
      <c r="C12" s="55" t="s">
        <v>2417</v>
      </c>
      <c r="D12" s="55" t="s">
        <v>2482</v>
      </c>
      <c r="E12" s="55">
        <v>252</v>
      </c>
      <c r="F12" s="24">
        <v>1.998</v>
      </c>
      <c r="G12" s="55"/>
      <c r="H12" s="55">
        <v>5550</v>
      </c>
      <c r="I12" s="55">
        <v>18</v>
      </c>
      <c r="J12" s="55" t="s">
        <v>2</v>
      </c>
      <c r="K12" s="55"/>
      <c r="L12" s="55"/>
      <c r="M12" s="55"/>
      <c r="N12" s="55"/>
      <c r="O12" s="55"/>
      <c r="P12" s="55"/>
      <c r="Q12" s="55"/>
      <c r="R12" s="55"/>
      <c r="S12" s="55">
        <v>850</v>
      </c>
      <c r="T12" s="55">
        <v>1020</v>
      </c>
      <c r="U12" s="51">
        <v>45</v>
      </c>
      <c r="AP12">
        <v>970</v>
      </c>
      <c r="AQ12">
        <v>1165</v>
      </c>
      <c r="AR12">
        <v>45</v>
      </c>
    </row>
    <row r="13" spans="1:44" ht="16.5" x14ac:dyDescent="0.25">
      <c r="A13" s="50" t="s">
        <v>2460</v>
      </c>
      <c r="B13" s="55">
        <v>7</v>
      </c>
      <c r="C13" s="55" t="s">
        <v>2417</v>
      </c>
      <c r="D13" s="55" t="s">
        <v>2483</v>
      </c>
      <c r="E13" s="55">
        <v>1</v>
      </c>
      <c r="F13" s="24">
        <v>1.5780000000000001</v>
      </c>
      <c r="G13" s="55" t="s">
        <v>2361</v>
      </c>
      <c r="H13" s="55">
        <v>423490</v>
      </c>
      <c r="I13" s="55">
        <v>16</v>
      </c>
      <c r="J13" s="55" t="s">
        <v>2</v>
      </c>
      <c r="K13" s="55"/>
      <c r="L13" s="55"/>
      <c r="M13" s="55"/>
      <c r="N13" s="55"/>
      <c r="O13" s="55"/>
      <c r="P13" s="55"/>
      <c r="Q13" s="55"/>
      <c r="R13" s="55"/>
      <c r="S13" s="55">
        <v>755</v>
      </c>
      <c r="T13" s="55">
        <v>905</v>
      </c>
      <c r="U13" s="51">
        <v>40</v>
      </c>
      <c r="AP13">
        <v>865</v>
      </c>
      <c r="AQ13">
        <v>1035</v>
      </c>
      <c r="AR13">
        <v>40</v>
      </c>
    </row>
    <row r="14" spans="1:44" ht="16.5" x14ac:dyDescent="0.25">
      <c r="A14" s="50" t="s">
        <v>2460</v>
      </c>
      <c r="B14" s="55">
        <v>8</v>
      </c>
      <c r="C14" s="55" t="s">
        <v>2417</v>
      </c>
      <c r="D14" s="55" t="s">
        <v>2484</v>
      </c>
      <c r="E14" s="55">
        <v>252</v>
      </c>
      <c r="F14" s="24">
        <v>1.998</v>
      </c>
      <c r="G14" s="55" t="s">
        <v>0</v>
      </c>
      <c r="H14" s="55">
        <v>2660</v>
      </c>
      <c r="I14" s="55">
        <v>18</v>
      </c>
      <c r="J14" s="55" t="s">
        <v>2</v>
      </c>
      <c r="K14" s="55"/>
      <c r="L14" s="55"/>
      <c r="M14" s="55"/>
      <c r="N14" s="55"/>
      <c r="O14" s="55"/>
      <c r="P14" s="55"/>
      <c r="Q14" s="55"/>
      <c r="R14" s="55"/>
      <c r="S14" s="55">
        <v>850</v>
      </c>
      <c r="T14" s="55">
        <v>1020</v>
      </c>
      <c r="U14" s="51">
        <v>45</v>
      </c>
      <c r="AP14">
        <v>970</v>
      </c>
      <c r="AQ14">
        <v>1165</v>
      </c>
      <c r="AR14">
        <v>45</v>
      </c>
    </row>
    <row r="15" spans="1:44" ht="16.5" x14ac:dyDescent="0.25">
      <c r="A15" s="50" t="s">
        <v>2460</v>
      </c>
      <c r="B15" s="55">
        <v>9</v>
      </c>
      <c r="C15" s="55" t="s">
        <v>2417</v>
      </c>
      <c r="D15" s="55" t="s">
        <v>2485</v>
      </c>
      <c r="E15" s="55">
        <v>56</v>
      </c>
      <c r="F15" s="24">
        <v>1.5780000000000001</v>
      </c>
      <c r="G15" s="55" t="s">
        <v>0</v>
      </c>
      <c r="H15" s="55">
        <v>2400</v>
      </c>
      <c r="I15" s="55">
        <v>16</v>
      </c>
      <c r="J15" s="55" t="s">
        <v>2</v>
      </c>
      <c r="K15" s="55"/>
      <c r="L15" s="55"/>
      <c r="M15" s="55"/>
      <c r="N15" s="55"/>
      <c r="O15" s="55"/>
      <c r="P15" s="55"/>
      <c r="Q15" s="55"/>
      <c r="R15" s="55"/>
      <c r="S15" s="55">
        <v>755</v>
      </c>
      <c r="T15" s="55">
        <v>905</v>
      </c>
      <c r="U15" s="51">
        <v>40</v>
      </c>
      <c r="AP15">
        <v>865</v>
      </c>
      <c r="AQ15">
        <v>1035</v>
      </c>
      <c r="AR15">
        <v>40</v>
      </c>
    </row>
    <row r="16" spans="1:44" ht="33" x14ac:dyDescent="0.25">
      <c r="A16" s="50" t="s">
        <v>2460</v>
      </c>
      <c r="B16" s="55">
        <v>10</v>
      </c>
      <c r="C16" s="55" t="s">
        <v>2417</v>
      </c>
      <c r="D16" s="55" t="s">
        <v>2486</v>
      </c>
      <c r="E16" s="55">
        <v>126</v>
      </c>
      <c r="F16" s="24">
        <v>1.998</v>
      </c>
      <c r="G16" s="55" t="s">
        <v>0</v>
      </c>
      <c r="H16" s="55">
        <v>3300</v>
      </c>
      <c r="I16" s="55">
        <v>18</v>
      </c>
      <c r="J16" s="55" t="s">
        <v>2</v>
      </c>
      <c r="K16" s="55"/>
      <c r="L16" s="55"/>
      <c r="M16" s="55"/>
      <c r="N16" s="55"/>
      <c r="O16" s="55"/>
      <c r="P16" s="55"/>
      <c r="Q16" s="55"/>
      <c r="R16" s="55"/>
      <c r="S16" s="55">
        <v>850</v>
      </c>
      <c r="T16" s="55">
        <v>1020</v>
      </c>
      <c r="U16" s="51">
        <v>45</v>
      </c>
      <c r="AP16">
        <v>970</v>
      </c>
      <c r="AQ16">
        <v>1165</v>
      </c>
      <c r="AR16">
        <v>45</v>
      </c>
    </row>
    <row r="17" spans="1:44" ht="33" x14ac:dyDescent="0.25">
      <c r="A17" s="50" t="s">
        <v>2460</v>
      </c>
      <c r="B17" s="55">
        <v>11</v>
      </c>
      <c r="C17" s="55" t="s">
        <v>2417</v>
      </c>
      <c r="D17" s="55" t="s">
        <v>2487</v>
      </c>
      <c r="E17" s="55">
        <v>126</v>
      </c>
      <c r="F17" s="24">
        <v>1.998</v>
      </c>
      <c r="G17" s="55" t="s">
        <v>0</v>
      </c>
      <c r="H17" s="55">
        <v>2140</v>
      </c>
      <c r="I17" s="55">
        <v>18</v>
      </c>
      <c r="J17" s="55" t="s">
        <v>2</v>
      </c>
      <c r="K17" s="55"/>
      <c r="L17" s="55"/>
      <c r="M17" s="55"/>
      <c r="N17" s="55"/>
      <c r="O17" s="55"/>
      <c r="P17" s="55"/>
      <c r="Q17" s="55"/>
      <c r="R17" s="55"/>
      <c r="S17" s="55">
        <v>850</v>
      </c>
      <c r="T17" s="55">
        <v>1020</v>
      </c>
      <c r="U17" s="51">
        <v>45</v>
      </c>
      <c r="AP17">
        <v>970</v>
      </c>
      <c r="AQ17">
        <v>1165</v>
      </c>
      <c r="AR17">
        <v>45</v>
      </c>
    </row>
    <row r="18" spans="1:44" ht="16.5" x14ac:dyDescent="0.25">
      <c r="A18" s="50" t="s">
        <v>2460</v>
      </c>
      <c r="B18" s="55">
        <v>12</v>
      </c>
      <c r="C18" s="55" t="s">
        <v>2417</v>
      </c>
      <c r="D18" s="55" t="s">
        <v>2488</v>
      </c>
      <c r="E18" s="55">
        <v>56</v>
      </c>
      <c r="F18" s="24">
        <v>0.88800000000000001</v>
      </c>
      <c r="G18" s="55" t="s">
        <v>0</v>
      </c>
      <c r="H18" s="55">
        <v>1560</v>
      </c>
      <c r="I18" s="55">
        <v>12</v>
      </c>
      <c r="J18" s="55" t="s">
        <v>2</v>
      </c>
      <c r="K18" s="55"/>
      <c r="L18" s="55"/>
      <c r="M18" s="55"/>
      <c r="N18" s="55"/>
      <c r="O18" s="55"/>
      <c r="P18" s="55"/>
      <c r="Q18" s="55"/>
      <c r="R18" s="55"/>
      <c r="S18" s="55">
        <v>570</v>
      </c>
      <c r="T18" s="55">
        <v>680</v>
      </c>
      <c r="U18" s="51">
        <v>30</v>
      </c>
      <c r="AP18">
        <v>650</v>
      </c>
      <c r="AQ18">
        <v>780</v>
      </c>
      <c r="AR18">
        <v>30</v>
      </c>
    </row>
    <row r="19" spans="1:44" ht="33" x14ac:dyDescent="0.25">
      <c r="A19" s="50" t="s">
        <v>2460</v>
      </c>
      <c r="B19" s="55" t="s">
        <v>2465</v>
      </c>
      <c r="C19" s="55"/>
      <c r="D19" s="55" t="s">
        <v>2466</v>
      </c>
      <c r="E19" s="55">
        <v>79</v>
      </c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1"/>
    </row>
    <row r="20" spans="1:44" ht="16.5" x14ac:dyDescent="0.25">
      <c r="A20" s="50" t="s">
        <v>2460</v>
      </c>
      <c r="B20" s="55"/>
      <c r="C20" s="29" t="s">
        <v>2463</v>
      </c>
      <c r="D20" s="29" t="s">
        <v>2464</v>
      </c>
      <c r="E20" s="29">
        <v>59.9</v>
      </c>
      <c r="F20" s="29" t="s">
        <v>4</v>
      </c>
      <c r="G20" s="29" t="s">
        <v>3</v>
      </c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1"/>
    </row>
    <row r="21" spans="1:44" ht="16.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44" ht="16.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44" ht="16.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44" ht="33" x14ac:dyDescent="0.25">
      <c r="A24" s="23" t="s">
        <v>2737</v>
      </c>
      <c r="B24" s="24" t="s">
        <v>2737</v>
      </c>
      <c r="C24" s="24" t="s">
        <v>2433</v>
      </c>
      <c r="D24" s="24" t="s">
        <v>2466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/>
    </row>
    <row r="25" spans="1:44" ht="33" x14ac:dyDescent="0.25">
      <c r="A25" s="23" t="s">
        <v>2737</v>
      </c>
      <c r="B25" s="24" t="s">
        <v>2738</v>
      </c>
      <c r="C25" s="24" t="s">
        <v>2419</v>
      </c>
      <c r="D25" s="24" t="s">
        <v>2467</v>
      </c>
      <c r="E25" s="24">
        <v>9</v>
      </c>
      <c r="F25" s="24">
        <v>0.39500000000000002</v>
      </c>
      <c r="G25" s="24"/>
      <c r="H25" s="24">
        <v>395</v>
      </c>
      <c r="I25" s="24">
        <v>8</v>
      </c>
      <c r="J25" s="24" t="s">
        <v>1</v>
      </c>
      <c r="K25" s="24"/>
      <c r="L25" s="24"/>
      <c r="M25" s="24"/>
      <c r="N25" s="24"/>
      <c r="O25" s="24"/>
      <c r="P25" s="24"/>
      <c r="Q25" s="24"/>
      <c r="R25" s="24"/>
      <c r="S25" s="24" t="s">
        <v>2462</v>
      </c>
      <c r="T25" s="24" t="s">
        <v>2462</v>
      </c>
      <c r="U25" s="25">
        <v>10</v>
      </c>
    </row>
    <row r="26" spans="1:44" ht="33.75" thickBot="1" x14ac:dyDescent="0.3">
      <c r="A26" s="97" t="s">
        <v>2737</v>
      </c>
      <c r="B26" s="34" t="s">
        <v>2739</v>
      </c>
      <c r="C26" s="34" t="s">
        <v>2419</v>
      </c>
      <c r="D26" s="34" t="s">
        <v>2468</v>
      </c>
      <c r="E26" s="34">
        <v>2</v>
      </c>
      <c r="F26" s="34">
        <v>0.39500000000000002</v>
      </c>
      <c r="G26" s="34"/>
      <c r="H26" s="34">
        <v>1280</v>
      </c>
      <c r="I26" s="34">
        <v>8</v>
      </c>
      <c r="J26" s="34" t="s">
        <v>1</v>
      </c>
      <c r="K26" s="34"/>
      <c r="L26" s="34"/>
      <c r="M26" s="34"/>
      <c r="N26" s="34"/>
      <c r="O26" s="34"/>
      <c r="P26" s="34"/>
      <c r="Q26" s="34"/>
      <c r="R26" s="34"/>
      <c r="S26" s="34" t="s">
        <v>2462</v>
      </c>
      <c r="T26" s="34" t="s">
        <v>2462</v>
      </c>
      <c r="U26" s="98">
        <v>10</v>
      </c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6 H2:Q2 K1 R1:S1 S2:U2">
    <cfRule type="containsText" dxfId="313" priority="1" stopIfTrue="1" operator="containsText" text="С ЛИСТА">
      <formula>NOT(ISERROR(SEARCH("С ЛИСТА",A1)))</formula>
    </cfRule>
    <cfRule type="containsText" dxfId="312" priority="2" stopIfTrue="1" operator="containsText" text="ИЗ ФАЙЛА">
      <formula>NOT(ISERROR(SEARCH("ИЗ ФАЙЛА",A1)))</formula>
    </cfRule>
    <cfRule type="containsText" dxfId="311" priority="3" stopIfTrue="1" operator="containsText" text="!!!">
      <formula>NOT(ISERROR(SEARCH("!!!",A1)))</formula>
    </cfRule>
    <cfRule type="containsText" dxfId="310" priority="4" stopIfTrue="1" operator="containsText" text=" Изделия ">
      <formula>NOT(ISERROR(SEARCH(" Изделия ",A1)))</formula>
    </cfRule>
    <cfRule type="containsText" dxfId="309" priority="5" stopIfTrue="1" operator="containsText" text=" Прокат ">
      <formula>NOT(ISERROR(SEARCH(" Прокат ",A1)))</formula>
    </cfRule>
    <cfRule type="containsText" dxfId="308" priority="6" stopIfTrue="1" operator="containsText" text=" Сборочные единицы ">
      <formula>NOT(ISERROR(SEARCH(" Сборочные единицы ",A1)))</formula>
    </cfRule>
    <cfRule type="containsText" dxfId="307" priority="7" stopIfTrue="1" operator="containsText" text=" Материалы ">
      <formula>NOT(ISERROR(SEARCH(" Материалы ",A1)))</formula>
    </cfRule>
    <cfRule type="containsText" dxfId="306" priority="8" stopIfTrue="1" operator="containsText" text=", на ">
      <formula>NOT(ISERROR(SEARCH(", на ",A1)))</formula>
    </cfRule>
    <cfRule type="containsText" dxfId="30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AR26"/>
  <sheetViews>
    <sheetView zoomScale="85" zoomScaleNormal="85" workbookViewId="0">
      <selection activeCell="C27" sqref="C2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62" t="s">
        <v>2436</v>
      </c>
      <c r="B1" s="56" t="s">
        <v>2412</v>
      </c>
      <c r="C1" s="56" t="s">
        <v>2413</v>
      </c>
      <c r="D1" s="56" t="s">
        <v>2414</v>
      </c>
      <c r="E1" s="56" t="s">
        <v>2437</v>
      </c>
      <c r="F1" s="56" t="s">
        <v>2438</v>
      </c>
      <c r="G1" s="56" t="s">
        <v>2439</v>
      </c>
      <c r="H1" s="58" t="s">
        <v>2441</v>
      </c>
      <c r="I1" s="59"/>
      <c r="J1" s="60"/>
      <c r="K1" s="58" t="s">
        <v>2430</v>
      </c>
      <c r="L1" s="59"/>
      <c r="M1" s="59"/>
      <c r="N1" s="59"/>
      <c r="O1" s="59"/>
      <c r="P1" s="59"/>
      <c r="Q1" s="60"/>
      <c r="R1" s="56" t="s">
        <v>2440</v>
      </c>
      <c r="S1" s="58" t="s">
        <v>2452</v>
      </c>
      <c r="T1" s="59"/>
      <c r="U1" s="61"/>
    </row>
    <row r="2" spans="1:44" ht="66" x14ac:dyDescent="0.25">
      <c r="A2" s="63"/>
      <c r="B2" s="57"/>
      <c r="C2" s="57"/>
      <c r="D2" s="57"/>
      <c r="E2" s="57"/>
      <c r="F2" s="57"/>
      <c r="G2" s="57"/>
      <c r="H2" s="55" t="s">
        <v>2442</v>
      </c>
      <c r="I2" s="55" t="s">
        <v>2443</v>
      </c>
      <c r="J2" s="55" t="s">
        <v>2444</v>
      </c>
      <c r="K2" s="55" t="s">
        <v>2445</v>
      </c>
      <c r="L2" s="55" t="s">
        <v>2446</v>
      </c>
      <c r="M2" s="55" t="s">
        <v>2447</v>
      </c>
      <c r="N2" s="55" t="s">
        <v>2448</v>
      </c>
      <c r="O2" s="55" t="s">
        <v>2449</v>
      </c>
      <c r="P2" s="55" t="s">
        <v>2450</v>
      </c>
      <c r="Q2" s="55" t="s">
        <v>2451</v>
      </c>
      <c r="R2" s="57"/>
      <c r="S2" s="55" t="s">
        <v>2453</v>
      </c>
      <c r="T2" s="55" t="s">
        <v>2454</v>
      </c>
      <c r="U2" s="51" t="s">
        <v>2455</v>
      </c>
    </row>
    <row r="3" spans="1:44" ht="16.5" x14ac:dyDescent="0.25">
      <c r="A3" s="23" t="str">
        <f>A6</f>
        <v>Пс6.1.1</v>
      </c>
      <c r="B3" s="24" t="s">
        <v>2457</v>
      </c>
      <c r="C3" s="24" t="s">
        <v>2458</v>
      </c>
      <c r="D3" s="24" t="s">
        <v>2490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44" ht="16.5" x14ac:dyDescent="0.25">
      <c r="A4" s="23" t="str">
        <f>A6</f>
        <v>Пс6.1.1</v>
      </c>
      <c r="B4" s="24" t="s">
        <v>2457</v>
      </c>
      <c r="C4" s="24" t="s">
        <v>2459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44" ht="16.5" x14ac:dyDescent="0.25">
      <c r="A5" s="23" t="s">
        <v>2457</v>
      </c>
      <c r="B5" s="24" t="s">
        <v>2457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44" ht="33" x14ac:dyDescent="0.25">
      <c r="A6" s="26" t="s">
        <v>2460</v>
      </c>
      <c r="B6" s="27" t="s">
        <v>2460</v>
      </c>
      <c r="C6" s="27"/>
      <c r="D6" s="27" t="s">
        <v>2461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44" ht="16.5" x14ac:dyDescent="0.25">
      <c r="A7" s="50" t="s">
        <v>2460</v>
      </c>
      <c r="B7" s="55">
        <v>1</v>
      </c>
      <c r="C7" s="55" t="s">
        <v>2417</v>
      </c>
      <c r="D7" s="55" t="s">
        <v>2477</v>
      </c>
      <c r="E7" s="55">
        <v>1</v>
      </c>
      <c r="F7" s="24">
        <v>0.88800000000000001</v>
      </c>
      <c r="G7" s="55" t="s">
        <v>2361</v>
      </c>
      <c r="H7" s="55">
        <v>815860</v>
      </c>
      <c r="I7" s="55">
        <v>12</v>
      </c>
      <c r="J7" s="55" t="s">
        <v>2</v>
      </c>
      <c r="K7" s="55"/>
      <c r="L7" s="55"/>
      <c r="M7" s="55"/>
      <c r="N7" s="55"/>
      <c r="O7" s="55"/>
      <c r="P7" s="55"/>
      <c r="Q7" s="55"/>
      <c r="R7" s="55"/>
      <c r="S7" s="55">
        <v>570</v>
      </c>
      <c r="T7" s="55">
        <v>680</v>
      </c>
      <c r="U7" s="51">
        <v>30</v>
      </c>
      <c r="AP7">
        <v>650</v>
      </c>
      <c r="AQ7">
        <v>780</v>
      </c>
      <c r="AR7">
        <v>30</v>
      </c>
    </row>
    <row r="8" spans="1:44" ht="16.5" x14ac:dyDescent="0.25">
      <c r="A8" s="50" t="s">
        <v>2460</v>
      </c>
      <c r="B8" s="55">
        <v>2</v>
      </c>
      <c r="C8" s="55" t="s">
        <v>2417</v>
      </c>
      <c r="D8" s="55" t="s">
        <v>2478</v>
      </c>
      <c r="E8" s="55">
        <v>126</v>
      </c>
      <c r="F8" s="24">
        <v>1.998</v>
      </c>
      <c r="G8" s="55" t="s">
        <v>0</v>
      </c>
      <c r="H8" s="55">
        <v>2610</v>
      </c>
      <c r="I8" s="55">
        <v>18</v>
      </c>
      <c r="J8" s="55" t="s">
        <v>2</v>
      </c>
      <c r="K8" s="55"/>
      <c r="L8" s="55"/>
      <c r="M8" s="55"/>
      <c r="N8" s="55"/>
      <c r="O8" s="55"/>
      <c r="P8" s="55"/>
      <c r="Q8" s="55"/>
      <c r="R8" s="55"/>
      <c r="S8" s="55">
        <v>850</v>
      </c>
      <c r="T8" s="55">
        <v>1020</v>
      </c>
      <c r="U8" s="51">
        <v>45</v>
      </c>
      <c r="AP8">
        <v>970</v>
      </c>
      <c r="AQ8">
        <v>1165</v>
      </c>
      <c r="AR8">
        <v>45</v>
      </c>
    </row>
    <row r="9" spans="1:44" ht="16.5" x14ac:dyDescent="0.25">
      <c r="A9" s="50" t="s">
        <v>2460</v>
      </c>
      <c r="B9" s="55">
        <v>3</v>
      </c>
      <c r="C9" s="55" t="s">
        <v>2417</v>
      </c>
      <c r="D9" s="55" t="s">
        <v>2479</v>
      </c>
      <c r="E9" s="55">
        <v>56</v>
      </c>
      <c r="F9" s="24">
        <v>0.88800000000000001</v>
      </c>
      <c r="G9" s="55" t="s">
        <v>0</v>
      </c>
      <c r="H9" s="55">
        <v>1850</v>
      </c>
      <c r="I9" s="55">
        <v>12</v>
      </c>
      <c r="J9" s="55" t="s">
        <v>2</v>
      </c>
      <c r="K9" s="55"/>
      <c r="L9" s="55"/>
      <c r="M9" s="55"/>
      <c r="N9" s="55"/>
      <c r="O9" s="55"/>
      <c r="P9" s="55"/>
      <c r="Q9" s="55"/>
      <c r="R9" s="55"/>
      <c r="S9" s="55">
        <v>570</v>
      </c>
      <c r="T9" s="55">
        <v>680</v>
      </c>
      <c r="U9" s="51">
        <v>30</v>
      </c>
      <c r="AP9">
        <v>650</v>
      </c>
      <c r="AQ9">
        <v>780</v>
      </c>
      <c r="AR9">
        <v>30</v>
      </c>
    </row>
    <row r="10" spans="1:44" ht="16.5" x14ac:dyDescent="0.25">
      <c r="A10" s="50" t="s">
        <v>2460</v>
      </c>
      <c r="B10" s="55">
        <v>4</v>
      </c>
      <c r="C10" s="55" t="s">
        <v>2417</v>
      </c>
      <c r="D10" s="55" t="s">
        <v>2480</v>
      </c>
      <c r="E10" s="55">
        <v>252</v>
      </c>
      <c r="F10" s="24">
        <v>1.998</v>
      </c>
      <c r="G10" s="55"/>
      <c r="H10" s="55">
        <v>5575</v>
      </c>
      <c r="I10" s="55">
        <v>18</v>
      </c>
      <c r="J10" s="55" t="s">
        <v>2</v>
      </c>
      <c r="K10" s="55"/>
      <c r="L10" s="55"/>
      <c r="M10" s="55"/>
      <c r="N10" s="55"/>
      <c r="O10" s="55"/>
      <c r="P10" s="55"/>
      <c r="Q10" s="55"/>
      <c r="R10" s="55"/>
      <c r="S10" s="55">
        <v>850</v>
      </c>
      <c r="T10" s="55">
        <v>1020</v>
      </c>
      <c r="U10" s="51">
        <v>45</v>
      </c>
      <c r="AP10">
        <v>970</v>
      </c>
      <c r="AQ10">
        <v>1165</v>
      </c>
      <c r="AR10">
        <v>45</v>
      </c>
    </row>
    <row r="11" spans="1:44" ht="16.5" x14ac:dyDescent="0.25">
      <c r="A11" s="50" t="s">
        <v>2460</v>
      </c>
      <c r="B11" s="55">
        <v>5</v>
      </c>
      <c r="C11" s="55" t="s">
        <v>2419</v>
      </c>
      <c r="D11" s="55" t="s">
        <v>2481</v>
      </c>
      <c r="E11" s="55">
        <v>493</v>
      </c>
      <c r="F11" s="24">
        <v>0.222</v>
      </c>
      <c r="G11" s="55" t="s">
        <v>0</v>
      </c>
      <c r="H11" s="55">
        <v>470</v>
      </c>
      <c r="I11" s="55">
        <v>6</v>
      </c>
      <c r="J11" s="55" t="s">
        <v>1</v>
      </c>
      <c r="K11" s="55"/>
      <c r="L11" s="55"/>
      <c r="M11" s="55"/>
      <c r="N11" s="55"/>
      <c r="O11" s="55"/>
      <c r="P11" s="55"/>
      <c r="Q11" s="55"/>
      <c r="R11" s="55"/>
      <c r="S11" s="55">
        <v>200</v>
      </c>
      <c r="T11" s="55">
        <v>250</v>
      </c>
      <c r="U11" s="51">
        <v>7.5</v>
      </c>
      <c r="AP11">
        <v>200</v>
      </c>
      <c r="AQ11">
        <v>250</v>
      </c>
      <c r="AR11">
        <v>7.5</v>
      </c>
    </row>
    <row r="12" spans="1:44" ht="16.5" x14ac:dyDescent="0.25">
      <c r="A12" s="50" t="s">
        <v>2460</v>
      </c>
      <c r="B12" s="55">
        <v>6</v>
      </c>
      <c r="C12" s="55" t="s">
        <v>2417</v>
      </c>
      <c r="D12" s="55" t="s">
        <v>2482</v>
      </c>
      <c r="E12" s="55">
        <v>252</v>
      </c>
      <c r="F12" s="24">
        <v>1.998</v>
      </c>
      <c r="G12" s="55"/>
      <c r="H12" s="55">
        <v>5550</v>
      </c>
      <c r="I12" s="55">
        <v>18</v>
      </c>
      <c r="J12" s="55" t="s">
        <v>2</v>
      </c>
      <c r="K12" s="55"/>
      <c r="L12" s="55"/>
      <c r="M12" s="55"/>
      <c r="N12" s="55"/>
      <c r="O12" s="55"/>
      <c r="P12" s="55"/>
      <c r="Q12" s="55"/>
      <c r="R12" s="55"/>
      <c r="S12" s="55">
        <v>850</v>
      </c>
      <c r="T12" s="55">
        <v>1020</v>
      </c>
      <c r="U12" s="51">
        <v>45</v>
      </c>
      <c r="AP12">
        <v>970</v>
      </c>
      <c r="AQ12">
        <v>1165</v>
      </c>
      <c r="AR12">
        <v>45</v>
      </c>
    </row>
    <row r="13" spans="1:44" ht="16.5" x14ac:dyDescent="0.25">
      <c r="A13" s="50" t="s">
        <v>2460</v>
      </c>
      <c r="B13" s="55">
        <v>7</v>
      </c>
      <c r="C13" s="55" t="s">
        <v>2417</v>
      </c>
      <c r="D13" s="55" t="s">
        <v>2483</v>
      </c>
      <c r="E13" s="55">
        <v>1</v>
      </c>
      <c r="F13" s="24">
        <v>1.5780000000000001</v>
      </c>
      <c r="G13" s="55" t="s">
        <v>2361</v>
      </c>
      <c r="H13" s="55">
        <v>423490</v>
      </c>
      <c r="I13" s="55">
        <v>16</v>
      </c>
      <c r="J13" s="55" t="s">
        <v>2</v>
      </c>
      <c r="K13" s="55"/>
      <c r="L13" s="55"/>
      <c r="M13" s="55"/>
      <c r="N13" s="55"/>
      <c r="O13" s="55"/>
      <c r="P13" s="55"/>
      <c r="Q13" s="55"/>
      <c r="R13" s="55"/>
      <c r="S13" s="55">
        <v>755</v>
      </c>
      <c r="T13" s="55">
        <v>905</v>
      </c>
      <c r="U13" s="51">
        <v>40</v>
      </c>
      <c r="AP13">
        <v>865</v>
      </c>
      <c r="AQ13">
        <v>1035</v>
      </c>
      <c r="AR13">
        <v>40</v>
      </c>
    </row>
    <row r="14" spans="1:44" ht="16.5" x14ac:dyDescent="0.25">
      <c r="A14" s="50" t="s">
        <v>2460</v>
      </c>
      <c r="B14" s="55">
        <v>8</v>
      </c>
      <c r="C14" s="55" t="s">
        <v>2417</v>
      </c>
      <c r="D14" s="55" t="s">
        <v>2484</v>
      </c>
      <c r="E14" s="55">
        <v>252</v>
      </c>
      <c r="F14" s="24">
        <v>1.998</v>
      </c>
      <c r="G14" s="55" t="s">
        <v>0</v>
      </c>
      <c r="H14" s="55">
        <v>2660</v>
      </c>
      <c r="I14" s="55">
        <v>18</v>
      </c>
      <c r="J14" s="55" t="s">
        <v>2</v>
      </c>
      <c r="K14" s="55"/>
      <c r="L14" s="55"/>
      <c r="M14" s="55"/>
      <c r="N14" s="55"/>
      <c r="O14" s="55"/>
      <c r="P14" s="55"/>
      <c r="Q14" s="55"/>
      <c r="R14" s="55"/>
      <c r="S14" s="55">
        <v>850</v>
      </c>
      <c r="T14" s="55">
        <v>1020</v>
      </c>
      <c r="U14" s="51">
        <v>45</v>
      </c>
      <c r="AP14">
        <v>970</v>
      </c>
      <c r="AQ14">
        <v>1165</v>
      </c>
      <c r="AR14">
        <v>45</v>
      </c>
    </row>
    <row r="15" spans="1:44" ht="16.5" x14ac:dyDescent="0.25">
      <c r="A15" s="50" t="s">
        <v>2460</v>
      </c>
      <c r="B15" s="55">
        <v>9</v>
      </c>
      <c r="C15" s="55" t="s">
        <v>2417</v>
      </c>
      <c r="D15" s="55" t="s">
        <v>2485</v>
      </c>
      <c r="E15" s="55">
        <v>56</v>
      </c>
      <c r="F15" s="24">
        <v>1.5780000000000001</v>
      </c>
      <c r="G15" s="55" t="s">
        <v>0</v>
      </c>
      <c r="H15" s="55">
        <v>2400</v>
      </c>
      <c r="I15" s="55">
        <v>16</v>
      </c>
      <c r="J15" s="55" t="s">
        <v>2</v>
      </c>
      <c r="K15" s="55"/>
      <c r="L15" s="55"/>
      <c r="M15" s="55"/>
      <c r="N15" s="55"/>
      <c r="O15" s="55"/>
      <c r="P15" s="55"/>
      <c r="Q15" s="55"/>
      <c r="R15" s="55"/>
      <c r="S15" s="55">
        <v>755</v>
      </c>
      <c r="T15" s="55">
        <v>905</v>
      </c>
      <c r="U15" s="51">
        <v>40</v>
      </c>
      <c r="AP15">
        <v>865</v>
      </c>
      <c r="AQ15">
        <v>1035</v>
      </c>
      <c r="AR15">
        <v>40</v>
      </c>
    </row>
    <row r="16" spans="1:44" ht="33" x14ac:dyDescent="0.25">
      <c r="A16" s="50" t="s">
        <v>2460</v>
      </c>
      <c r="B16" s="55">
        <v>10</v>
      </c>
      <c r="C16" s="55" t="s">
        <v>2417</v>
      </c>
      <c r="D16" s="55" t="s">
        <v>2486</v>
      </c>
      <c r="E16" s="55">
        <v>126</v>
      </c>
      <c r="F16" s="24">
        <v>1.998</v>
      </c>
      <c r="G16" s="55" t="s">
        <v>0</v>
      </c>
      <c r="H16" s="55">
        <v>3300</v>
      </c>
      <c r="I16" s="55">
        <v>18</v>
      </c>
      <c r="J16" s="55" t="s">
        <v>2</v>
      </c>
      <c r="K16" s="55"/>
      <c r="L16" s="55"/>
      <c r="M16" s="55"/>
      <c r="N16" s="55"/>
      <c r="O16" s="55"/>
      <c r="P16" s="55"/>
      <c r="Q16" s="55"/>
      <c r="R16" s="55"/>
      <c r="S16" s="55">
        <v>850</v>
      </c>
      <c r="T16" s="55">
        <v>1020</v>
      </c>
      <c r="U16" s="51">
        <v>45</v>
      </c>
      <c r="AP16">
        <v>970</v>
      </c>
      <c r="AQ16">
        <v>1165</v>
      </c>
      <c r="AR16">
        <v>45</v>
      </c>
    </row>
    <row r="17" spans="1:44" ht="33" x14ac:dyDescent="0.25">
      <c r="A17" s="50" t="s">
        <v>2460</v>
      </c>
      <c r="B17" s="55">
        <v>11</v>
      </c>
      <c r="C17" s="55" t="s">
        <v>2417</v>
      </c>
      <c r="D17" s="55" t="s">
        <v>2487</v>
      </c>
      <c r="E17" s="55">
        <v>126</v>
      </c>
      <c r="F17" s="24">
        <v>1.998</v>
      </c>
      <c r="G17" s="55" t="s">
        <v>0</v>
      </c>
      <c r="H17" s="55">
        <v>2140</v>
      </c>
      <c r="I17" s="55">
        <v>18</v>
      </c>
      <c r="J17" s="55" t="s">
        <v>2</v>
      </c>
      <c r="K17" s="55"/>
      <c r="L17" s="55"/>
      <c r="M17" s="55"/>
      <c r="N17" s="55"/>
      <c r="O17" s="55"/>
      <c r="P17" s="55"/>
      <c r="Q17" s="55"/>
      <c r="R17" s="55"/>
      <c r="S17" s="55">
        <v>850</v>
      </c>
      <c r="T17" s="55">
        <v>1020</v>
      </c>
      <c r="U17" s="51">
        <v>45</v>
      </c>
      <c r="AP17">
        <v>970</v>
      </c>
      <c r="AQ17">
        <v>1165</v>
      </c>
      <c r="AR17">
        <v>45</v>
      </c>
    </row>
    <row r="18" spans="1:44" ht="16.5" x14ac:dyDescent="0.25">
      <c r="A18" s="50" t="s">
        <v>2460</v>
      </c>
      <c r="B18" s="55">
        <v>12</v>
      </c>
      <c r="C18" s="55" t="s">
        <v>2417</v>
      </c>
      <c r="D18" s="55" t="s">
        <v>2488</v>
      </c>
      <c r="E18" s="55">
        <v>56</v>
      </c>
      <c r="F18" s="24">
        <v>0.88800000000000001</v>
      </c>
      <c r="G18" s="55" t="s">
        <v>0</v>
      </c>
      <c r="H18" s="55">
        <v>1560</v>
      </c>
      <c r="I18" s="55">
        <v>12</v>
      </c>
      <c r="J18" s="55" t="s">
        <v>2</v>
      </c>
      <c r="K18" s="55"/>
      <c r="L18" s="55"/>
      <c r="M18" s="55"/>
      <c r="N18" s="55"/>
      <c r="O18" s="55"/>
      <c r="P18" s="55"/>
      <c r="Q18" s="55"/>
      <c r="R18" s="55"/>
      <c r="S18" s="55">
        <v>570</v>
      </c>
      <c r="T18" s="55">
        <v>680</v>
      </c>
      <c r="U18" s="51">
        <v>30</v>
      </c>
      <c r="AP18">
        <v>650</v>
      </c>
      <c r="AQ18">
        <v>780</v>
      </c>
      <c r="AR18">
        <v>30</v>
      </c>
    </row>
    <row r="19" spans="1:44" ht="33" x14ac:dyDescent="0.25">
      <c r="A19" s="50" t="s">
        <v>2460</v>
      </c>
      <c r="B19" s="55" t="s">
        <v>2465</v>
      </c>
      <c r="C19" s="55"/>
      <c r="D19" s="55" t="s">
        <v>2466</v>
      </c>
      <c r="E19" s="55">
        <v>79</v>
      </c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1"/>
    </row>
    <row r="20" spans="1:44" ht="16.5" x14ac:dyDescent="0.25">
      <c r="A20" s="50" t="s">
        <v>2460</v>
      </c>
      <c r="B20" s="55"/>
      <c r="C20" s="29" t="s">
        <v>2463</v>
      </c>
      <c r="D20" s="29" t="s">
        <v>2464</v>
      </c>
      <c r="E20" s="29">
        <v>59.9</v>
      </c>
      <c r="F20" s="29" t="s">
        <v>4</v>
      </c>
      <c r="G20" s="29" t="s">
        <v>3</v>
      </c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1"/>
    </row>
    <row r="21" spans="1:44" ht="16.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44" ht="16.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44" ht="16.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44" ht="33" x14ac:dyDescent="0.25">
      <c r="A24" s="31" t="s">
        <v>2737</v>
      </c>
      <c r="B24" s="32" t="s">
        <v>2737</v>
      </c>
      <c r="C24" s="32" t="s">
        <v>2433</v>
      </c>
      <c r="D24" s="32" t="s">
        <v>2466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3"/>
    </row>
    <row r="25" spans="1:44" ht="33" x14ac:dyDescent="0.25">
      <c r="A25" s="50" t="s">
        <v>2737</v>
      </c>
      <c r="B25" s="55" t="s">
        <v>2738</v>
      </c>
      <c r="C25" s="55" t="s">
        <v>2419</v>
      </c>
      <c r="D25" s="55" t="s">
        <v>2467</v>
      </c>
      <c r="E25" s="55">
        <v>9</v>
      </c>
      <c r="F25" s="24">
        <v>0.39500000000000002</v>
      </c>
      <c r="G25" s="55"/>
      <c r="H25" s="55">
        <v>395</v>
      </c>
      <c r="I25" s="55">
        <v>8</v>
      </c>
      <c r="J25" s="55" t="s">
        <v>1</v>
      </c>
      <c r="K25" s="55"/>
      <c r="L25" s="55"/>
      <c r="M25" s="55"/>
      <c r="N25" s="55"/>
      <c r="O25" s="55"/>
      <c r="P25" s="55"/>
      <c r="Q25" s="55"/>
      <c r="R25" s="55"/>
      <c r="S25" s="55" t="s">
        <v>2462</v>
      </c>
      <c r="T25" s="55" t="s">
        <v>2462</v>
      </c>
      <c r="U25" s="51">
        <v>10</v>
      </c>
    </row>
    <row r="26" spans="1:44" ht="33.75" thickBot="1" x14ac:dyDescent="0.3">
      <c r="A26" s="47" t="s">
        <v>2737</v>
      </c>
      <c r="B26" s="48" t="s">
        <v>2739</v>
      </c>
      <c r="C26" s="48" t="s">
        <v>2419</v>
      </c>
      <c r="D26" s="48" t="s">
        <v>2468</v>
      </c>
      <c r="E26" s="48">
        <v>2</v>
      </c>
      <c r="F26" s="34">
        <v>0.39500000000000002</v>
      </c>
      <c r="G26" s="48"/>
      <c r="H26" s="48">
        <v>1280</v>
      </c>
      <c r="I26" s="48">
        <v>8</v>
      </c>
      <c r="J26" s="48" t="s">
        <v>1</v>
      </c>
      <c r="K26" s="48"/>
      <c r="L26" s="48"/>
      <c r="M26" s="48"/>
      <c r="N26" s="48"/>
      <c r="O26" s="48"/>
      <c r="P26" s="48"/>
      <c r="Q26" s="48"/>
      <c r="R26" s="48"/>
      <c r="S26" s="48" t="s">
        <v>2462</v>
      </c>
      <c r="T26" s="48" t="s">
        <v>2462</v>
      </c>
      <c r="U26" s="49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6 H2:Q2 K1 R1:S1 S2:U2">
    <cfRule type="containsText" dxfId="322" priority="1" stopIfTrue="1" operator="containsText" text="С ЛИСТА">
      <formula>NOT(ISERROR(SEARCH("С ЛИСТА",A1)))</formula>
    </cfRule>
    <cfRule type="containsText" dxfId="321" priority="2" stopIfTrue="1" operator="containsText" text="ИЗ ФАЙЛА">
      <formula>NOT(ISERROR(SEARCH("ИЗ ФАЙЛА",A1)))</formula>
    </cfRule>
    <cfRule type="containsText" dxfId="320" priority="3" stopIfTrue="1" operator="containsText" text="!!!">
      <formula>NOT(ISERROR(SEARCH("!!!",A1)))</formula>
    </cfRule>
    <cfRule type="containsText" dxfId="319" priority="4" stopIfTrue="1" operator="containsText" text=" Изделия ">
      <formula>NOT(ISERROR(SEARCH(" Изделия ",A1)))</formula>
    </cfRule>
    <cfRule type="containsText" dxfId="318" priority="5" stopIfTrue="1" operator="containsText" text=" Прокат ">
      <formula>NOT(ISERROR(SEARCH(" Прокат ",A1)))</formula>
    </cfRule>
    <cfRule type="containsText" dxfId="317" priority="6" stopIfTrue="1" operator="containsText" text=" Сборочные единицы ">
      <formula>NOT(ISERROR(SEARCH(" Сборочные единицы ",A1)))</formula>
    </cfRule>
    <cfRule type="containsText" dxfId="316" priority="7" stopIfTrue="1" operator="containsText" text=" Материалы ">
      <formula>NOT(ISERROR(SEARCH(" Материалы ",A1)))</formula>
    </cfRule>
    <cfRule type="containsText" dxfId="315" priority="8" stopIfTrue="1" operator="containsText" text=", на ">
      <formula>NOT(ISERROR(SEARCH(", на ",A1)))</formula>
    </cfRule>
    <cfRule type="containsText" dxfId="31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17"/>
  <sheetViews>
    <sheetView tabSelected="1" workbookViewId="0">
      <selection activeCell="Y2" sqref="Y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2" t="s">
        <v>2436</v>
      </c>
      <c r="B1" s="56" t="s">
        <v>2412</v>
      </c>
      <c r="C1" s="56" t="s">
        <v>2413</v>
      </c>
      <c r="D1" s="56" t="s">
        <v>2414</v>
      </c>
      <c r="E1" s="56" t="s">
        <v>2437</v>
      </c>
      <c r="F1" s="56" t="s">
        <v>2438</v>
      </c>
      <c r="G1" s="56" t="s">
        <v>2439</v>
      </c>
      <c r="H1" s="58" t="s">
        <v>2441</v>
      </c>
      <c r="I1" s="59"/>
      <c r="J1" s="60"/>
      <c r="K1" s="58" t="s">
        <v>2430</v>
      </c>
      <c r="L1" s="59"/>
      <c r="M1" s="59"/>
      <c r="N1" s="59"/>
      <c r="O1" s="59"/>
      <c r="P1" s="59"/>
      <c r="Q1" s="60"/>
      <c r="R1" s="56" t="s">
        <v>2440</v>
      </c>
      <c r="S1" s="58" t="s">
        <v>2452</v>
      </c>
      <c r="T1" s="59"/>
      <c r="U1" s="61"/>
    </row>
    <row r="2" spans="1:21" ht="66" x14ac:dyDescent="0.25">
      <c r="A2" s="63"/>
      <c r="B2" s="57"/>
      <c r="C2" s="57"/>
      <c r="D2" s="57"/>
      <c r="E2" s="57"/>
      <c r="F2" s="57"/>
      <c r="G2" s="57"/>
      <c r="H2" s="55" t="s">
        <v>2442</v>
      </c>
      <c r="I2" s="55" t="s">
        <v>2443</v>
      </c>
      <c r="J2" s="55" t="s">
        <v>2444</v>
      </c>
      <c r="K2" s="55" t="s">
        <v>2445</v>
      </c>
      <c r="L2" s="55" t="s">
        <v>2446</v>
      </c>
      <c r="M2" s="55" t="s">
        <v>2447</v>
      </c>
      <c r="N2" s="55" t="s">
        <v>2448</v>
      </c>
      <c r="O2" s="55" t="s">
        <v>2449</v>
      </c>
      <c r="P2" s="55" t="s">
        <v>2450</v>
      </c>
      <c r="Q2" s="55" t="s">
        <v>2451</v>
      </c>
      <c r="R2" s="57"/>
      <c r="S2" s="55" t="s">
        <v>2453</v>
      </c>
      <c r="T2" s="55" t="s">
        <v>2454</v>
      </c>
      <c r="U2" s="51" t="s">
        <v>2455</v>
      </c>
    </row>
    <row r="3" spans="1:21" ht="16.5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</row>
    <row r="4" spans="1:21" ht="16.5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</row>
    <row r="5" spans="1:21" ht="33" x14ac:dyDescent="0.25">
      <c r="A5" s="96" t="s">
        <v>2465</v>
      </c>
      <c r="B5" s="32" t="s">
        <v>2465</v>
      </c>
      <c r="C5" s="32" t="s">
        <v>2433</v>
      </c>
      <c r="D5" s="32" t="s">
        <v>2466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3"/>
    </row>
    <row r="6" spans="1:21" ht="33" x14ac:dyDescent="0.25">
      <c r="A6" s="50" t="s">
        <v>2465</v>
      </c>
      <c r="B6" s="55">
        <v>1</v>
      </c>
      <c r="C6" s="55" t="s">
        <v>2419</v>
      </c>
      <c r="D6" s="55" t="s">
        <v>2467</v>
      </c>
      <c r="E6" s="55">
        <v>9</v>
      </c>
      <c r="F6" s="24">
        <v>0.39500000000000002</v>
      </c>
      <c r="G6" s="55"/>
      <c r="H6" s="55">
        <v>395</v>
      </c>
      <c r="I6" s="55">
        <v>8</v>
      </c>
      <c r="J6" s="55" t="s">
        <v>1</v>
      </c>
      <c r="K6" s="55"/>
      <c r="L6" s="55"/>
      <c r="M6" s="55"/>
      <c r="N6" s="55"/>
      <c r="O6" s="55"/>
      <c r="P6" s="55"/>
      <c r="Q6" s="55"/>
      <c r="R6" s="55"/>
      <c r="S6" s="55" t="s">
        <v>2462</v>
      </c>
      <c r="T6" s="55" t="s">
        <v>2462</v>
      </c>
      <c r="U6" s="51">
        <v>10</v>
      </c>
    </row>
    <row r="7" spans="1:21" ht="33" x14ac:dyDescent="0.25">
      <c r="A7" s="50" t="s">
        <v>2465</v>
      </c>
      <c r="B7" s="55">
        <v>2</v>
      </c>
      <c r="C7" s="55" t="s">
        <v>2419</v>
      </c>
      <c r="D7" s="55" t="s">
        <v>2468</v>
      </c>
      <c r="E7" s="55">
        <v>2</v>
      </c>
      <c r="F7" s="24">
        <v>0.39500000000000002</v>
      </c>
      <c r="G7" s="55"/>
      <c r="H7" s="55">
        <v>1280</v>
      </c>
      <c r="I7" s="55">
        <v>8</v>
      </c>
      <c r="J7" s="55" t="s">
        <v>1</v>
      </c>
      <c r="K7" s="55"/>
      <c r="L7" s="55"/>
      <c r="M7" s="55"/>
      <c r="N7" s="55"/>
      <c r="O7" s="55"/>
      <c r="P7" s="55"/>
      <c r="Q7" s="55"/>
      <c r="R7" s="55"/>
      <c r="S7" s="55" t="s">
        <v>2462</v>
      </c>
      <c r="T7" s="55" t="s">
        <v>2462</v>
      </c>
      <c r="U7" s="51">
        <v>10</v>
      </c>
    </row>
    <row r="8" spans="1:21" ht="16.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1" ht="16.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ht="33" x14ac:dyDescent="0.25">
      <c r="A10" s="96" t="s">
        <v>2465</v>
      </c>
      <c r="B10" s="32" t="s">
        <v>2465</v>
      </c>
      <c r="C10" s="32" t="s">
        <v>2433</v>
      </c>
      <c r="D10" s="32" t="s">
        <v>2466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3"/>
    </row>
    <row r="11" spans="1:21" ht="33" x14ac:dyDescent="0.25">
      <c r="A11" s="50" t="s">
        <v>2465</v>
      </c>
      <c r="B11" s="55">
        <v>1</v>
      </c>
      <c r="C11" s="55" t="s">
        <v>2419</v>
      </c>
      <c r="D11" s="55" t="s">
        <v>2467</v>
      </c>
      <c r="E11" s="55">
        <v>9</v>
      </c>
      <c r="F11" s="24">
        <v>0.39500000000000002</v>
      </c>
      <c r="G11" s="55"/>
      <c r="H11" s="55">
        <v>395</v>
      </c>
      <c r="I11" s="55">
        <v>8</v>
      </c>
      <c r="J11" s="55" t="s">
        <v>1</v>
      </c>
      <c r="K11" s="55"/>
      <c r="L11" s="55"/>
      <c r="M11" s="55"/>
      <c r="N11" s="55"/>
      <c r="O11" s="55"/>
      <c r="P11" s="55"/>
      <c r="Q11" s="55"/>
      <c r="R11" s="55"/>
      <c r="S11" s="55" t="s">
        <v>2462</v>
      </c>
      <c r="T11" s="55" t="s">
        <v>2462</v>
      </c>
      <c r="U11" s="51">
        <v>10</v>
      </c>
    </row>
    <row r="12" spans="1:21" ht="33" x14ac:dyDescent="0.25">
      <c r="A12" s="50" t="s">
        <v>2465</v>
      </c>
      <c r="B12" s="55">
        <v>2</v>
      </c>
      <c r="C12" s="55" t="s">
        <v>2419</v>
      </c>
      <c r="D12" s="55" t="s">
        <v>2468</v>
      </c>
      <c r="E12" s="55">
        <v>2</v>
      </c>
      <c r="F12" s="24">
        <v>0.39500000000000002</v>
      </c>
      <c r="G12" s="55"/>
      <c r="H12" s="55">
        <v>1280</v>
      </c>
      <c r="I12" s="55">
        <v>8</v>
      </c>
      <c r="J12" s="55" t="s">
        <v>1</v>
      </c>
      <c r="K12" s="55"/>
      <c r="L12" s="55"/>
      <c r="M12" s="55"/>
      <c r="N12" s="55"/>
      <c r="O12" s="55"/>
      <c r="P12" s="55"/>
      <c r="Q12" s="55"/>
      <c r="R12" s="55"/>
      <c r="S12" s="55" t="s">
        <v>2462</v>
      </c>
      <c r="T12" s="55" t="s">
        <v>2462</v>
      </c>
      <c r="U12" s="51">
        <v>10</v>
      </c>
    </row>
    <row r="13" spans="1:21" ht="16.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 ht="16.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 ht="33" x14ac:dyDescent="0.25">
      <c r="A15" s="96" t="s">
        <v>2465</v>
      </c>
      <c r="B15" s="32" t="s">
        <v>2465</v>
      </c>
      <c r="C15" s="32" t="s">
        <v>2433</v>
      </c>
      <c r="D15" s="32" t="s">
        <v>2466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3"/>
    </row>
    <row r="16" spans="1:21" ht="33" x14ac:dyDescent="0.25">
      <c r="A16" s="50" t="s">
        <v>2465</v>
      </c>
      <c r="B16" s="55">
        <v>1</v>
      </c>
      <c r="C16" s="55" t="s">
        <v>2419</v>
      </c>
      <c r="D16" s="55" t="s">
        <v>2467</v>
      </c>
      <c r="E16" s="55">
        <v>9</v>
      </c>
      <c r="F16" s="24">
        <v>0.39500000000000002</v>
      </c>
      <c r="G16" s="55"/>
      <c r="H16" s="55">
        <v>245</v>
      </c>
      <c r="I16" s="55">
        <v>8</v>
      </c>
      <c r="J16" s="55" t="s">
        <v>1</v>
      </c>
      <c r="K16" s="55"/>
      <c r="L16" s="55"/>
      <c r="M16" s="55"/>
      <c r="N16" s="55"/>
      <c r="O16" s="55"/>
      <c r="P16" s="55"/>
      <c r="Q16" s="55"/>
      <c r="R16" s="55"/>
      <c r="S16" s="55" t="s">
        <v>2462</v>
      </c>
      <c r="T16" s="55" t="s">
        <v>2462</v>
      </c>
      <c r="U16" s="51">
        <v>10</v>
      </c>
    </row>
    <row r="17" spans="1:21" ht="33.75" thickBot="1" x14ac:dyDescent="0.3">
      <c r="A17" s="47" t="s">
        <v>2465</v>
      </c>
      <c r="B17" s="48">
        <v>2</v>
      </c>
      <c r="C17" s="48" t="s">
        <v>2419</v>
      </c>
      <c r="D17" s="48" t="s">
        <v>2468</v>
      </c>
      <c r="E17" s="48">
        <v>2</v>
      </c>
      <c r="F17" s="34">
        <v>0.39500000000000002</v>
      </c>
      <c r="G17" s="48"/>
      <c r="H17" s="48">
        <v>1280</v>
      </c>
      <c r="I17" s="48">
        <v>8</v>
      </c>
      <c r="J17" s="48" t="s">
        <v>1</v>
      </c>
      <c r="K17" s="48"/>
      <c r="L17" s="48"/>
      <c r="M17" s="48"/>
      <c r="N17" s="48"/>
      <c r="O17" s="48"/>
      <c r="P17" s="48"/>
      <c r="Q17" s="48"/>
      <c r="R17" s="48"/>
      <c r="S17" s="48" t="s">
        <v>2462</v>
      </c>
      <c r="T17" s="48" t="s">
        <v>2462</v>
      </c>
      <c r="U17" s="49">
        <v>10</v>
      </c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A3:U17 H2:Q2 K1 R1:S1 S2:U2">
    <cfRule type="containsText" dxfId="295" priority="1" stopIfTrue="1" operator="containsText" text="С ЛИСТА">
      <formula>NOT(ISERROR(SEARCH("С ЛИСТА",A1)))</formula>
    </cfRule>
    <cfRule type="containsText" dxfId="294" priority="2" stopIfTrue="1" operator="containsText" text="ИЗ ФАЙЛА">
      <formula>NOT(ISERROR(SEARCH("ИЗ ФАЙЛА",A1)))</formula>
    </cfRule>
    <cfRule type="containsText" dxfId="293" priority="3" stopIfTrue="1" operator="containsText" text="!!!">
      <formula>NOT(ISERROR(SEARCH("!!!",A1)))</formula>
    </cfRule>
    <cfRule type="containsText" dxfId="292" priority="4" stopIfTrue="1" operator="containsText" text=" Изделия ">
      <formula>NOT(ISERROR(SEARCH(" Изделия ",A1)))</formula>
    </cfRule>
    <cfRule type="containsText" dxfId="291" priority="5" stopIfTrue="1" operator="containsText" text=" Прокат ">
      <formula>NOT(ISERROR(SEARCH(" Прокат ",A1)))</formula>
    </cfRule>
    <cfRule type="containsText" dxfId="290" priority="6" stopIfTrue="1" operator="containsText" text=" Сборочные единицы ">
      <formula>NOT(ISERROR(SEARCH(" Сборочные единицы ",A1)))</formula>
    </cfRule>
    <cfRule type="containsText" dxfId="289" priority="7" stopIfTrue="1" operator="containsText" text=" Материалы ">
      <formula>NOT(ISERROR(SEARCH(" Материалы ",A1)))</formula>
    </cfRule>
    <cfRule type="containsText" dxfId="288" priority="8" stopIfTrue="1" operator="containsText" text=", на ">
      <formula>NOT(ISERROR(SEARCH(", на ",A1)))</formula>
    </cfRule>
    <cfRule type="containsText" dxfId="287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errorStyle="warning" allowBlank="1" showInputMessage="1" showErrorMessage="1">
          <x14:formula1>
            <xm:f>'!System'!$AN$1:$AN$6</xm:f>
          </x14:formula1>
          <xm:sqref>G3:G17</xm:sqref>
        </x14:dataValidation>
        <x14:dataValidation type="list" allowBlank="1" showInputMessage="1" showErrorMessage="1">
          <x14:formula1>
            <xm:f>'!System'!$T$1:$AB$1</xm:f>
          </x14:formula1>
          <xm:sqref>J3:J17</xm:sqref>
        </x14:dataValidation>
        <x14:dataValidation type="list" allowBlank="1" showInputMessage="1" showErrorMessage="1">
          <x14:formula1>
            <xm:f>'!System'!$A$1:$R$1</xm:f>
          </x14:formula1>
          <xm:sqref>L3:L17</xm:sqref>
        </x14:dataValidation>
        <x14:dataValidation type="list" allowBlank="1" showInputMessage="1" showErrorMessage="1">
          <x14:formula1>
            <xm:f>'!System'!$AC$1:$AM$1</xm:f>
          </x14:formula1>
          <xm:sqref>O3:O17</xm:sqref>
        </x14:dataValidation>
        <x14:dataValidation type="list" allowBlank="1" showInputMessage="1" showErrorMessage="1">
          <x14:formula1>
            <xm:f>'!System'!$AO$1:$AO$5</xm:f>
          </x14:formula1>
          <xm:sqref>P3:P17</xm:sqref>
        </x14:dataValidation>
        <x14:dataValidation type="list" allowBlank="1" showInputMessage="1" showErrorMessage="1">
          <x14:formula1>
            <xm:f>'!System'!$T$2:$T$16</xm:f>
          </x14:formula1>
          <xm:sqref>I6</xm:sqref>
        </x14:dataValidation>
        <x14:dataValidation type="list" allowBlank="1" showInputMessage="1" showErrorMessage="1">
          <x14:formula1>
            <xm:f>'!System'!$T$2:$T$16</xm:f>
          </x14:formula1>
          <xm:sqref>I7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'!System'!$T$2:$T$16</xm:f>
          </x14:formula1>
          <xm:sqref>I12</xm:sqref>
        </x14:dataValidation>
        <x14:dataValidation type="list" allowBlank="1" showInputMessage="1" showErrorMessage="1">
          <x14:formula1>
            <xm:f>'!System'!$T$2:$T$16</xm:f>
          </x14:formula1>
          <xm:sqref>I16</xm:sqref>
        </x14:dataValidation>
        <x14:dataValidation type="list" allowBlank="1" showInputMessage="1" showErrorMessage="1">
          <x14:formula1>
            <xm:f>'!System'!$T$2:$T$16</xm:f>
          </x14:formula1>
          <xm:sqref>I17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workbookViewId="0">
      <selection activeCell="M15" sqref="M15"/>
    </sheetView>
  </sheetViews>
  <sheetFormatPr defaultRowHeight="15" x14ac:dyDescent="0.25"/>
  <cols>
    <col min="1" max="1" width="5.42578125" style="12" customWidth="1"/>
    <col min="2" max="2" width="16.28515625" style="12" customWidth="1"/>
    <col min="3" max="3" width="21.7109375" style="12" customWidth="1"/>
    <col min="4" max="4" width="8.140625" style="12" customWidth="1"/>
    <col min="5" max="5" width="21.7109375" style="12" customWidth="1"/>
    <col min="6" max="6" width="8.140625" style="12" customWidth="1"/>
    <col min="7" max="7" width="21.7109375" style="12" customWidth="1"/>
    <col min="8" max="8" width="8.140625" style="12" customWidth="1"/>
    <col min="9" max="9" width="21.7109375" style="12" customWidth="1"/>
    <col min="10" max="11" width="8.140625" style="12" customWidth="1"/>
    <col min="12" max="12" width="16.28515625" style="12" customWidth="1"/>
    <col min="13" max="16384" width="9.140625" style="12"/>
  </cols>
  <sheetData>
    <row r="1" spans="1:12" ht="16.5" x14ac:dyDescent="0.25">
      <c r="A1" s="64" t="s">
        <v>2370</v>
      </c>
      <c r="B1" s="66" t="s">
        <v>2571</v>
      </c>
      <c r="C1" s="66" t="s">
        <v>2393</v>
      </c>
      <c r="D1" s="66"/>
      <c r="E1" s="66"/>
      <c r="F1" s="66"/>
      <c r="G1" s="66"/>
      <c r="H1" s="66"/>
      <c r="I1" s="66"/>
      <c r="J1" s="66"/>
      <c r="K1" s="66"/>
      <c r="L1" s="68" t="s">
        <v>2369</v>
      </c>
    </row>
    <row r="2" spans="1:12" ht="40.5" x14ac:dyDescent="0.25">
      <c r="A2" s="65"/>
      <c r="B2" s="67"/>
      <c r="C2" s="42" t="s">
        <v>2394</v>
      </c>
      <c r="D2" s="13" t="s">
        <v>2395</v>
      </c>
      <c r="E2" s="42" t="s">
        <v>2396</v>
      </c>
      <c r="F2" s="13" t="s">
        <v>2395</v>
      </c>
      <c r="G2" s="42" t="s">
        <v>2397</v>
      </c>
      <c r="H2" s="13" t="s">
        <v>2395</v>
      </c>
      <c r="I2" s="42" t="s">
        <v>2398</v>
      </c>
      <c r="J2" s="13" t="s">
        <v>2395</v>
      </c>
      <c r="K2" s="13" t="s">
        <v>2399</v>
      </c>
      <c r="L2" s="69"/>
    </row>
    <row r="3" spans="1:12" ht="40.5" x14ac:dyDescent="0.25">
      <c r="A3" s="72" t="s">
        <v>2572</v>
      </c>
      <c r="B3" s="73" t="s">
        <v>2585</v>
      </c>
      <c r="C3" s="36" t="s">
        <v>2410</v>
      </c>
      <c r="D3" s="37">
        <v>291.3</v>
      </c>
      <c r="E3" s="36" t="s">
        <v>2403</v>
      </c>
      <c r="F3" s="37">
        <v>319.8</v>
      </c>
      <c r="G3" s="36" t="s">
        <v>2403</v>
      </c>
      <c r="H3" s="37">
        <v>18.8</v>
      </c>
      <c r="I3" s="36" t="s">
        <v>2404</v>
      </c>
      <c r="J3" s="37">
        <v>479.1</v>
      </c>
      <c r="K3" s="37">
        <v>2</v>
      </c>
      <c r="L3" s="70" t="s">
        <v>2590</v>
      </c>
    </row>
    <row r="4" spans="1:12" ht="22.7" customHeight="1" x14ac:dyDescent="0.25">
      <c r="A4" s="72"/>
      <c r="B4" s="73"/>
      <c r="C4" s="73" t="s">
        <v>2409</v>
      </c>
      <c r="D4" s="71">
        <v>291.3</v>
      </c>
      <c r="E4" s="36" t="s">
        <v>2570</v>
      </c>
      <c r="F4" s="37">
        <v>319.8</v>
      </c>
      <c r="G4" s="36" t="s">
        <v>2570</v>
      </c>
      <c r="H4" s="37">
        <v>18.8</v>
      </c>
      <c r="I4" s="36" t="s">
        <v>2570</v>
      </c>
      <c r="J4" s="37">
        <v>722</v>
      </c>
      <c r="K4" s="37">
        <v>2</v>
      </c>
      <c r="L4" s="70"/>
    </row>
    <row r="5" spans="1:12" ht="22.7" customHeight="1" x14ac:dyDescent="0.25">
      <c r="A5" s="72"/>
      <c r="B5" s="73"/>
      <c r="C5" s="73"/>
      <c r="D5" s="71"/>
      <c r="E5" s="36" t="s">
        <v>2562</v>
      </c>
      <c r="F5" s="37">
        <v>319.8</v>
      </c>
      <c r="G5" s="36" t="s">
        <v>2562</v>
      </c>
      <c r="H5" s="37">
        <v>18.8</v>
      </c>
      <c r="I5" s="36" t="s">
        <v>2584</v>
      </c>
      <c r="J5" s="37">
        <v>722</v>
      </c>
      <c r="K5" s="37">
        <v>2</v>
      </c>
      <c r="L5" s="70"/>
    </row>
    <row r="6" spans="1:12" ht="27" x14ac:dyDescent="0.25">
      <c r="A6" s="72" t="s">
        <v>2573</v>
      </c>
      <c r="B6" s="73" t="s">
        <v>2574</v>
      </c>
      <c r="C6" s="36" t="s">
        <v>2401</v>
      </c>
      <c r="D6" s="37">
        <v>98.8</v>
      </c>
      <c r="E6" s="36" t="s">
        <v>2401</v>
      </c>
      <c r="F6" s="37">
        <v>173.4</v>
      </c>
      <c r="G6" s="36" t="s">
        <v>2401</v>
      </c>
      <c r="H6" s="37">
        <v>3.3</v>
      </c>
      <c r="I6" s="73" t="s">
        <v>4</v>
      </c>
      <c r="J6" s="71" t="s">
        <v>4</v>
      </c>
      <c r="K6" s="71" t="s">
        <v>4</v>
      </c>
      <c r="L6" s="70" t="s">
        <v>2591</v>
      </c>
    </row>
    <row r="7" spans="1:12" ht="22.7" customHeight="1" x14ac:dyDescent="0.25">
      <c r="A7" s="72"/>
      <c r="B7" s="73"/>
      <c r="C7" s="73" t="s">
        <v>2409</v>
      </c>
      <c r="D7" s="71">
        <v>98.8</v>
      </c>
      <c r="E7" s="36" t="s">
        <v>2570</v>
      </c>
      <c r="F7" s="37">
        <v>173.4</v>
      </c>
      <c r="G7" s="36" t="s">
        <v>2570</v>
      </c>
      <c r="H7" s="37">
        <v>3.3</v>
      </c>
      <c r="I7" s="73"/>
      <c r="J7" s="71"/>
      <c r="K7" s="71"/>
      <c r="L7" s="70"/>
    </row>
    <row r="8" spans="1:12" ht="22.7" customHeight="1" x14ac:dyDescent="0.25">
      <c r="A8" s="72"/>
      <c r="B8" s="73"/>
      <c r="C8" s="73"/>
      <c r="D8" s="71"/>
      <c r="E8" s="36" t="s">
        <v>2562</v>
      </c>
      <c r="F8" s="37">
        <v>173.4</v>
      </c>
      <c r="G8" s="36" t="s">
        <v>2562</v>
      </c>
      <c r="H8" s="37">
        <v>3.3</v>
      </c>
      <c r="I8" s="73"/>
      <c r="J8" s="71"/>
      <c r="K8" s="71"/>
      <c r="L8" s="70"/>
    </row>
    <row r="9" spans="1:12" ht="27" x14ac:dyDescent="0.25">
      <c r="A9" s="72" t="s">
        <v>2575</v>
      </c>
      <c r="B9" s="73" t="s">
        <v>2586</v>
      </c>
      <c r="C9" s="36" t="s">
        <v>2410</v>
      </c>
      <c r="D9" s="37">
        <v>185.4</v>
      </c>
      <c r="E9" s="36" t="s">
        <v>2404</v>
      </c>
      <c r="F9" s="37">
        <v>602</v>
      </c>
      <c r="G9" s="36" t="s">
        <v>2404</v>
      </c>
      <c r="H9" s="37">
        <v>11.8</v>
      </c>
      <c r="I9" s="73" t="s">
        <v>4</v>
      </c>
      <c r="J9" s="71" t="s">
        <v>4</v>
      </c>
      <c r="K9" s="71" t="s">
        <v>4</v>
      </c>
      <c r="L9" s="70" t="s">
        <v>2592</v>
      </c>
    </row>
    <row r="10" spans="1:12" ht="22.7" customHeight="1" x14ac:dyDescent="0.25">
      <c r="A10" s="72"/>
      <c r="B10" s="73"/>
      <c r="C10" s="73" t="s">
        <v>2409</v>
      </c>
      <c r="D10" s="71">
        <v>185.4</v>
      </c>
      <c r="E10" s="36" t="s">
        <v>2570</v>
      </c>
      <c r="F10" s="37">
        <v>602</v>
      </c>
      <c r="G10" s="36" t="s">
        <v>2570</v>
      </c>
      <c r="H10" s="37">
        <v>11.8</v>
      </c>
      <c r="I10" s="73"/>
      <c r="J10" s="71"/>
      <c r="K10" s="71"/>
      <c r="L10" s="70"/>
    </row>
    <row r="11" spans="1:12" ht="22.7" customHeight="1" x14ac:dyDescent="0.25">
      <c r="A11" s="72"/>
      <c r="B11" s="73"/>
      <c r="C11" s="73"/>
      <c r="D11" s="71"/>
      <c r="E11" s="36" t="s">
        <v>2584</v>
      </c>
      <c r="F11" s="37">
        <v>602</v>
      </c>
      <c r="G11" s="36" t="s">
        <v>2584</v>
      </c>
      <c r="H11" s="37">
        <v>11.8</v>
      </c>
      <c r="I11" s="73"/>
      <c r="J11" s="71"/>
      <c r="K11" s="71"/>
      <c r="L11" s="70"/>
    </row>
    <row r="12" spans="1:12" ht="40.5" x14ac:dyDescent="0.25">
      <c r="A12" s="72" t="s">
        <v>2576</v>
      </c>
      <c r="B12" s="73" t="s">
        <v>2587</v>
      </c>
      <c r="C12" s="36" t="s">
        <v>2401</v>
      </c>
      <c r="D12" s="37">
        <v>340.20000000000005</v>
      </c>
      <c r="E12" s="36" t="s">
        <v>2402</v>
      </c>
      <c r="F12" s="37">
        <v>677.9</v>
      </c>
      <c r="G12" s="36" t="s">
        <v>2402</v>
      </c>
      <c r="H12" s="37">
        <v>93.9</v>
      </c>
      <c r="I12" s="73" t="s">
        <v>4</v>
      </c>
      <c r="J12" s="71" t="s">
        <v>4</v>
      </c>
      <c r="K12" s="71" t="s">
        <v>4</v>
      </c>
      <c r="L12" s="70" t="s">
        <v>2593</v>
      </c>
    </row>
    <row r="13" spans="1:12" ht="22.7" customHeight="1" x14ac:dyDescent="0.25">
      <c r="A13" s="72"/>
      <c r="B13" s="73"/>
      <c r="C13" s="73" t="s">
        <v>2409</v>
      </c>
      <c r="D13" s="71">
        <v>340.20000000000005</v>
      </c>
      <c r="E13" s="36" t="s">
        <v>2570</v>
      </c>
      <c r="F13" s="37">
        <v>677.9</v>
      </c>
      <c r="G13" s="36" t="s">
        <v>2570</v>
      </c>
      <c r="H13" s="37">
        <v>93.9</v>
      </c>
      <c r="I13" s="73"/>
      <c r="J13" s="71"/>
      <c r="K13" s="71"/>
      <c r="L13" s="70"/>
    </row>
    <row r="14" spans="1:12" ht="22.7" customHeight="1" x14ac:dyDescent="0.25">
      <c r="A14" s="72"/>
      <c r="B14" s="73"/>
      <c r="C14" s="73"/>
      <c r="D14" s="71"/>
      <c r="E14" s="36" t="s">
        <v>2562</v>
      </c>
      <c r="F14" s="37">
        <v>677.9</v>
      </c>
      <c r="G14" s="36" t="s">
        <v>2562</v>
      </c>
      <c r="H14" s="37">
        <v>93.9</v>
      </c>
      <c r="I14" s="73"/>
      <c r="J14" s="71"/>
      <c r="K14" s="71"/>
      <c r="L14" s="70"/>
    </row>
    <row r="15" spans="1:12" ht="40.5" x14ac:dyDescent="0.25">
      <c r="A15" s="72" t="s">
        <v>2577</v>
      </c>
      <c r="B15" s="73" t="s">
        <v>2578</v>
      </c>
      <c r="C15" s="36" t="s">
        <v>2400</v>
      </c>
      <c r="D15" s="37">
        <v>356.70000000000005</v>
      </c>
      <c r="E15" s="36" t="s">
        <v>2400</v>
      </c>
      <c r="F15" s="37">
        <v>1153.8</v>
      </c>
      <c r="G15" s="36" t="s">
        <v>2400</v>
      </c>
      <c r="H15" s="37">
        <v>4.7</v>
      </c>
      <c r="I15" s="73" t="s">
        <v>4</v>
      </c>
      <c r="J15" s="71" t="s">
        <v>4</v>
      </c>
      <c r="K15" s="71" t="s">
        <v>4</v>
      </c>
      <c r="L15" s="70" t="s">
        <v>2594</v>
      </c>
    </row>
    <row r="16" spans="1:12" ht="22.7" customHeight="1" x14ac:dyDescent="0.25">
      <c r="A16" s="72"/>
      <c r="B16" s="73"/>
      <c r="C16" s="73" t="s">
        <v>2409</v>
      </c>
      <c r="D16" s="71">
        <v>356.70000000000005</v>
      </c>
      <c r="E16" s="36" t="s">
        <v>2570</v>
      </c>
      <c r="F16" s="37">
        <v>1153.8</v>
      </c>
      <c r="G16" s="36" t="s">
        <v>2570</v>
      </c>
      <c r="H16" s="37">
        <v>4.7</v>
      </c>
      <c r="I16" s="73"/>
      <c r="J16" s="71"/>
      <c r="K16" s="71"/>
      <c r="L16" s="70"/>
    </row>
    <row r="17" spans="1:12" ht="22.7" customHeight="1" thickBot="1" x14ac:dyDescent="0.3">
      <c r="A17" s="84"/>
      <c r="B17" s="75"/>
      <c r="C17" s="75"/>
      <c r="D17" s="76"/>
      <c r="E17" s="39" t="s">
        <v>2562</v>
      </c>
      <c r="F17" s="38">
        <v>1153.8</v>
      </c>
      <c r="G17" s="39" t="s">
        <v>2562</v>
      </c>
      <c r="H17" s="38">
        <v>4.7</v>
      </c>
      <c r="I17" s="80"/>
      <c r="J17" s="78"/>
      <c r="K17" s="78"/>
      <c r="L17" s="74"/>
    </row>
    <row r="18" spans="1:12" ht="15" customHeight="1" x14ac:dyDescent="0.25">
      <c r="A18" s="81" t="s">
        <v>2405</v>
      </c>
      <c r="B18" s="82"/>
      <c r="C18" s="82"/>
      <c r="D18" s="83"/>
      <c r="E18" s="77" t="s">
        <v>2408</v>
      </c>
      <c r="F18" s="77"/>
      <c r="G18" s="77"/>
      <c r="H18" s="77"/>
      <c r="I18" s="35" t="s">
        <v>2372</v>
      </c>
      <c r="J18" s="35" t="s">
        <v>2372</v>
      </c>
      <c r="K18" s="35" t="s">
        <v>2372</v>
      </c>
      <c r="L18" s="35" t="s">
        <v>2372</v>
      </c>
    </row>
    <row r="19" spans="1:12" ht="15" customHeight="1" x14ac:dyDescent="0.25">
      <c r="A19" s="72" t="s">
        <v>2579</v>
      </c>
      <c r="B19" s="73"/>
      <c r="C19" s="73"/>
      <c r="D19" s="40">
        <v>476.70000000000005</v>
      </c>
      <c r="E19" s="77" t="s">
        <v>2406</v>
      </c>
      <c r="F19" s="77"/>
      <c r="G19" s="77"/>
      <c r="H19" s="35">
        <v>1272.4000000000001</v>
      </c>
      <c r="I19" s="35" t="s">
        <v>2372</v>
      </c>
      <c r="J19" s="35" t="s">
        <v>2372</v>
      </c>
      <c r="K19" s="35" t="s">
        <v>2372</v>
      </c>
      <c r="L19" s="35" t="s">
        <v>2372</v>
      </c>
    </row>
    <row r="20" spans="1:12" ht="15" customHeight="1" x14ac:dyDescent="0.25">
      <c r="A20" s="72" t="s">
        <v>2580</v>
      </c>
      <c r="B20" s="73"/>
      <c r="C20" s="73"/>
      <c r="D20" s="40">
        <v>1272.4000000000001</v>
      </c>
      <c r="E20" s="77" t="s">
        <v>2407</v>
      </c>
      <c r="F20" s="77"/>
      <c r="G20" s="77"/>
      <c r="H20" s="35">
        <v>2926.8999999999996</v>
      </c>
      <c r="I20" s="35" t="s">
        <v>2372</v>
      </c>
      <c r="J20" s="35" t="s">
        <v>2372</v>
      </c>
      <c r="K20" s="35" t="s">
        <v>2372</v>
      </c>
      <c r="L20" s="35" t="s">
        <v>2372</v>
      </c>
    </row>
    <row r="21" spans="1:12" ht="15" customHeight="1" x14ac:dyDescent="0.25">
      <c r="A21" s="72" t="s">
        <v>2403</v>
      </c>
      <c r="B21" s="73"/>
      <c r="C21" s="73"/>
      <c r="D21" s="40">
        <v>338.6</v>
      </c>
      <c r="E21" s="77" t="s">
        <v>2379</v>
      </c>
      <c r="F21" s="77"/>
      <c r="G21" s="77"/>
      <c r="H21" s="35">
        <v>132.5</v>
      </c>
      <c r="I21" s="35" t="s">
        <v>2372</v>
      </c>
      <c r="J21" s="35" t="s">
        <v>2372</v>
      </c>
      <c r="K21" s="35" t="s">
        <v>2372</v>
      </c>
      <c r="L21" s="35" t="s">
        <v>2372</v>
      </c>
    </row>
    <row r="22" spans="1:12" ht="15" customHeight="1" x14ac:dyDescent="0.25">
      <c r="A22" s="72" t="s">
        <v>2404</v>
      </c>
      <c r="B22" s="73"/>
      <c r="C22" s="73"/>
      <c r="D22" s="40">
        <v>1092.8999999999999</v>
      </c>
      <c r="E22" s="77" t="s">
        <v>2581</v>
      </c>
      <c r="F22" s="77"/>
      <c r="G22" s="77"/>
      <c r="H22" s="35">
        <v>479.1</v>
      </c>
      <c r="I22" s="35" t="s">
        <v>2372</v>
      </c>
      <c r="J22" s="35" t="s">
        <v>2372</v>
      </c>
      <c r="K22" s="35" t="s">
        <v>2372</v>
      </c>
      <c r="L22" s="35" t="s">
        <v>2372</v>
      </c>
    </row>
    <row r="23" spans="1:12" ht="15" customHeight="1" x14ac:dyDescent="0.25">
      <c r="A23" s="72" t="s">
        <v>2582</v>
      </c>
      <c r="B23" s="73"/>
      <c r="C23" s="73"/>
      <c r="D23" s="40">
        <v>439.00000000000006</v>
      </c>
      <c r="E23" s="77" t="s">
        <v>2372</v>
      </c>
      <c r="F23" s="77"/>
      <c r="G23" s="77"/>
      <c r="H23" s="35" t="s">
        <v>2372</v>
      </c>
      <c r="I23" s="35" t="s">
        <v>2372</v>
      </c>
      <c r="J23" s="35" t="s">
        <v>2372</v>
      </c>
      <c r="K23" s="35" t="s">
        <v>2372</v>
      </c>
      <c r="L23" s="35" t="s">
        <v>2372</v>
      </c>
    </row>
    <row r="24" spans="1:12" ht="15" customHeight="1" x14ac:dyDescent="0.25">
      <c r="A24" s="72" t="s">
        <v>2401</v>
      </c>
      <c r="B24" s="73"/>
      <c r="C24" s="73"/>
      <c r="D24" s="40">
        <v>176.70000000000002</v>
      </c>
      <c r="E24" s="77" t="s">
        <v>2372</v>
      </c>
      <c r="F24" s="77"/>
      <c r="G24" s="77"/>
      <c r="H24" s="35" t="s">
        <v>2372</v>
      </c>
      <c r="I24" s="35" t="s">
        <v>2372</v>
      </c>
      <c r="J24" s="35" t="s">
        <v>2372</v>
      </c>
      <c r="K24" s="35" t="s">
        <v>2372</v>
      </c>
      <c r="L24" s="35" t="s">
        <v>2372</v>
      </c>
    </row>
    <row r="25" spans="1:12" ht="15" customHeight="1" x14ac:dyDescent="0.25">
      <c r="A25" s="72" t="s">
        <v>2402</v>
      </c>
      <c r="B25" s="73"/>
      <c r="C25" s="73"/>
      <c r="D25" s="40">
        <v>771.8</v>
      </c>
      <c r="E25" s="77" t="s">
        <v>2372</v>
      </c>
      <c r="F25" s="77"/>
      <c r="G25" s="77"/>
      <c r="H25" s="35" t="s">
        <v>2372</v>
      </c>
      <c r="I25" s="35" t="s">
        <v>2372</v>
      </c>
      <c r="J25" s="35" t="s">
        <v>2372</v>
      </c>
      <c r="K25" s="35" t="s">
        <v>2372</v>
      </c>
      <c r="L25" s="35" t="s">
        <v>2372</v>
      </c>
    </row>
    <row r="26" spans="1:12" ht="15" customHeight="1" x14ac:dyDescent="0.25">
      <c r="A26" s="72" t="s">
        <v>2583</v>
      </c>
      <c r="B26" s="73"/>
      <c r="C26" s="73"/>
      <c r="D26" s="40">
        <v>356.70000000000005</v>
      </c>
      <c r="E26" s="77" t="s">
        <v>2372</v>
      </c>
      <c r="F26" s="77"/>
      <c r="G26" s="77"/>
      <c r="H26" s="35" t="s">
        <v>2372</v>
      </c>
      <c r="I26" s="35" t="s">
        <v>2372</v>
      </c>
      <c r="J26" s="35" t="s">
        <v>2372</v>
      </c>
      <c r="K26" s="35" t="s">
        <v>2372</v>
      </c>
      <c r="L26" s="35" t="s">
        <v>2372</v>
      </c>
    </row>
    <row r="27" spans="1:12" ht="15" customHeight="1" x14ac:dyDescent="0.25">
      <c r="A27" s="72" t="s">
        <v>2400</v>
      </c>
      <c r="B27" s="73"/>
      <c r="C27" s="73"/>
      <c r="D27" s="40">
        <v>1158.5</v>
      </c>
      <c r="E27" s="77" t="s">
        <v>2372</v>
      </c>
      <c r="F27" s="77"/>
      <c r="G27" s="77"/>
      <c r="H27" s="35" t="s">
        <v>2372</v>
      </c>
      <c r="I27" s="35" t="s">
        <v>2372</v>
      </c>
      <c r="J27" s="35" t="s">
        <v>2372</v>
      </c>
      <c r="K27" s="35" t="s">
        <v>2372</v>
      </c>
      <c r="L27" s="35" t="s">
        <v>2372</v>
      </c>
    </row>
    <row r="28" spans="1:12" ht="15" customHeight="1" x14ac:dyDescent="0.25">
      <c r="A28" s="72" t="s">
        <v>2570</v>
      </c>
      <c r="B28" s="73"/>
      <c r="C28" s="73"/>
      <c r="D28" s="40">
        <v>3781.3999999999996</v>
      </c>
      <c r="E28" s="77" t="s">
        <v>2372</v>
      </c>
      <c r="F28" s="77"/>
      <c r="G28" s="77"/>
      <c r="H28" s="35" t="s">
        <v>2372</v>
      </c>
      <c r="I28" s="35" t="s">
        <v>2372</v>
      </c>
      <c r="J28" s="35" t="s">
        <v>2372</v>
      </c>
      <c r="K28" s="35" t="s">
        <v>2372</v>
      </c>
      <c r="L28" s="35" t="s">
        <v>2372</v>
      </c>
    </row>
    <row r="29" spans="1:12" ht="15" customHeight="1" x14ac:dyDescent="0.25">
      <c r="A29" s="72" t="s">
        <v>2562</v>
      </c>
      <c r="B29" s="73"/>
      <c r="C29" s="73"/>
      <c r="D29" s="40">
        <v>2445.5999999999995</v>
      </c>
      <c r="E29" s="77" t="s">
        <v>2372</v>
      </c>
      <c r="F29" s="77"/>
      <c r="G29" s="77"/>
      <c r="H29" s="35" t="s">
        <v>2372</v>
      </c>
      <c r="I29" s="35" t="s">
        <v>2372</v>
      </c>
      <c r="J29" s="35" t="s">
        <v>2372</v>
      </c>
      <c r="K29" s="35" t="s">
        <v>2372</v>
      </c>
      <c r="L29" s="35" t="s">
        <v>2372</v>
      </c>
    </row>
    <row r="30" spans="1:12" ht="15" customHeight="1" thickBot="1" x14ac:dyDescent="0.3">
      <c r="A30" s="79" t="s">
        <v>2584</v>
      </c>
      <c r="B30" s="80"/>
      <c r="C30" s="80"/>
      <c r="D30" s="41">
        <v>1335.8</v>
      </c>
      <c r="E30" s="77" t="s">
        <v>2372</v>
      </c>
      <c r="F30" s="77"/>
      <c r="G30" s="77"/>
      <c r="H30" s="35" t="s">
        <v>2372</v>
      </c>
      <c r="I30" s="35" t="s">
        <v>2372</v>
      </c>
      <c r="J30" s="35" t="s">
        <v>2372</v>
      </c>
      <c r="K30" s="35" t="s">
        <v>2372</v>
      </c>
      <c r="L30" s="35" t="s">
        <v>2372</v>
      </c>
    </row>
    <row r="83" ht="22.7" customHeight="1" x14ac:dyDescent="0.25"/>
    <row r="84" ht="15" customHeight="1" x14ac:dyDescent="0.25"/>
    <row r="85" ht="22.7" customHeight="1" x14ac:dyDescent="0.25"/>
    <row r="86" ht="22.7" customHeight="1" x14ac:dyDescent="0.25"/>
    <row r="87" ht="15" customHeight="1" x14ac:dyDescent="0.25"/>
    <row r="88" ht="22.7" customHeight="1" x14ac:dyDescent="0.25"/>
    <row r="89" ht="22.7" customHeight="1" x14ac:dyDescent="0.25"/>
    <row r="90" ht="15" customHeight="1" x14ac:dyDescent="0.25"/>
    <row r="91" ht="22.7" customHeight="1" x14ac:dyDescent="0.25"/>
    <row r="92" ht="22.7" customHeight="1" x14ac:dyDescent="0.25"/>
    <row r="94" ht="22.7" customHeight="1" x14ac:dyDescent="0.25"/>
    <row r="95" ht="22.7" customHeight="1" x14ac:dyDescent="0.25"/>
    <row r="97" ht="22.7" customHeight="1" x14ac:dyDescent="0.25"/>
    <row r="98" ht="22.7" customHeight="1" x14ac:dyDescent="0.25"/>
    <row r="100" ht="22.7" customHeight="1" x14ac:dyDescent="0.25"/>
    <row r="101" ht="22.7" customHeight="1" x14ac:dyDescent="0.25"/>
    <row r="103" ht="22.7" customHeight="1" x14ac:dyDescent="0.25"/>
    <row r="104" ht="22.7" customHeight="1" x14ac:dyDescent="0.25"/>
    <row r="106" ht="22.7" customHeight="1" x14ac:dyDescent="0.25"/>
    <row r="107" ht="22.7" customHeight="1" x14ac:dyDescent="0.25"/>
    <row r="109" ht="22.7" customHeight="1" x14ac:dyDescent="0.25"/>
    <row r="110" ht="22.7" customHeight="1" x14ac:dyDescent="0.25"/>
    <row r="112" ht="22.7" customHeight="1" x14ac:dyDescent="0.25"/>
    <row r="113" ht="22.7" customHeight="1" x14ac:dyDescent="0.25"/>
    <row r="115" ht="22.7" customHeight="1" x14ac:dyDescent="0.25"/>
    <row r="116" ht="22.7" customHeight="1" x14ac:dyDescent="0.25"/>
    <row r="118" ht="22.7" customHeight="1" x14ac:dyDescent="0.25"/>
    <row r="119" ht="22.7" customHeight="1" x14ac:dyDescent="0.25"/>
    <row r="121" ht="22.7" customHeight="1" x14ac:dyDescent="0.25"/>
    <row r="122" ht="22.7" customHeight="1" x14ac:dyDescent="0.25"/>
    <row r="124" ht="22.7" customHeight="1" x14ac:dyDescent="0.25"/>
    <row r="125" ht="22.7" customHeight="1" x14ac:dyDescent="0.25"/>
    <row r="127" ht="22.7" customHeight="1" x14ac:dyDescent="0.25"/>
    <row r="128" ht="22.7" customHeight="1" x14ac:dyDescent="0.25"/>
    <row r="130" ht="22.7" customHeight="1" x14ac:dyDescent="0.25"/>
    <row r="131" ht="22.7" customHeight="1" x14ac:dyDescent="0.25"/>
    <row r="133" ht="22.7" customHeight="1" x14ac:dyDescent="0.25"/>
    <row r="134" ht="22.7" customHeight="1" x14ac:dyDescent="0.25"/>
    <row r="136" ht="22.7" customHeight="1" x14ac:dyDescent="0.25"/>
    <row r="137" ht="22.7" customHeight="1" x14ac:dyDescent="0.25"/>
    <row r="139" ht="22.7" customHeight="1" x14ac:dyDescent="0.25"/>
    <row r="140" ht="22.7" customHeight="1" x14ac:dyDescent="0.25"/>
    <row r="142" ht="22.7" customHeight="1" x14ac:dyDescent="0.25"/>
    <row r="143" ht="22.7" customHeight="1" x14ac:dyDescent="0.25"/>
    <row r="145" ht="22.7" customHeight="1" x14ac:dyDescent="0.25"/>
    <row r="146" ht="22.7" customHeight="1" x14ac:dyDescent="0.25"/>
    <row r="148" ht="22.7" customHeight="1" x14ac:dyDescent="0.25"/>
    <row r="149" ht="22.7" customHeight="1" x14ac:dyDescent="0.25"/>
    <row r="151" ht="22.7" customHeight="1" x14ac:dyDescent="0.25"/>
    <row r="152" ht="22.7" customHeight="1" x14ac:dyDescent="0.25"/>
    <row r="154" ht="22.7" customHeight="1" x14ac:dyDescent="0.25"/>
    <row r="155" ht="22.7" customHeight="1" x14ac:dyDescent="0.25"/>
    <row r="157" ht="22.7" customHeight="1" x14ac:dyDescent="0.25"/>
    <row r="158" ht="22.7" customHeight="1" x14ac:dyDescent="0.25"/>
    <row r="160" ht="22.7" customHeight="1" x14ac:dyDescent="0.25"/>
    <row r="161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9" ht="22.7" customHeight="1" x14ac:dyDescent="0.25"/>
    <row r="170" ht="22.7" customHeight="1" x14ac:dyDescent="0.25"/>
    <row r="172" ht="22.7" customHeight="1" x14ac:dyDescent="0.25"/>
    <row r="173" ht="22.7" customHeight="1" x14ac:dyDescent="0.25"/>
    <row r="175" ht="22.7" customHeight="1" x14ac:dyDescent="0.25"/>
    <row r="176" ht="22.7" customHeight="1" x14ac:dyDescent="0.25"/>
    <row r="178" ht="22.7" customHeight="1" x14ac:dyDescent="0.25"/>
    <row r="179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7" ht="22.7" customHeight="1" x14ac:dyDescent="0.25"/>
    <row r="188" ht="22.7" customHeight="1" x14ac:dyDescent="0.25"/>
    <row r="190" ht="22.7" customHeight="1" x14ac:dyDescent="0.25"/>
    <row r="191" ht="22.7" customHeight="1" x14ac:dyDescent="0.25"/>
    <row r="192" ht="22.7" customHeight="1" x14ac:dyDescent="0.25"/>
    <row r="193" ht="22.7" customHeight="1" x14ac:dyDescent="0.25"/>
    <row r="194" ht="22.7" customHeight="1" x14ac:dyDescent="0.25"/>
    <row r="195" ht="15" customHeight="1" x14ac:dyDescent="0.25"/>
    <row r="196" ht="22.7" customHeight="1" x14ac:dyDescent="0.25"/>
    <row r="197" ht="22.7" customHeight="1" x14ac:dyDescent="0.25"/>
    <row r="198" ht="22.7" customHeight="1" x14ac:dyDescent="0.25"/>
    <row r="199" ht="15" customHeight="1" x14ac:dyDescent="0.25"/>
    <row r="200" ht="22.7" customHeight="1" x14ac:dyDescent="0.25"/>
    <row r="201" ht="22.7" customHeight="1" x14ac:dyDescent="0.25"/>
    <row r="202" ht="22.7" customHeight="1" x14ac:dyDescent="0.25"/>
    <row r="203" ht="15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67">
    <mergeCell ref="A18:D18"/>
    <mergeCell ref="E18:H18"/>
    <mergeCell ref="A19:C19"/>
    <mergeCell ref="E19:G19"/>
    <mergeCell ref="I15:I17"/>
    <mergeCell ref="A15:A17"/>
    <mergeCell ref="B15:B17"/>
    <mergeCell ref="A20:C20"/>
    <mergeCell ref="E20:G20"/>
    <mergeCell ref="A21:C21"/>
    <mergeCell ref="E21:G21"/>
    <mergeCell ref="A22:C22"/>
    <mergeCell ref="A23:C23"/>
    <mergeCell ref="A24:C24"/>
    <mergeCell ref="A25:C25"/>
    <mergeCell ref="A26:C26"/>
    <mergeCell ref="A30:C30"/>
    <mergeCell ref="A27:C27"/>
    <mergeCell ref="A28:C28"/>
    <mergeCell ref="A29:C29"/>
    <mergeCell ref="L3:L5"/>
    <mergeCell ref="I6:I8"/>
    <mergeCell ref="I9:I11"/>
    <mergeCell ref="I12:I14"/>
    <mergeCell ref="E30:G30"/>
    <mergeCell ref="E22:G22"/>
    <mergeCell ref="E23:G23"/>
    <mergeCell ref="E24:G24"/>
    <mergeCell ref="E25:G25"/>
    <mergeCell ref="E26:G26"/>
    <mergeCell ref="K15:K17"/>
    <mergeCell ref="J15:J17"/>
    <mergeCell ref="E27:G27"/>
    <mergeCell ref="E28:G28"/>
    <mergeCell ref="E29:G29"/>
    <mergeCell ref="L12:L14"/>
    <mergeCell ref="K12:K14"/>
    <mergeCell ref="C10:C11"/>
    <mergeCell ref="D10:D11"/>
    <mergeCell ref="L15:L17"/>
    <mergeCell ref="C13:C14"/>
    <mergeCell ref="C16:C17"/>
    <mergeCell ref="D13:D14"/>
    <mergeCell ref="D16:D17"/>
    <mergeCell ref="J12:J14"/>
    <mergeCell ref="A9:A11"/>
    <mergeCell ref="B9:B11"/>
    <mergeCell ref="A6:A8"/>
    <mergeCell ref="B6:B8"/>
    <mergeCell ref="A12:A14"/>
    <mergeCell ref="B12:B14"/>
    <mergeCell ref="A1:A2"/>
    <mergeCell ref="B1:B2"/>
    <mergeCell ref="C1:K1"/>
    <mergeCell ref="L1:L2"/>
    <mergeCell ref="L9:L11"/>
    <mergeCell ref="K9:K11"/>
    <mergeCell ref="J9:J11"/>
    <mergeCell ref="A3:A5"/>
    <mergeCell ref="B3:B5"/>
    <mergeCell ref="L6:L8"/>
    <mergeCell ref="C4:C5"/>
    <mergeCell ref="C7:C8"/>
    <mergeCell ref="D4:D5"/>
    <mergeCell ref="D7:D8"/>
    <mergeCell ref="J6:J8"/>
    <mergeCell ref="K6:K8"/>
  </mergeCells>
  <conditionalFormatting sqref="A1:L30">
    <cfRule type="containsText" dxfId="284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7"/>
  <sheetViews>
    <sheetView workbookViewId="0">
      <selection activeCell="F11" sqref="F11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1" t="s">
        <v>2375</v>
      </c>
      <c r="B1" s="10" t="s">
        <v>2376</v>
      </c>
      <c r="C1" s="9" t="s">
        <v>2377</v>
      </c>
    </row>
    <row r="2" spans="1:3" x14ac:dyDescent="0.25">
      <c r="A2" s="8" t="s">
        <v>2565</v>
      </c>
      <c r="B2" s="7" t="s">
        <v>2404</v>
      </c>
      <c r="C2" s="6" t="s">
        <v>2562</v>
      </c>
    </row>
    <row r="3" spans="1:3" x14ac:dyDescent="0.25">
      <c r="A3" s="8" t="s">
        <v>2566</v>
      </c>
      <c r="B3" s="7" t="s">
        <v>2404</v>
      </c>
      <c r="C3" s="6" t="s">
        <v>2584</v>
      </c>
    </row>
    <row r="4" spans="1:3" x14ac:dyDescent="0.25">
      <c r="A4" s="8"/>
      <c r="B4" s="7"/>
      <c r="C4" s="6"/>
    </row>
    <row r="5" spans="1:3" x14ac:dyDescent="0.25">
      <c r="A5" s="8" t="s">
        <v>2378</v>
      </c>
      <c r="B5" s="7" t="s">
        <v>2379</v>
      </c>
      <c r="C5" s="6" t="s">
        <v>2563</v>
      </c>
    </row>
    <row r="6" spans="1:3" x14ac:dyDescent="0.25">
      <c r="A6" s="8" t="s">
        <v>2380</v>
      </c>
      <c r="B6" s="7" t="s">
        <v>2371</v>
      </c>
      <c r="C6" s="6" t="s">
        <v>2564</v>
      </c>
    </row>
    <row r="7" spans="1:3" x14ac:dyDescent="0.25">
      <c r="A7" s="8" t="s">
        <v>2382</v>
      </c>
      <c r="B7" s="7" t="s">
        <v>2383</v>
      </c>
      <c r="C7" s="6" t="s">
        <v>2563</v>
      </c>
    </row>
    <row r="8" spans="1:3" x14ac:dyDescent="0.25">
      <c r="A8" s="8" t="s">
        <v>2386</v>
      </c>
      <c r="B8" s="7" t="s">
        <v>2385</v>
      </c>
      <c r="C8" s="6" t="s">
        <v>2563</v>
      </c>
    </row>
    <row r="9" spans="1:3" x14ac:dyDescent="0.25">
      <c r="A9" s="8" t="s">
        <v>2568</v>
      </c>
      <c r="B9" s="7" t="s">
        <v>2381</v>
      </c>
      <c r="C9" s="6" t="s">
        <v>2563</v>
      </c>
    </row>
    <row r="10" spans="1:3" x14ac:dyDescent="0.25">
      <c r="A10" s="8" t="s">
        <v>2384</v>
      </c>
      <c r="B10" s="7" t="s">
        <v>2385</v>
      </c>
      <c r="C10" s="6" t="s">
        <v>2563</v>
      </c>
    </row>
    <row r="11" spans="1:3" x14ac:dyDescent="0.25">
      <c r="A11" s="8" t="s">
        <v>2387</v>
      </c>
      <c r="B11" s="7" t="s">
        <v>2388</v>
      </c>
      <c r="C11" s="6" t="s">
        <v>2563</v>
      </c>
    </row>
    <row r="12" spans="1:3" x14ac:dyDescent="0.25">
      <c r="A12" s="8" t="s">
        <v>2382</v>
      </c>
      <c r="B12" s="7" t="s">
        <v>2381</v>
      </c>
      <c r="C12" s="6" t="s">
        <v>2563</v>
      </c>
    </row>
    <row r="13" spans="1:3" x14ac:dyDescent="0.25">
      <c r="A13" s="8" t="s">
        <v>2389</v>
      </c>
      <c r="B13" s="7" t="s">
        <v>2390</v>
      </c>
      <c r="C13" s="6" t="s">
        <v>2563</v>
      </c>
    </row>
    <row r="14" spans="1:3" x14ac:dyDescent="0.25">
      <c r="A14" s="8" t="s">
        <v>2391</v>
      </c>
      <c r="B14" s="7" t="s">
        <v>2385</v>
      </c>
      <c r="C14" s="6" t="s">
        <v>2563</v>
      </c>
    </row>
    <row r="15" spans="1:3" x14ac:dyDescent="0.25">
      <c r="A15" s="8" t="s">
        <v>2569</v>
      </c>
      <c r="B15" s="7" t="s">
        <v>2381</v>
      </c>
      <c r="C15" s="6" t="s">
        <v>2563</v>
      </c>
    </row>
    <row r="16" spans="1:3" ht="15.75" thickBot="1" x14ac:dyDescent="0.3">
      <c r="A16" s="5" t="s">
        <v>2392</v>
      </c>
      <c r="B16" s="4" t="s">
        <v>2388</v>
      </c>
      <c r="C16" s="3" t="s">
        <v>2563</v>
      </c>
    </row>
    <row r="17" spans="1:3" x14ac:dyDescent="0.25">
      <c r="A17" s="2"/>
      <c r="B17" s="2"/>
      <c r="C17" s="2"/>
    </row>
  </sheetData>
  <conditionalFormatting sqref="A1:C16">
    <cfRule type="containsText" dxfId="286" priority="1" operator="containsText" text="Добавить">
      <formula>NOT(ISERROR(SEARCH("Добавить",A1)))</formula>
    </cfRule>
    <cfRule type="containsText" dxfId="285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>
    <tabColor rgb="FF000000"/>
  </sheetPr>
  <dimension ref="A1:F70"/>
  <sheetViews>
    <sheetView workbookViewId="0">
      <selection sqref="A1:F70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2412</v>
      </c>
      <c r="B1" s="54" t="s">
        <v>2413</v>
      </c>
      <c r="C1" s="54" t="s">
        <v>2414</v>
      </c>
      <c r="D1" s="54" t="s">
        <v>2415</v>
      </c>
      <c r="E1" s="54" t="s">
        <v>2416</v>
      </c>
      <c r="F1" s="53" t="s">
        <v>2369</v>
      </c>
    </row>
    <row r="2" spans="1:6" ht="16.5" x14ac:dyDescent="0.25">
      <c r="A2" s="88" t="s">
        <v>2552</v>
      </c>
      <c r="B2" s="93"/>
      <c r="C2" s="93"/>
      <c r="D2" s="93"/>
      <c r="E2" s="93"/>
      <c r="F2" s="89"/>
    </row>
    <row r="3" spans="1:6" ht="16.5" x14ac:dyDescent="0.25">
      <c r="A3" s="50">
        <v>1</v>
      </c>
      <c r="B3" s="55" t="s">
        <v>2417</v>
      </c>
      <c r="C3" s="55" t="s">
        <v>2553</v>
      </c>
      <c r="D3" s="55">
        <v>18</v>
      </c>
      <c r="E3" s="55">
        <v>5.17</v>
      </c>
      <c r="F3" s="51" t="s">
        <v>2646</v>
      </c>
    </row>
    <row r="4" spans="1:6" ht="16.5" x14ac:dyDescent="0.25">
      <c r="A4" s="50" t="s">
        <v>2418</v>
      </c>
      <c r="B4" s="55" t="s">
        <v>2417</v>
      </c>
      <c r="C4" s="55" t="s">
        <v>2532</v>
      </c>
      <c r="D4" s="55">
        <v>29.6</v>
      </c>
      <c r="E4" s="55">
        <v>1.49</v>
      </c>
      <c r="F4" s="51" t="s">
        <v>2647</v>
      </c>
    </row>
    <row r="5" spans="1:6" ht="16.5" x14ac:dyDescent="0.25">
      <c r="A5" s="50" t="s">
        <v>2542</v>
      </c>
      <c r="B5" s="55" t="s">
        <v>2417</v>
      </c>
      <c r="C5" s="55" t="s">
        <v>2532</v>
      </c>
      <c r="D5" s="55">
        <v>16</v>
      </c>
      <c r="E5" s="55">
        <v>1.49</v>
      </c>
      <c r="F5" s="51" t="s">
        <v>2648</v>
      </c>
    </row>
    <row r="6" spans="1:6" ht="16.5" x14ac:dyDescent="0.25">
      <c r="A6" s="50" t="s">
        <v>2543</v>
      </c>
      <c r="B6" s="55" t="s">
        <v>2417</v>
      </c>
      <c r="C6" s="55" t="s">
        <v>2539</v>
      </c>
      <c r="D6" s="55">
        <v>60</v>
      </c>
      <c r="E6" s="55">
        <v>1.88</v>
      </c>
      <c r="F6" s="51" t="s">
        <v>2649</v>
      </c>
    </row>
    <row r="7" spans="1:6" ht="16.5" x14ac:dyDescent="0.25">
      <c r="A7" s="50" t="s">
        <v>2544</v>
      </c>
      <c r="B7" s="55" t="s">
        <v>2419</v>
      </c>
      <c r="C7" s="55" t="s">
        <v>2537</v>
      </c>
      <c r="D7" s="55">
        <v>48</v>
      </c>
      <c r="E7" s="55">
        <v>0.08</v>
      </c>
      <c r="F7" s="51" t="s">
        <v>2650</v>
      </c>
    </row>
    <row r="8" spans="1:6" ht="16.5" x14ac:dyDescent="0.25">
      <c r="A8" s="50">
        <v>6</v>
      </c>
      <c r="B8" s="55" t="s">
        <v>2417</v>
      </c>
      <c r="C8" s="55" t="s">
        <v>2540</v>
      </c>
      <c r="D8" s="55">
        <v>30</v>
      </c>
      <c r="E8" s="55">
        <v>0.87</v>
      </c>
      <c r="F8" s="51" t="s">
        <v>2651</v>
      </c>
    </row>
    <row r="9" spans="1:6" ht="16.5" x14ac:dyDescent="0.25">
      <c r="A9" s="50">
        <v>7</v>
      </c>
      <c r="B9" s="55" t="s">
        <v>2417</v>
      </c>
      <c r="C9" s="55" t="s">
        <v>2553</v>
      </c>
      <c r="D9" s="55">
        <v>13</v>
      </c>
      <c r="E9" s="55">
        <v>5.17</v>
      </c>
      <c r="F9" s="51" t="s">
        <v>2652</v>
      </c>
    </row>
    <row r="10" spans="1:6" ht="16.5" x14ac:dyDescent="0.25">
      <c r="A10" s="50" t="s">
        <v>2546</v>
      </c>
      <c r="B10" s="55" t="s">
        <v>2417</v>
      </c>
      <c r="C10" s="55" t="s">
        <v>2536</v>
      </c>
      <c r="D10" s="55">
        <v>10</v>
      </c>
      <c r="E10" s="55">
        <v>1.61</v>
      </c>
      <c r="F10" s="51" t="s">
        <v>2653</v>
      </c>
    </row>
    <row r="11" spans="1:6" ht="16.5" x14ac:dyDescent="0.25">
      <c r="A11" s="50" t="s">
        <v>2560</v>
      </c>
      <c r="B11" s="55" t="s">
        <v>2417</v>
      </c>
      <c r="C11" s="55" t="s">
        <v>2554</v>
      </c>
      <c r="D11" s="55">
        <v>30</v>
      </c>
      <c r="E11" s="55">
        <v>1.41</v>
      </c>
      <c r="F11" s="51" t="s">
        <v>2654</v>
      </c>
    </row>
    <row r="12" spans="1:6" ht="16.5" x14ac:dyDescent="0.25">
      <c r="A12" s="50" t="s">
        <v>2372</v>
      </c>
      <c r="B12" s="55" t="s">
        <v>2463</v>
      </c>
      <c r="C12" s="55" t="s">
        <v>2520</v>
      </c>
      <c r="D12" s="55">
        <v>2.8600000000000003</v>
      </c>
      <c r="E12" s="55" t="s">
        <v>4</v>
      </c>
      <c r="F12" s="51" t="s">
        <v>3</v>
      </c>
    </row>
    <row r="13" spans="1:6" ht="16.5" x14ac:dyDescent="0.25">
      <c r="A13" s="50" t="s">
        <v>2372</v>
      </c>
      <c r="B13" s="55" t="s">
        <v>2463</v>
      </c>
      <c r="C13" s="55" t="s">
        <v>2464</v>
      </c>
      <c r="D13" s="55">
        <v>0.65</v>
      </c>
      <c r="E13" s="55" t="s">
        <v>4</v>
      </c>
      <c r="F13" s="51" t="s">
        <v>3</v>
      </c>
    </row>
    <row r="14" spans="1:6" ht="16.5" x14ac:dyDescent="0.25">
      <c r="A14" s="88" t="s">
        <v>2555</v>
      </c>
      <c r="B14" s="93"/>
      <c r="C14" s="93"/>
      <c r="D14" s="93"/>
      <c r="E14" s="93"/>
      <c r="F14" s="89"/>
    </row>
    <row r="15" spans="1:6" ht="16.5" x14ac:dyDescent="0.25">
      <c r="A15" s="50">
        <v>1</v>
      </c>
      <c r="B15" s="55" t="s">
        <v>2417</v>
      </c>
      <c r="C15" s="55" t="s">
        <v>2556</v>
      </c>
      <c r="D15" s="55">
        <v>36</v>
      </c>
      <c r="E15" s="55">
        <v>6.8199999999999994</v>
      </c>
      <c r="F15" s="51" t="s">
        <v>2655</v>
      </c>
    </row>
    <row r="16" spans="1:6" ht="16.5" x14ac:dyDescent="0.25">
      <c r="A16" s="50" t="s">
        <v>2418</v>
      </c>
      <c r="B16" s="55" t="s">
        <v>2417</v>
      </c>
      <c r="C16" s="55" t="s">
        <v>2531</v>
      </c>
      <c r="D16" s="55">
        <v>39</v>
      </c>
      <c r="E16" s="55">
        <v>2.34</v>
      </c>
      <c r="F16" s="51" t="s">
        <v>2656</v>
      </c>
    </row>
    <row r="17" spans="1:6" ht="16.5" x14ac:dyDescent="0.25">
      <c r="A17" s="50" t="s">
        <v>2542</v>
      </c>
      <c r="B17" s="55" t="s">
        <v>2417</v>
      </c>
      <c r="C17" s="55" t="s">
        <v>2532</v>
      </c>
      <c r="D17" s="55">
        <v>35</v>
      </c>
      <c r="E17" s="55">
        <v>1.49</v>
      </c>
      <c r="F17" s="51" t="s">
        <v>2657</v>
      </c>
    </row>
    <row r="18" spans="1:6" ht="16.5" x14ac:dyDescent="0.25">
      <c r="A18" s="50" t="s">
        <v>2544</v>
      </c>
      <c r="B18" s="55" t="s">
        <v>2419</v>
      </c>
      <c r="C18" s="55" t="s">
        <v>2537</v>
      </c>
      <c r="D18" s="55">
        <v>138</v>
      </c>
      <c r="E18" s="55">
        <v>0.08</v>
      </c>
      <c r="F18" s="51" t="s">
        <v>2658</v>
      </c>
    </row>
    <row r="19" spans="1:6" ht="16.5" x14ac:dyDescent="0.25">
      <c r="A19" s="50">
        <v>6</v>
      </c>
      <c r="B19" s="55" t="s">
        <v>2417</v>
      </c>
      <c r="C19" s="55" t="s">
        <v>2534</v>
      </c>
      <c r="D19" s="55">
        <v>78</v>
      </c>
      <c r="E19" s="55">
        <v>5.6499999999999995</v>
      </c>
      <c r="F19" s="51" t="s">
        <v>2659</v>
      </c>
    </row>
    <row r="20" spans="1:6" ht="16.5" x14ac:dyDescent="0.25">
      <c r="A20" s="50">
        <v>7</v>
      </c>
      <c r="B20" s="55" t="s">
        <v>2417</v>
      </c>
      <c r="C20" s="55" t="s">
        <v>2556</v>
      </c>
      <c r="D20" s="55">
        <v>39</v>
      </c>
      <c r="E20" s="55">
        <v>6.8199999999999994</v>
      </c>
      <c r="F20" s="51" t="s">
        <v>2660</v>
      </c>
    </row>
    <row r="21" spans="1:6" ht="16.5" x14ac:dyDescent="0.25">
      <c r="A21" s="50" t="s">
        <v>2545</v>
      </c>
      <c r="B21" s="55" t="s">
        <v>2417</v>
      </c>
      <c r="C21" s="55" t="s">
        <v>2535</v>
      </c>
      <c r="D21" s="55">
        <v>78</v>
      </c>
      <c r="E21" s="55">
        <v>3.6399999999999997</v>
      </c>
      <c r="F21" s="51" t="s">
        <v>2661</v>
      </c>
    </row>
    <row r="22" spans="1:6" ht="16.5" x14ac:dyDescent="0.25">
      <c r="A22" s="50" t="s">
        <v>2546</v>
      </c>
      <c r="B22" s="55" t="s">
        <v>2417</v>
      </c>
      <c r="C22" s="55" t="s">
        <v>2536</v>
      </c>
      <c r="D22" s="55">
        <v>36</v>
      </c>
      <c r="E22" s="55">
        <v>1.61</v>
      </c>
      <c r="F22" s="51" t="s">
        <v>2662</v>
      </c>
    </row>
    <row r="23" spans="1:6" ht="16.5" x14ac:dyDescent="0.25">
      <c r="A23" s="50" t="s">
        <v>2372</v>
      </c>
      <c r="B23" s="55" t="s">
        <v>2463</v>
      </c>
      <c r="C23" s="55" t="s">
        <v>2464</v>
      </c>
      <c r="D23" s="55">
        <v>5.4599999999999991</v>
      </c>
      <c r="E23" s="55" t="s">
        <v>4</v>
      </c>
      <c r="F23" s="51" t="s">
        <v>3</v>
      </c>
    </row>
    <row r="24" spans="1:6" ht="16.5" x14ac:dyDescent="0.25">
      <c r="A24" s="50" t="s">
        <v>2372</v>
      </c>
      <c r="B24" s="55" t="s">
        <v>2463</v>
      </c>
      <c r="C24" s="55" t="s">
        <v>2520</v>
      </c>
      <c r="D24" s="55">
        <v>1.1700000000000002</v>
      </c>
      <c r="E24" s="55" t="s">
        <v>4</v>
      </c>
      <c r="F24" s="51" t="s">
        <v>3</v>
      </c>
    </row>
    <row r="25" spans="1:6" ht="16.5" x14ac:dyDescent="0.25">
      <c r="A25" s="50" t="s">
        <v>2465</v>
      </c>
      <c r="B25" s="55" t="s">
        <v>2433</v>
      </c>
      <c r="C25" s="55" t="s">
        <v>2466</v>
      </c>
      <c r="D25" s="55">
        <v>12</v>
      </c>
      <c r="E25" s="55" t="s">
        <v>4</v>
      </c>
      <c r="F25" s="51" t="s">
        <v>4</v>
      </c>
    </row>
    <row r="26" spans="1:6" ht="16.5" x14ac:dyDescent="0.25">
      <c r="A26" s="88" t="s">
        <v>2557</v>
      </c>
      <c r="B26" s="93"/>
      <c r="C26" s="93"/>
      <c r="D26" s="93"/>
      <c r="E26" s="93"/>
      <c r="F26" s="89"/>
    </row>
    <row r="27" spans="1:6" ht="16.5" x14ac:dyDescent="0.25">
      <c r="A27" s="50">
        <v>1</v>
      </c>
      <c r="B27" s="55" t="s">
        <v>2417</v>
      </c>
      <c r="C27" s="55" t="s">
        <v>2470</v>
      </c>
      <c r="D27" s="55">
        <v>2009.81</v>
      </c>
      <c r="E27" s="55">
        <v>0.88800000000000001</v>
      </c>
      <c r="F27" s="51" t="s">
        <v>2663</v>
      </c>
    </row>
    <row r="28" spans="1:6" ht="16.5" x14ac:dyDescent="0.25">
      <c r="A28" s="50" t="s">
        <v>2418</v>
      </c>
      <c r="B28" s="55" t="s">
        <v>2417</v>
      </c>
      <c r="C28" s="55" t="s">
        <v>2531</v>
      </c>
      <c r="D28" s="55">
        <v>650</v>
      </c>
      <c r="E28" s="55">
        <v>2.34</v>
      </c>
      <c r="F28" s="51" t="s">
        <v>2664</v>
      </c>
    </row>
    <row r="29" spans="1:6" ht="16.5" x14ac:dyDescent="0.25">
      <c r="A29" s="50" t="s">
        <v>2542</v>
      </c>
      <c r="B29" s="55" t="s">
        <v>2417</v>
      </c>
      <c r="C29" s="55" t="s">
        <v>2532</v>
      </c>
      <c r="D29" s="55">
        <v>176</v>
      </c>
      <c r="E29" s="55">
        <v>1.49</v>
      </c>
      <c r="F29" s="51" t="s">
        <v>2665</v>
      </c>
    </row>
    <row r="30" spans="1:6" ht="16.5" x14ac:dyDescent="0.25">
      <c r="A30" s="50" t="s">
        <v>2544</v>
      </c>
      <c r="B30" s="55" t="s">
        <v>2417</v>
      </c>
      <c r="C30" s="55" t="s">
        <v>2533</v>
      </c>
      <c r="D30" s="55">
        <v>1300</v>
      </c>
      <c r="E30" s="55">
        <v>5.12</v>
      </c>
      <c r="F30" s="51" t="s">
        <v>2666</v>
      </c>
    </row>
    <row r="31" spans="1:6" ht="16.5" x14ac:dyDescent="0.25">
      <c r="A31" s="50">
        <v>6</v>
      </c>
      <c r="B31" s="55" t="s">
        <v>2419</v>
      </c>
      <c r="C31" s="55" t="s">
        <v>2537</v>
      </c>
      <c r="D31" s="55">
        <v>2282</v>
      </c>
      <c r="E31" s="55">
        <v>0.08</v>
      </c>
      <c r="F31" s="51" t="s">
        <v>2667</v>
      </c>
    </row>
    <row r="32" spans="1:6" ht="16.5" x14ac:dyDescent="0.25">
      <c r="A32" s="50">
        <v>7</v>
      </c>
      <c r="B32" s="55" t="s">
        <v>2417</v>
      </c>
      <c r="C32" s="55" t="s">
        <v>2534</v>
      </c>
      <c r="D32" s="55">
        <v>1300</v>
      </c>
      <c r="E32" s="55">
        <v>5.6499999999999995</v>
      </c>
      <c r="F32" s="51" t="s">
        <v>2668</v>
      </c>
    </row>
    <row r="33" spans="1:6" ht="16.5" x14ac:dyDescent="0.25">
      <c r="A33" s="50">
        <v>8</v>
      </c>
      <c r="B33" s="55" t="s">
        <v>2417</v>
      </c>
      <c r="C33" s="55" t="s">
        <v>2470</v>
      </c>
      <c r="D33" s="55">
        <v>1041.95</v>
      </c>
      <c r="E33" s="55">
        <v>0.88800000000000001</v>
      </c>
      <c r="F33" s="51" t="s">
        <v>2669</v>
      </c>
    </row>
    <row r="34" spans="1:6" ht="16.5" x14ac:dyDescent="0.25">
      <c r="A34" s="50" t="s">
        <v>2546</v>
      </c>
      <c r="B34" s="55" t="s">
        <v>2417</v>
      </c>
      <c r="C34" s="55" t="s">
        <v>2535</v>
      </c>
      <c r="D34" s="55">
        <v>1300</v>
      </c>
      <c r="E34" s="55">
        <v>3.6399999999999997</v>
      </c>
      <c r="F34" s="51" t="s">
        <v>2670</v>
      </c>
    </row>
    <row r="35" spans="1:6" ht="16.5" x14ac:dyDescent="0.25">
      <c r="A35" s="50" t="s">
        <v>2547</v>
      </c>
      <c r="B35" s="55" t="s">
        <v>2417</v>
      </c>
      <c r="C35" s="55" t="s">
        <v>2536</v>
      </c>
      <c r="D35" s="55">
        <v>182</v>
      </c>
      <c r="E35" s="55">
        <v>1.61</v>
      </c>
      <c r="F35" s="51" t="s">
        <v>2671</v>
      </c>
    </row>
    <row r="36" spans="1:6" ht="16.5" x14ac:dyDescent="0.25">
      <c r="A36" s="50" t="s">
        <v>2372</v>
      </c>
      <c r="B36" s="55" t="s">
        <v>2463</v>
      </c>
      <c r="C36" s="55" t="s">
        <v>2464</v>
      </c>
      <c r="D36" s="55">
        <v>89.7</v>
      </c>
      <c r="E36" s="55" t="s">
        <v>4</v>
      </c>
      <c r="F36" s="51" t="s">
        <v>3</v>
      </c>
    </row>
    <row r="37" spans="1:6" ht="16.5" x14ac:dyDescent="0.25">
      <c r="A37" s="50" t="s">
        <v>2372</v>
      </c>
      <c r="B37" s="55" t="s">
        <v>2463</v>
      </c>
      <c r="C37" s="55" t="s">
        <v>2520</v>
      </c>
      <c r="D37" s="55">
        <v>19.5</v>
      </c>
      <c r="E37" s="55" t="s">
        <v>4</v>
      </c>
      <c r="F37" s="51" t="s">
        <v>3</v>
      </c>
    </row>
    <row r="38" spans="1:6" ht="16.5" x14ac:dyDescent="0.25">
      <c r="A38" s="50" t="s">
        <v>2465</v>
      </c>
      <c r="B38" s="55" t="s">
        <v>2433</v>
      </c>
      <c r="C38" s="55" t="s">
        <v>2466</v>
      </c>
      <c r="D38" s="55">
        <v>170</v>
      </c>
      <c r="E38" s="55" t="s">
        <v>4</v>
      </c>
      <c r="F38" s="51" t="s">
        <v>4</v>
      </c>
    </row>
    <row r="39" spans="1:6" ht="16.5" x14ac:dyDescent="0.25">
      <c r="A39" s="88" t="s">
        <v>2558</v>
      </c>
      <c r="B39" s="93"/>
      <c r="C39" s="93"/>
      <c r="D39" s="93"/>
      <c r="E39" s="93"/>
      <c r="F39" s="89"/>
    </row>
    <row r="40" spans="1:6" ht="16.5" x14ac:dyDescent="0.25">
      <c r="A40" s="50">
        <v>1</v>
      </c>
      <c r="B40" s="55" t="s">
        <v>2417</v>
      </c>
      <c r="C40" s="55" t="s">
        <v>2530</v>
      </c>
      <c r="D40" s="55">
        <v>36</v>
      </c>
      <c r="E40" s="55">
        <v>3.64</v>
      </c>
      <c r="F40" s="51" t="s">
        <v>2672</v>
      </c>
    </row>
    <row r="41" spans="1:6" ht="16.5" x14ac:dyDescent="0.25">
      <c r="A41" s="50" t="s">
        <v>2418</v>
      </c>
      <c r="B41" s="55" t="s">
        <v>2417</v>
      </c>
      <c r="C41" s="55" t="s">
        <v>2531</v>
      </c>
      <c r="D41" s="55">
        <v>42</v>
      </c>
      <c r="E41" s="55">
        <v>2.34</v>
      </c>
      <c r="F41" s="51" t="s">
        <v>2673</v>
      </c>
    </row>
    <row r="42" spans="1:6" ht="16.5" x14ac:dyDescent="0.25">
      <c r="A42" s="50" t="s">
        <v>2542</v>
      </c>
      <c r="B42" s="55" t="s">
        <v>2417</v>
      </c>
      <c r="C42" s="55" t="s">
        <v>2532</v>
      </c>
      <c r="D42" s="55">
        <v>35</v>
      </c>
      <c r="E42" s="55">
        <v>1.49</v>
      </c>
      <c r="F42" s="51" t="s">
        <v>2657</v>
      </c>
    </row>
    <row r="43" spans="1:6" ht="16.5" x14ac:dyDescent="0.25">
      <c r="A43" s="50" t="s">
        <v>2544</v>
      </c>
      <c r="B43" s="55" t="s">
        <v>2417</v>
      </c>
      <c r="C43" s="55" t="s">
        <v>2533</v>
      </c>
      <c r="D43" s="55">
        <v>83</v>
      </c>
      <c r="E43" s="55">
        <v>5.12</v>
      </c>
      <c r="F43" s="51" t="s">
        <v>2674</v>
      </c>
    </row>
    <row r="44" spans="1:6" ht="16.5" x14ac:dyDescent="0.25">
      <c r="A44" s="50" t="s">
        <v>2561</v>
      </c>
      <c r="B44" s="55" t="s">
        <v>2419</v>
      </c>
      <c r="C44" s="55" t="s">
        <v>2537</v>
      </c>
      <c r="D44" s="55">
        <v>147</v>
      </c>
      <c r="E44" s="55">
        <v>0.08</v>
      </c>
      <c r="F44" s="51" t="s">
        <v>2675</v>
      </c>
    </row>
    <row r="45" spans="1:6" ht="16.5" x14ac:dyDescent="0.25">
      <c r="A45" s="50">
        <v>7</v>
      </c>
      <c r="B45" s="55" t="s">
        <v>2417</v>
      </c>
      <c r="C45" s="55" t="s">
        <v>2534</v>
      </c>
      <c r="D45" s="55">
        <v>83</v>
      </c>
      <c r="E45" s="55">
        <v>5.6499999999999995</v>
      </c>
      <c r="F45" s="51" t="s">
        <v>2676</v>
      </c>
    </row>
    <row r="46" spans="1:6" ht="16.5" x14ac:dyDescent="0.25">
      <c r="A46" s="50">
        <v>8</v>
      </c>
      <c r="B46" s="55" t="s">
        <v>2417</v>
      </c>
      <c r="C46" s="55" t="s">
        <v>2530</v>
      </c>
      <c r="D46" s="55">
        <v>38</v>
      </c>
      <c r="E46" s="55">
        <v>3.64</v>
      </c>
      <c r="F46" s="51" t="s">
        <v>2677</v>
      </c>
    </row>
    <row r="47" spans="1:6" ht="16.5" x14ac:dyDescent="0.25">
      <c r="A47" s="50" t="s">
        <v>2546</v>
      </c>
      <c r="B47" s="55" t="s">
        <v>2417</v>
      </c>
      <c r="C47" s="55" t="s">
        <v>2535</v>
      </c>
      <c r="D47" s="55">
        <v>83</v>
      </c>
      <c r="E47" s="55">
        <v>3.6399999999999997</v>
      </c>
      <c r="F47" s="51" t="s">
        <v>2678</v>
      </c>
    </row>
    <row r="48" spans="1:6" ht="16.5" x14ac:dyDescent="0.25">
      <c r="A48" s="50" t="s">
        <v>2547</v>
      </c>
      <c r="B48" s="55" t="s">
        <v>2417</v>
      </c>
      <c r="C48" s="55" t="s">
        <v>2536</v>
      </c>
      <c r="D48" s="55">
        <v>36</v>
      </c>
      <c r="E48" s="55">
        <v>1.61</v>
      </c>
      <c r="F48" s="51" t="s">
        <v>2662</v>
      </c>
    </row>
    <row r="49" spans="1:6" ht="16.5" x14ac:dyDescent="0.25">
      <c r="A49" s="50" t="s">
        <v>2372</v>
      </c>
      <c r="B49" s="55" t="s">
        <v>2463</v>
      </c>
      <c r="C49" s="55" t="s">
        <v>2464</v>
      </c>
      <c r="D49" s="55">
        <v>5.8500000000000005</v>
      </c>
      <c r="E49" s="55" t="s">
        <v>4</v>
      </c>
      <c r="F49" s="51" t="s">
        <v>3</v>
      </c>
    </row>
    <row r="50" spans="1:6" ht="16.5" x14ac:dyDescent="0.25">
      <c r="A50" s="50" t="s">
        <v>2372</v>
      </c>
      <c r="B50" s="55" t="s">
        <v>2463</v>
      </c>
      <c r="C50" s="55" t="s">
        <v>2520</v>
      </c>
      <c r="D50" s="55">
        <v>1.3</v>
      </c>
      <c r="E50" s="55" t="s">
        <v>4</v>
      </c>
      <c r="F50" s="51" t="s">
        <v>3</v>
      </c>
    </row>
    <row r="51" spans="1:6" ht="16.5" x14ac:dyDescent="0.25">
      <c r="A51" s="50" t="s">
        <v>2465</v>
      </c>
      <c r="B51" s="55" t="s">
        <v>2433</v>
      </c>
      <c r="C51" s="55" t="s">
        <v>2466</v>
      </c>
      <c r="D51" s="55">
        <v>12</v>
      </c>
      <c r="E51" s="55" t="s">
        <v>4</v>
      </c>
      <c r="F51" s="51" t="s">
        <v>4</v>
      </c>
    </row>
    <row r="52" spans="1:6" ht="16.5" x14ac:dyDescent="0.25">
      <c r="A52" s="88" t="s">
        <v>2559</v>
      </c>
      <c r="B52" s="93"/>
      <c r="C52" s="93"/>
      <c r="D52" s="93"/>
      <c r="E52" s="93"/>
      <c r="F52" s="89"/>
    </row>
    <row r="53" spans="1:6" ht="16.5" x14ac:dyDescent="0.25">
      <c r="A53" s="50">
        <v>1</v>
      </c>
      <c r="B53" s="55" t="s">
        <v>2417</v>
      </c>
      <c r="C53" s="55" t="s">
        <v>2538</v>
      </c>
      <c r="D53" s="55">
        <v>17</v>
      </c>
      <c r="E53" s="55">
        <v>6.5</v>
      </c>
      <c r="F53" s="51" t="s">
        <v>2679</v>
      </c>
    </row>
    <row r="54" spans="1:6" ht="16.5" x14ac:dyDescent="0.25">
      <c r="A54" s="50" t="s">
        <v>2418</v>
      </c>
      <c r="B54" s="55" t="s">
        <v>2417</v>
      </c>
      <c r="C54" s="55" t="s">
        <v>2532</v>
      </c>
      <c r="D54" s="55">
        <v>38</v>
      </c>
      <c r="E54" s="55">
        <v>1.49</v>
      </c>
      <c r="F54" s="51" t="s">
        <v>2680</v>
      </c>
    </row>
    <row r="55" spans="1:6" ht="16.5" x14ac:dyDescent="0.25">
      <c r="A55" s="50" t="s">
        <v>2542</v>
      </c>
      <c r="B55" s="55" t="s">
        <v>2417</v>
      </c>
      <c r="C55" s="55" t="s">
        <v>2532</v>
      </c>
      <c r="D55" s="55">
        <v>16</v>
      </c>
      <c r="E55" s="55">
        <v>1.49</v>
      </c>
      <c r="F55" s="51" t="s">
        <v>2648</v>
      </c>
    </row>
    <row r="56" spans="1:6" ht="16.5" x14ac:dyDescent="0.25">
      <c r="A56" s="50" t="s">
        <v>2544</v>
      </c>
      <c r="B56" s="55" t="s">
        <v>2417</v>
      </c>
      <c r="C56" s="55" t="s">
        <v>2539</v>
      </c>
      <c r="D56" s="55">
        <v>75</v>
      </c>
      <c r="E56" s="55">
        <v>1.88</v>
      </c>
      <c r="F56" s="51" t="s">
        <v>2681</v>
      </c>
    </row>
    <row r="57" spans="1:6" ht="16.5" x14ac:dyDescent="0.25">
      <c r="A57" s="50" t="s">
        <v>2561</v>
      </c>
      <c r="B57" s="55" t="s">
        <v>2419</v>
      </c>
      <c r="C57" s="55" t="s">
        <v>2537</v>
      </c>
      <c r="D57" s="55">
        <v>111</v>
      </c>
      <c r="E57" s="55">
        <v>0.08</v>
      </c>
      <c r="F57" s="51" t="s">
        <v>2682</v>
      </c>
    </row>
    <row r="58" spans="1:6" ht="16.5" x14ac:dyDescent="0.25">
      <c r="A58" s="50">
        <v>7</v>
      </c>
      <c r="B58" s="55" t="s">
        <v>2417</v>
      </c>
      <c r="C58" s="55" t="s">
        <v>2540</v>
      </c>
      <c r="D58" s="55">
        <v>148</v>
      </c>
      <c r="E58" s="55">
        <v>0.87</v>
      </c>
      <c r="F58" s="51" t="s">
        <v>2683</v>
      </c>
    </row>
    <row r="59" spans="1:6" ht="16.5" x14ac:dyDescent="0.25">
      <c r="A59" s="50">
        <v>8</v>
      </c>
      <c r="B59" s="55" t="s">
        <v>2417</v>
      </c>
      <c r="C59" s="55" t="s">
        <v>2538</v>
      </c>
      <c r="D59" s="55">
        <v>12</v>
      </c>
      <c r="E59" s="55">
        <v>6.5</v>
      </c>
      <c r="F59" s="51" t="s">
        <v>2684</v>
      </c>
    </row>
    <row r="60" spans="1:6" ht="16.5" x14ac:dyDescent="0.25">
      <c r="A60" s="50" t="s">
        <v>2546</v>
      </c>
      <c r="B60" s="55" t="s">
        <v>2417</v>
      </c>
      <c r="C60" s="55" t="s">
        <v>2536</v>
      </c>
      <c r="D60" s="55">
        <v>148</v>
      </c>
      <c r="E60" s="55">
        <v>1.61</v>
      </c>
      <c r="F60" s="51" t="s">
        <v>2685</v>
      </c>
    </row>
    <row r="61" spans="1:6" ht="16.5" x14ac:dyDescent="0.25">
      <c r="A61" s="50" t="s">
        <v>2547</v>
      </c>
      <c r="B61" s="55" t="s">
        <v>2417</v>
      </c>
      <c r="C61" s="55" t="s">
        <v>2536</v>
      </c>
      <c r="D61" s="55">
        <v>10</v>
      </c>
      <c r="E61" s="55">
        <v>1.61</v>
      </c>
      <c r="F61" s="51" t="s">
        <v>2653</v>
      </c>
    </row>
    <row r="62" spans="1:6" ht="16.5" x14ac:dyDescent="0.25">
      <c r="A62" s="50" t="s">
        <v>2372</v>
      </c>
      <c r="B62" s="55" t="s">
        <v>2463</v>
      </c>
      <c r="C62" s="55" t="s">
        <v>2464</v>
      </c>
      <c r="D62" s="55">
        <v>1.3</v>
      </c>
      <c r="E62" s="55" t="s">
        <v>4</v>
      </c>
      <c r="F62" s="51" t="s">
        <v>3</v>
      </c>
    </row>
    <row r="63" spans="1:6" ht="16.5" x14ac:dyDescent="0.25">
      <c r="A63" s="50" t="s">
        <v>2372</v>
      </c>
      <c r="B63" s="55" t="s">
        <v>2463</v>
      </c>
      <c r="C63" s="55" t="s">
        <v>2520</v>
      </c>
      <c r="D63" s="55">
        <v>1.3</v>
      </c>
      <c r="E63" s="55" t="s">
        <v>4</v>
      </c>
      <c r="F63" s="51" t="s">
        <v>3</v>
      </c>
    </row>
    <row r="64" spans="1:6" ht="16.5" x14ac:dyDescent="0.25">
      <c r="A64" s="50" t="s">
        <v>2465</v>
      </c>
      <c r="B64" s="55" t="s">
        <v>2433</v>
      </c>
      <c r="C64" s="55" t="s">
        <v>2466</v>
      </c>
      <c r="D64" s="55">
        <v>7</v>
      </c>
      <c r="E64" s="55" t="s">
        <v>4</v>
      </c>
      <c r="F64" s="51" t="s">
        <v>4</v>
      </c>
    </row>
    <row r="65" spans="1:6" ht="16.5" x14ac:dyDescent="0.25">
      <c r="A65" s="88" t="s">
        <v>2541</v>
      </c>
      <c r="B65" s="93"/>
      <c r="C65" s="93"/>
      <c r="D65" s="93"/>
      <c r="E65" s="93"/>
      <c r="F65" s="89"/>
    </row>
    <row r="66" spans="1:6" ht="16.5" x14ac:dyDescent="0.25">
      <c r="A66" s="50" t="s">
        <v>2372</v>
      </c>
      <c r="B66" s="55" t="s">
        <v>2372</v>
      </c>
      <c r="C66" s="55" t="s">
        <v>2511</v>
      </c>
      <c r="D66" s="55">
        <v>63.7</v>
      </c>
      <c r="E66" s="55" t="s">
        <v>4</v>
      </c>
      <c r="F66" s="51" t="s">
        <v>2361</v>
      </c>
    </row>
    <row r="67" spans="1:6" ht="16.5" x14ac:dyDescent="0.25">
      <c r="A67" s="50" t="s">
        <v>2372</v>
      </c>
      <c r="B67" s="55" t="s">
        <v>2519</v>
      </c>
      <c r="C67" s="55" t="s">
        <v>2518</v>
      </c>
      <c r="D67" s="55">
        <v>23306.400000000001</v>
      </c>
      <c r="E67" s="55" t="s">
        <v>4</v>
      </c>
      <c r="F67" s="51" t="s">
        <v>3</v>
      </c>
    </row>
    <row r="68" spans="1:6" ht="16.5" x14ac:dyDescent="0.25">
      <c r="A68" s="50" t="s">
        <v>2372</v>
      </c>
      <c r="B68" s="55" t="s">
        <v>2517</v>
      </c>
      <c r="C68" s="55" t="s">
        <v>2516</v>
      </c>
      <c r="D68" s="55">
        <v>26164.320000000007</v>
      </c>
      <c r="E68" s="55" t="s">
        <v>4</v>
      </c>
      <c r="F68" s="51" t="s">
        <v>3</v>
      </c>
    </row>
    <row r="69" spans="1:6" ht="16.5" x14ac:dyDescent="0.25">
      <c r="A69" s="50" t="s">
        <v>2372</v>
      </c>
      <c r="B69" s="55" t="s">
        <v>2515</v>
      </c>
      <c r="C69" s="55" t="s">
        <v>2514</v>
      </c>
      <c r="D69" s="55">
        <v>1325.8439999999998</v>
      </c>
      <c r="E69" s="55" t="s">
        <v>4</v>
      </c>
      <c r="F69" s="51" t="s">
        <v>2362</v>
      </c>
    </row>
    <row r="70" spans="1:6" ht="17.25" thickBot="1" x14ac:dyDescent="0.3">
      <c r="A70" s="47" t="s">
        <v>2372</v>
      </c>
      <c r="B70" s="48" t="s">
        <v>2513</v>
      </c>
      <c r="C70" s="48" t="s">
        <v>2512</v>
      </c>
      <c r="D70" s="48">
        <v>1950.91</v>
      </c>
      <c r="E70" s="48" t="s">
        <v>4</v>
      </c>
      <c r="F70" s="49" t="s">
        <v>2362</v>
      </c>
    </row>
  </sheetData>
  <mergeCells count="6">
    <mergeCell ref="A2:F2"/>
    <mergeCell ref="A14:F14"/>
    <mergeCell ref="A26:F26"/>
    <mergeCell ref="A39:F39"/>
    <mergeCell ref="A52:F52"/>
    <mergeCell ref="A65:F65"/>
  </mergeCells>
  <conditionalFormatting sqref="A1:F70">
    <cfRule type="containsText" dxfId="283" priority="1" stopIfTrue="1" operator="containsText" text="С ЛИСТА">
      <formula>NOT(ISERROR(SEARCH("С ЛИСТА",A1)))</formula>
    </cfRule>
    <cfRule type="containsText" dxfId="282" priority="2" stopIfTrue="1" operator="containsText" text="ИЗ ФАЙЛА">
      <formula>NOT(ISERROR(SEARCH("ИЗ ФАЙЛА",A1)))</formula>
    </cfRule>
    <cfRule type="containsText" dxfId="281" priority="3" stopIfTrue="1" operator="containsText" text="!!!">
      <formula>NOT(ISERROR(SEARCH("!!!",A1)))</formula>
    </cfRule>
    <cfRule type="containsText" dxfId="280" priority="4" stopIfTrue="1" operator="containsText" text=" Изделия ">
      <formula>NOT(ISERROR(SEARCH(" Изделия ",A1)))</formula>
    </cfRule>
    <cfRule type="containsText" dxfId="279" priority="5" stopIfTrue="1" operator="containsText" text=" Прокат ">
      <formula>NOT(ISERROR(SEARCH(" Прокат ",A1)))</formula>
    </cfRule>
    <cfRule type="containsText" dxfId="278" priority="6" stopIfTrue="1" operator="containsText" text=" Сборочные единицы ">
      <formula>NOT(ISERROR(SEARCH(" Сборочные единицы ",A1)))</formula>
    </cfRule>
    <cfRule type="containsText" dxfId="277" priority="7" stopIfTrue="1" operator="containsText" text=" Материалы ">
      <formula>NOT(ISERROR(SEARCH(" Материалы ",A1)))</formula>
    </cfRule>
    <cfRule type="containsText" dxfId="276" priority="8" stopIfTrue="1" operator="containsText" text=", на ">
      <formula>NOT(ISERROR(SEARCH(", на ",A1)))</formula>
    </cfRule>
    <cfRule type="containsText" dxfId="27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>
    <tabColor rgb="FF000000"/>
  </sheetPr>
  <dimension ref="A1:F11"/>
  <sheetViews>
    <sheetView workbookViewId="0">
      <selection sqref="A1:F11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2412</v>
      </c>
      <c r="B1" s="54" t="s">
        <v>2413</v>
      </c>
      <c r="C1" s="54" t="s">
        <v>2414</v>
      </c>
      <c r="D1" s="54" t="s">
        <v>2415</v>
      </c>
      <c r="E1" s="54" t="s">
        <v>2416</v>
      </c>
      <c r="F1" s="53" t="s">
        <v>2369</v>
      </c>
    </row>
    <row r="2" spans="1:6" ht="33" x14ac:dyDescent="0.25">
      <c r="A2" s="50" t="s">
        <v>2548</v>
      </c>
      <c r="B2" s="55" t="s">
        <v>2372</v>
      </c>
      <c r="C2" s="55" t="s">
        <v>2526</v>
      </c>
      <c r="D2" s="55">
        <v>1</v>
      </c>
      <c r="E2" s="55">
        <v>330.85399999999998</v>
      </c>
      <c r="F2" s="51" t="s">
        <v>2688</v>
      </c>
    </row>
    <row r="3" spans="1:6" ht="33" x14ac:dyDescent="0.25">
      <c r="A3" s="50" t="s">
        <v>2550</v>
      </c>
      <c r="B3" s="55" t="s">
        <v>2372</v>
      </c>
      <c r="C3" s="55" t="s">
        <v>2525</v>
      </c>
      <c r="D3" s="55">
        <v>1</v>
      </c>
      <c r="E3" s="55">
        <v>1116.9499999999998</v>
      </c>
      <c r="F3" s="51" t="s">
        <v>2744</v>
      </c>
    </row>
    <row r="4" spans="1:6" ht="33" x14ac:dyDescent="0.25">
      <c r="A4" s="50" t="s">
        <v>2551</v>
      </c>
      <c r="B4" s="55" t="s">
        <v>2372</v>
      </c>
      <c r="C4" s="55" t="s">
        <v>2524</v>
      </c>
      <c r="D4" s="55">
        <v>5</v>
      </c>
      <c r="E4" s="55">
        <v>3771.3840000000005</v>
      </c>
      <c r="F4" s="51" t="s">
        <v>2745</v>
      </c>
    </row>
    <row r="5" spans="1:6" ht="33" x14ac:dyDescent="0.25">
      <c r="A5" s="50" t="s">
        <v>2528</v>
      </c>
      <c r="B5" s="55" t="s">
        <v>2372</v>
      </c>
      <c r="C5" s="55" t="s">
        <v>2523</v>
      </c>
      <c r="D5" s="55">
        <v>1</v>
      </c>
      <c r="E5" s="55">
        <v>1298.9499999999998</v>
      </c>
      <c r="F5" s="51" t="s">
        <v>2746</v>
      </c>
    </row>
    <row r="6" spans="1:6" ht="33" x14ac:dyDescent="0.25">
      <c r="A6" s="50" t="s">
        <v>2529</v>
      </c>
      <c r="B6" s="55" t="s">
        <v>2372</v>
      </c>
      <c r="C6" s="55" t="s">
        <v>2521</v>
      </c>
      <c r="D6" s="55">
        <v>1</v>
      </c>
      <c r="E6" s="55">
        <v>616.11</v>
      </c>
      <c r="F6" s="51" t="s">
        <v>2747</v>
      </c>
    </row>
    <row r="7" spans="1:6" ht="16.5" x14ac:dyDescent="0.25">
      <c r="A7" s="50" t="s">
        <v>2372</v>
      </c>
      <c r="B7" s="55" t="s">
        <v>2372</v>
      </c>
      <c r="C7" s="55" t="s">
        <v>2511</v>
      </c>
      <c r="D7" s="55">
        <v>63.7</v>
      </c>
      <c r="E7" s="55" t="s">
        <v>4</v>
      </c>
      <c r="F7" s="51" t="s">
        <v>2361</v>
      </c>
    </row>
    <row r="8" spans="1:6" ht="16.5" x14ac:dyDescent="0.25">
      <c r="A8" s="50" t="s">
        <v>2372</v>
      </c>
      <c r="B8" s="55" t="s">
        <v>2519</v>
      </c>
      <c r="C8" s="55" t="s">
        <v>2518</v>
      </c>
      <c r="D8" s="55">
        <v>23306.400000000001</v>
      </c>
      <c r="E8" s="55" t="s">
        <v>4</v>
      </c>
      <c r="F8" s="51" t="s">
        <v>3</v>
      </c>
    </row>
    <row r="9" spans="1:6" ht="16.5" x14ac:dyDescent="0.25">
      <c r="A9" s="50" t="s">
        <v>2372</v>
      </c>
      <c r="B9" s="55" t="s">
        <v>2517</v>
      </c>
      <c r="C9" s="55" t="s">
        <v>2516</v>
      </c>
      <c r="D9" s="55">
        <v>26164.320000000007</v>
      </c>
      <c r="E9" s="55" t="s">
        <v>4</v>
      </c>
      <c r="F9" s="51" t="s">
        <v>3</v>
      </c>
    </row>
    <row r="10" spans="1:6" ht="16.5" x14ac:dyDescent="0.25">
      <c r="A10" s="50" t="s">
        <v>2372</v>
      </c>
      <c r="B10" s="55" t="s">
        <v>2515</v>
      </c>
      <c r="C10" s="55" t="s">
        <v>2514</v>
      </c>
      <c r="D10" s="55">
        <v>1325.8439999999998</v>
      </c>
      <c r="E10" s="55" t="s">
        <v>4</v>
      </c>
      <c r="F10" s="51" t="s">
        <v>2362</v>
      </c>
    </row>
    <row r="11" spans="1:6" ht="17.25" thickBot="1" x14ac:dyDescent="0.3">
      <c r="A11" s="47" t="s">
        <v>2372</v>
      </c>
      <c r="B11" s="48" t="s">
        <v>2513</v>
      </c>
      <c r="C11" s="48" t="s">
        <v>2512</v>
      </c>
      <c r="D11" s="48">
        <v>1950.91</v>
      </c>
      <c r="E11" s="48" t="s">
        <v>4</v>
      </c>
      <c r="F11" s="49" t="s">
        <v>2362</v>
      </c>
    </row>
  </sheetData>
  <conditionalFormatting sqref="A1:F11">
    <cfRule type="containsText" dxfId="274" priority="1" stopIfTrue="1" operator="containsText" text="С ЛИСТА">
      <formula>NOT(ISERROR(SEARCH("С ЛИСТА",A1)))</formula>
    </cfRule>
    <cfRule type="containsText" dxfId="273" priority="2" stopIfTrue="1" operator="containsText" text="ИЗ ФАЙЛА">
      <formula>NOT(ISERROR(SEARCH("ИЗ ФАЙЛА",A1)))</formula>
    </cfRule>
    <cfRule type="containsText" dxfId="272" priority="3" stopIfTrue="1" operator="containsText" text="!!!">
      <formula>NOT(ISERROR(SEARCH("!!!",A1)))</formula>
    </cfRule>
    <cfRule type="containsText" dxfId="271" priority="4" stopIfTrue="1" operator="containsText" text=" Изделия ">
      <formula>NOT(ISERROR(SEARCH(" Изделия ",A1)))</formula>
    </cfRule>
    <cfRule type="containsText" dxfId="270" priority="5" stopIfTrue="1" operator="containsText" text=" Прокат ">
      <formula>NOT(ISERROR(SEARCH(" Прокат ",A1)))</formula>
    </cfRule>
    <cfRule type="containsText" dxfId="269" priority="6" stopIfTrue="1" operator="containsText" text=" Сборочные единицы ">
      <formula>NOT(ISERROR(SEARCH(" Сборочные единицы ",A1)))</formula>
    </cfRule>
    <cfRule type="containsText" dxfId="268" priority="7" stopIfTrue="1" operator="containsText" text=" Материалы ">
      <formula>NOT(ISERROR(SEARCH(" Материалы ",A1)))</formula>
    </cfRule>
    <cfRule type="containsText" dxfId="267" priority="8" stopIfTrue="1" operator="containsText" text=", на ">
      <formula>NOT(ISERROR(SEARCH(", на ",A1)))</formula>
    </cfRule>
    <cfRule type="containsText" dxfId="266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52" t="s">
        <v>2420</v>
      </c>
      <c r="B1" s="54" t="s">
        <v>2421</v>
      </c>
      <c r="C1" s="54" t="s">
        <v>2414</v>
      </c>
      <c r="D1" s="54" t="s">
        <v>2422</v>
      </c>
      <c r="E1" s="54" t="s">
        <v>2423</v>
      </c>
      <c r="F1" s="53" t="s">
        <v>2424</v>
      </c>
    </row>
    <row r="2" spans="1:6" ht="17.25" thickBot="1" x14ac:dyDescent="0.3">
      <c r="A2" s="85" t="s">
        <v>2425</v>
      </c>
      <c r="B2" s="86"/>
      <c r="C2" s="86"/>
      <c r="D2" s="86"/>
      <c r="E2" s="86"/>
      <c r="F2" s="87"/>
    </row>
  </sheetData>
  <mergeCells count="1">
    <mergeCell ref="A2:F2"/>
  </mergeCells>
  <conditionalFormatting sqref="A1:F2">
    <cfRule type="containsText" dxfId="265" priority="1" stopIfTrue="1" operator="containsText" text="С ЛИСТА">
      <formula>NOT(ISERROR(SEARCH("С ЛИСТА",A1)))</formula>
    </cfRule>
    <cfRule type="containsText" dxfId="264" priority="2" stopIfTrue="1" operator="containsText" text="ИЗ ФАЙЛА">
      <formula>NOT(ISERROR(SEARCH("ИЗ ФАЙЛА",A1)))</formula>
    </cfRule>
    <cfRule type="containsText" dxfId="263" priority="3" stopIfTrue="1" operator="containsText" text="!!!">
      <formula>NOT(ISERROR(SEARCH("!!!",A1)))</formula>
    </cfRule>
    <cfRule type="containsText" dxfId="262" priority="4" stopIfTrue="1" operator="containsText" text=" Изделия ">
      <formula>NOT(ISERROR(SEARCH(" Изделия ",A1)))</formula>
    </cfRule>
    <cfRule type="containsText" dxfId="261" priority="5" stopIfTrue="1" operator="containsText" text=" Прокат ">
      <formula>NOT(ISERROR(SEARCH(" Прокат ",A1)))</formula>
    </cfRule>
    <cfRule type="containsText" dxfId="260" priority="6" stopIfTrue="1" operator="containsText" text=" Сборочные единицы ">
      <formula>NOT(ISERROR(SEARCH(" Сборочные единицы ",A1)))</formula>
    </cfRule>
    <cfRule type="containsText" dxfId="259" priority="7" stopIfTrue="1" operator="containsText" text=" Материалы ">
      <formula>NOT(ISERROR(SEARCH(" Материалы ",A1)))</formula>
    </cfRule>
    <cfRule type="containsText" dxfId="258" priority="8" stopIfTrue="1" operator="containsText" text=", на ">
      <formula>NOT(ISERROR(SEARCH(", на ",A1)))</formula>
    </cfRule>
    <cfRule type="containsText" dxfId="257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tabColor rgb="FF000000"/>
  </sheetPr>
  <dimension ref="A1:I12"/>
  <sheetViews>
    <sheetView workbookViewId="0">
      <selection sqref="A1:I11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90" t="s">
        <v>2426</v>
      </c>
      <c r="B1" s="92" t="s">
        <v>2427</v>
      </c>
      <c r="C1" s="92"/>
      <c r="D1" s="92"/>
      <c r="E1" s="92"/>
      <c r="F1" s="92"/>
      <c r="G1" s="92"/>
      <c r="H1" s="92"/>
      <c r="I1" s="91" t="s">
        <v>2428</v>
      </c>
    </row>
    <row r="2" spans="1:9" ht="22.7" customHeight="1" x14ac:dyDescent="0.25">
      <c r="A2" s="88"/>
      <c r="B2" s="93" t="s">
        <v>2429</v>
      </c>
      <c r="C2" s="93"/>
      <c r="D2" s="93"/>
      <c r="E2" s="93"/>
      <c r="F2" s="93"/>
      <c r="G2" s="93"/>
      <c r="H2" s="93" t="s">
        <v>2428</v>
      </c>
      <c r="I2" s="89"/>
    </row>
    <row r="3" spans="1:9" ht="22.7" customHeight="1" x14ac:dyDescent="0.25">
      <c r="A3" s="88"/>
      <c r="B3" s="93" t="s">
        <v>2</v>
      </c>
      <c r="C3" s="93"/>
      <c r="D3" s="93"/>
      <c r="E3" s="93"/>
      <c r="F3" s="93" t="s">
        <v>1</v>
      </c>
      <c r="G3" s="93"/>
      <c r="H3" s="93"/>
      <c r="I3" s="89"/>
    </row>
    <row r="4" spans="1:9" ht="22.7" customHeight="1" x14ac:dyDescent="0.25">
      <c r="A4" s="88"/>
      <c r="B4" s="93" t="s">
        <v>2417</v>
      </c>
      <c r="C4" s="93"/>
      <c r="D4" s="93"/>
      <c r="E4" s="93"/>
      <c r="F4" s="93" t="s">
        <v>2419</v>
      </c>
      <c r="G4" s="93"/>
      <c r="H4" s="93"/>
      <c r="I4" s="89"/>
    </row>
    <row r="5" spans="1:9" ht="22.7" customHeight="1" x14ac:dyDescent="0.25">
      <c r="A5" s="88"/>
      <c r="B5" s="55" t="s">
        <v>2472</v>
      </c>
      <c r="C5" s="55" t="s">
        <v>2694</v>
      </c>
      <c r="D5" s="55" t="s">
        <v>2473</v>
      </c>
      <c r="E5" s="55" t="s">
        <v>2428</v>
      </c>
      <c r="F5" s="55" t="s">
        <v>2431</v>
      </c>
      <c r="G5" s="55" t="s">
        <v>2428</v>
      </c>
      <c r="H5" s="93"/>
      <c r="I5" s="89"/>
    </row>
    <row r="6" spans="1:9" ht="22.7" customHeight="1" x14ac:dyDescent="0.25">
      <c r="A6" s="50" t="s">
        <v>2695</v>
      </c>
      <c r="B6" s="21">
        <v>326.90000000000003</v>
      </c>
      <c r="C6" s="21" t="s">
        <v>4</v>
      </c>
      <c r="D6" s="21" t="s">
        <v>4</v>
      </c>
      <c r="E6" s="21">
        <v>326.90000000000003</v>
      </c>
      <c r="F6" s="21">
        <v>2.9</v>
      </c>
      <c r="G6" s="21">
        <v>2.9</v>
      </c>
      <c r="H6" s="21">
        <v>329.7</v>
      </c>
      <c r="I6" s="22">
        <v>329.7</v>
      </c>
    </row>
    <row r="7" spans="1:9" ht="22.7" customHeight="1" x14ac:dyDescent="0.25">
      <c r="A7" s="50" t="s">
        <v>2696</v>
      </c>
      <c r="B7" s="21">
        <v>480.2</v>
      </c>
      <c r="C7" s="21">
        <v>70.2</v>
      </c>
      <c r="D7" s="21">
        <v>556.4</v>
      </c>
      <c r="E7" s="21">
        <v>1106.8</v>
      </c>
      <c r="F7" s="21">
        <v>8.3000000000000007</v>
      </c>
      <c r="G7" s="21">
        <v>8.3000000000000007</v>
      </c>
      <c r="H7" s="21">
        <v>1115</v>
      </c>
      <c r="I7" s="22">
        <v>1115</v>
      </c>
    </row>
    <row r="8" spans="1:9" ht="22.7" customHeight="1" x14ac:dyDescent="0.25">
      <c r="A8" s="50" t="s">
        <v>2697</v>
      </c>
      <c r="B8" s="21">
        <v>3135.7</v>
      </c>
      <c r="C8" s="21">
        <v>6281.6</v>
      </c>
      <c r="D8" s="21">
        <v>9272.4</v>
      </c>
      <c r="E8" s="21">
        <v>18689.599999999999</v>
      </c>
      <c r="F8" s="21">
        <v>136.80000000000001</v>
      </c>
      <c r="G8" s="21">
        <v>136.80000000000001</v>
      </c>
      <c r="H8" s="21">
        <v>18826.399999999998</v>
      </c>
      <c r="I8" s="22">
        <v>18826.399999999998</v>
      </c>
    </row>
    <row r="9" spans="1:9" ht="22.7" customHeight="1" x14ac:dyDescent="0.25">
      <c r="A9" s="50" t="s">
        <v>2698</v>
      </c>
      <c r="B9" s="21">
        <v>292.5</v>
      </c>
      <c r="C9" s="21">
        <v>402.1</v>
      </c>
      <c r="D9" s="21">
        <v>593.5</v>
      </c>
      <c r="E9" s="21">
        <v>1287.9000000000001</v>
      </c>
      <c r="F9" s="21">
        <v>8.9</v>
      </c>
      <c r="G9" s="21">
        <v>8.9</v>
      </c>
      <c r="H9" s="21">
        <v>1296.7</v>
      </c>
      <c r="I9" s="22">
        <v>1296.7</v>
      </c>
    </row>
    <row r="10" spans="1:9" ht="22.7" customHeight="1" x14ac:dyDescent="0.25">
      <c r="A10" s="50" t="s">
        <v>2699</v>
      </c>
      <c r="B10" s="21">
        <v>607.4</v>
      </c>
      <c r="C10" s="21" t="s">
        <v>4</v>
      </c>
      <c r="D10" s="21" t="s">
        <v>4</v>
      </c>
      <c r="E10" s="21">
        <v>607.4</v>
      </c>
      <c r="F10" s="21">
        <v>6.6999999999999993</v>
      </c>
      <c r="G10" s="21">
        <v>6.6999999999999993</v>
      </c>
      <c r="H10" s="21">
        <v>614</v>
      </c>
      <c r="I10" s="22">
        <v>614</v>
      </c>
    </row>
    <row r="11" spans="1:9" ht="22.7" customHeight="1" thickBot="1" x14ac:dyDescent="0.3">
      <c r="A11" s="14" t="s">
        <v>2434</v>
      </c>
      <c r="B11" s="15">
        <v>4842.6999999999989</v>
      </c>
      <c r="C11" s="15">
        <v>6753.9000000000005</v>
      </c>
      <c r="D11" s="15">
        <v>10422.299999999999</v>
      </c>
      <c r="E11" s="15">
        <v>22018.600000000002</v>
      </c>
      <c r="F11" s="15">
        <v>163.6</v>
      </c>
      <c r="G11" s="15">
        <v>163.6</v>
      </c>
      <c r="H11" s="15">
        <v>22181.8</v>
      </c>
      <c r="I11" s="16">
        <v>22181.8</v>
      </c>
    </row>
    <row r="12" spans="1:9" ht="22.7" customHeight="1" x14ac:dyDescent="0.25"/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11">
    <cfRule type="containsText" dxfId="247" priority="9" stopIfTrue="1" operator="containsText" text="шт.)">
      <formula>NOT(ISERROR(SEARCH("шт.)",A1)))</formula>
    </cfRule>
    <cfRule type="containsText" dxfId="246" priority="8" stopIfTrue="1" operator="containsText" text=", на ">
      <formula>NOT(ISERROR(SEARCH(", на ",A1)))</formula>
    </cfRule>
    <cfRule type="containsText" dxfId="245" priority="7" stopIfTrue="1" operator="containsText" text=" Материалы ">
      <formula>NOT(ISERROR(SEARCH(" Материалы ",A1)))</formula>
    </cfRule>
    <cfRule type="containsText" dxfId="244" priority="6" stopIfTrue="1" operator="containsText" text=" Сборочные единицы ">
      <formula>NOT(ISERROR(SEARCH(" Сборочные единицы ",A1)))</formula>
    </cfRule>
    <cfRule type="containsText" dxfId="243" priority="5" stopIfTrue="1" operator="containsText" text=" Прокат ">
      <formula>NOT(ISERROR(SEARCH(" Прокат ",A1)))</formula>
    </cfRule>
    <cfRule type="containsText" dxfId="242" priority="4" stopIfTrue="1" operator="containsText" text=" Изделия ">
      <formula>NOT(ISERROR(SEARCH(" Изделия ",A1)))</formula>
    </cfRule>
    <cfRule type="containsText" dxfId="241" priority="3" stopIfTrue="1" operator="containsText" text="!!!">
      <formula>NOT(ISERROR(SEARCH("!!!",A1)))</formula>
    </cfRule>
    <cfRule type="containsText" dxfId="240" priority="2" stopIfTrue="1" operator="containsText" text="ИЗ ФАЙЛА">
      <formula>NOT(ISERROR(SEARCH("ИЗ ФАЙЛА",A1)))</formula>
    </cfRule>
    <cfRule type="containsText" dxfId="23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>
    <tabColor rgb="FF000000"/>
  </sheetPr>
  <dimension ref="A1:L38"/>
  <sheetViews>
    <sheetView workbookViewId="0">
      <selection sqref="A1:L38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10" width="7.85546875" style="1" customWidth="1"/>
    <col min="11" max="11" width="10.28515625" style="1" customWidth="1"/>
    <col min="12" max="12" width="12.7109375" style="1" customWidth="1"/>
    <col min="13" max="16384" width="9.140625" style="1"/>
  </cols>
  <sheetData>
    <row r="1" spans="1:12" ht="16.5" x14ac:dyDescent="0.25">
      <c r="A1" s="62" t="s">
        <v>2412</v>
      </c>
      <c r="B1" s="56" t="s">
        <v>2413</v>
      </c>
      <c r="C1" s="56" t="s">
        <v>2414</v>
      </c>
      <c r="D1" s="58" t="s">
        <v>2435</v>
      </c>
      <c r="E1" s="59"/>
      <c r="F1" s="59"/>
      <c r="G1" s="59"/>
      <c r="H1" s="59"/>
      <c r="I1" s="60"/>
      <c r="J1" s="56" t="s">
        <v>2428</v>
      </c>
      <c r="K1" s="56" t="s">
        <v>2416</v>
      </c>
      <c r="L1" s="94" t="s">
        <v>2369</v>
      </c>
    </row>
    <row r="2" spans="1:12" ht="16.5" x14ac:dyDescent="0.25">
      <c r="A2" s="63"/>
      <c r="B2" s="57"/>
      <c r="C2" s="57"/>
      <c r="D2" s="55" t="s">
        <v>2548</v>
      </c>
      <c r="E2" s="55" t="s">
        <v>2550</v>
      </c>
      <c r="F2" s="55" t="s">
        <v>2551</v>
      </c>
      <c r="G2" s="55" t="s">
        <v>2528</v>
      </c>
      <c r="H2" s="55" t="s">
        <v>2529</v>
      </c>
      <c r="I2" s="55" t="s">
        <v>2702</v>
      </c>
      <c r="J2" s="57"/>
      <c r="K2" s="57"/>
      <c r="L2" s="95"/>
    </row>
    <row r="3" spans="1:12" ht="16.5" x14ac:dyDescent="0.25">
      <c r="A3" s="50">
        <v>1</v>
      </c>
      <c r="B3" s="55" t="s">
        <v>2417</v>
      </c>
      <c r="C3" s="55" t="s">
        <v>2553</v>
      </c>
      <c r="D3" s="55">
        <v>18</v>
      </c>
      <c r="E3" s="55" t="s">
        <v>4</v>
      </c>
      <c r="F3" s="55" t="s">
        <v>4</v>
      </c>
      <c r="G3" s="55" t="s">
        <v>4</v>
      </c>
      <c r="H3" s="55" t="s">
        <v>4</v>
      </c>
      <c r="I3" s="55" t="s">
        <v>4</v>
      </c>
      <c r="J3" s="55">
        <v>18</v>
      </c>
      <c r="K3" s="55">
        <v>5.17</v>
      </c>
      <c r="L3" s="51" t="s">
        <v>2646</v>
      </c>
    </row>
    <row r="4" spans="1:12" ht="16.5" x14ac:dyDescent="0.25">
      <c r="A4" s="50">
        <v>1</v>
      </c>
      <c r="B4" s="55" t="s">
        <v>2417</v>
      </c>
      <c r="C4" s="55" t="s">
        <v>2556</v>
      </c>
      <c r="D4" s="55" t="s">
        <v>4</v>
      </c>
      <c r="E4" s="55">
        <v>36</v>
      </c>
      <c r="F4" s="55" t="s">
        <v>4</v>
      </c>
      <c r="G4" s="55" t="s">
        <v>4</v>
      </c>
      <c r="H4" s="55" t="s">
        <v>4</v>
      </c>
      <c r="I4" s="55" t="s">
        <v>4</v>
      </c>
      <c r="J4" s="55">
        <v>36</v>
      </c>
      <c r="K4" s="55">
        <v>6.8199999999999994</v>
      </c>
      <c r="L4" s="51" t="s">
        <v>2655</v>
      </c>
    </row>
    <row r="5" spans="1:12" ht="16.5" x14ac:dyDescent="0.25">
      <c r="A5" s="50">
        <v>1</v>
      </c>
      <c r="B5" s="55" t="s">
        <v>2417</v>
      </c>
      <c r="C5" s="55" t="s">
        <v>2470</v>
      </c>
      <c r="D5" s="55" t="s">
        <v>4</v>
      </c>
      <c r="E5" s="55" t="s">
        <v>4</v>
      </c>
      <c r="F5" s="55">
        <v>2009.81</v>
      </c>
      <c r="G5" s="55" t="s">
        <v>4</v>
      </c>
      <c r="H5" s="55" t="s">
        <v>4</v>
      </c>
      <c r="I5" s="55" t="s">
        <v>4</v>
      </c>
      <c r="J5" s="55">
        <v>2009.81</v>
      </c>
      <c r="K5" s="55">
        <v>0.88800000000000001</v>
      </c>
      <c r="L5" s="51" t="s">
        <v>2663</v>
      </c>
    </row>
    <row r="6" spans="1:12" ht="16.5" x14ac:dyDescent="0.25">
      <c r="A6" s="50">
        <v>1</v>
      </c>
      <c r="B6" s="55" t="s">
        <v>2417</v>
      </c>
      <c r="C6" s="55" t="s">
        <v>2530</v>
      </c>
      <c r="D6" s="55" t="s">
        <v>4</v>
      </c>
      <c r="E6" s="55" t="s">
        <v>4</v>
      </c>
      <c r="F6" s="55" t="s">
        <v>4</v>
      </c>
      <c r="G6" s="55">
        <v>36</v>
      </c>
      <c r="H6" s="55" t="s">
        <v>4</v>
      </c>
      <c r="I6" s="55" t="s">
        <v>4</v>
      </c>
      <c r="J6" s="55">
        <v>36</v>
      </c>
      <c r="K6" s="55">
        <v>3.64</v>
      </c>
      <c r="L6" s="51" t="s">
        <v>2672</v>
      </c>
    </row>
    <row r="7" spans="1:12" ht="16.5" x14ac:dyDescent="0.25">
      <c r="A7" s="50">
        <v>1</v>
      </c>
      <c r="B7" s="55" t="s">
        <v>2417</v>
      </c>
      <c r="C7" s="55" t="s">
        <v>2538</v>
      </c>
      <c r="D7" s="55" t="s">
        <v>4</v>
      </c>
      <c r="E7" s="55" t="s">
        <v>4</v>
      </c>
      <c r="F7" s="55" t="s">
        <v>4</v>
      </c>
      <c r="G7" s="55" t="s">
        <v>4</v>
      </c>
      <c r="H7" s="55">
        <v>17</v>
      </c>
      <c r="I7" s="55" t="s">
        <v>4</v>
      </c>
      <c r="J7" s="55">
        <v>17</v>
      </c>
      <c r="K7" s="55">
        <v>6.5</v>
      </c>
      <c r="L7" s="51" t="s">
        <v>2679</v>
      </c>
    </row>
    <row r="8" spans="1:12" ht="16.5" x14ac:dyDescent="0.25">
      <c r="A8" s="50" t="s">
        <v>2418</v>
      </c>
      <c r="B8" s="55" t="s">
        <v>2417</v>
      </c>
      <c r="C8" s="55" t="s">
        <v>2532</v>
      </c>
      <c r="D8" s="55">
        <v>29.6</v>
      </c>
      <c r="E8" s="55" t="s">
        <v>4</v>
      </c>
      <c r="F8" s="55" t="s">
        <v>4</v>
      </c>
      <c r="G8" s="55" t="s">
        <v>4</v>
      </c>
      <c r="H8" s="55">
        <v>38</v>
      </c>
      <c r="I8" s="55" t="s">
        <v>4</v>
      </c>
      <c r="J8" s="55">
        <v>67.599999999999994</v>
      </c>
      <c r="K8" s="55">
        <v>1.49</v>
      </c>
      <c r="L8" s="51" t="s">
        <v>2703</v>
      </c>
    </row>
    <row r="9" spans="1:12" ht="16.5" x14ac:dyDescent="0.25">
      <c r="A9" s="50" t="s">
        <v>2418</v>
      </c>
      <c r="B9" s="55" t="s">
        <v>2417</v>
      </c>
      <c r="C9" s="55" t="s">
        <v>2531</v>
      </c>
      <c r="D9" s="55" t="s">
        <v>4</v>
      </c>
      <c r="E9" s="55">
        <v>39</v>
      </c>
      <c r="F9" s="55">
        <v>650</v>
      </c>
      <c r="G9" s="55">
        <v>42</v>
      </c>
      <c r="H9" s="55" t="s">
        <v>4</v>
      </c>
      <c r="I9" s="55" t="s">
        <v>4</v>
      </c>
      <c r="J9" s="55">
        <v>731</v>
      </c>
      <c r="K9" s="55">
        <v>2.34</v>
      </c>
      <c r="L9" s="51" t="s">
        <v>2704</v>
      </c>
    </row>
    <row r="10" spans="1:12" ht="16.5" x14ac:dyDescent="0.25">
      <c r="A10" s="50" t="s">
        <v>2542</v>
      </c>
      <c r="B10" s="55" t="s">
        <v>2417</v>
      </c>
      <c r="C10" s="55" t="s">
        <v>2532</v>
      </c>
      <c r="D10" s="55">
        <v>16</v>
      </c>
      <c r="E10" s="55">
        <v>35</v>
      </c>
      <c r="F10" s="55">
        <v>176</v>
      </c>
      <c r="G10" s="55">
        <v>35</v>
      </c>
      <c r="H10" s="55">
        <v>16</v>
      </c>
      <c r="I10" s="55" t="s">
        <v>4</v>
      </c>
      <c r="J10" s="55">
        <v>278</v>
      </c>
      <c r="K10" s="55">
        <v>1.49</v>
      </c>
      <c r="L10" s="51" t="s">
        <v>2705</v>
      </c>
    </row>
    <row r="11" spans="1:12" ht="16.5" x14ac:dyDescent="0.25">
      <c r="A11" s="50" t="s">
        <v>2543</v>
      </c>
      <c r="B11" s="55" t="s">
        <v>2417</v>
      </c>
      <c r="C11" s="55" t="s">
        <v>2539</v>
      </c>
      <c r="D11" s="55">
        <v>60</v>
      </c>
      <c r="E11" s="55" t="s">
        <v>4</v>
      </c>
      <c r="F11" s="55" t="s">
        <v>4</v>
      </c>
      <c r="G11" s="55" t="s">
        <v>4</v>
      </c>
      <c r="H11" s="55" t="s">
        <v>4</v>
      </c>
      <c r="I11" s="55" t="s">
        <v>4</v>
      </c>
      <c r="J11" s="55">
        <v>60</v>
      </c>
      <c r="K11" s="55">
        <v>1.88</v>
      </c>
      <c r="L11" s="51" t="s">
        <v>2649</v>
      </c>
    </row>
    <row r="12" spans="1:12" ht="16.5" x14ac:dyDescent="0.25">
      <c r="A12" s="50" t="s">
        <v>2544</v>
      </c>
      <c r="B12" s="55" t="s">
        <v>2419</v>
      </c>
      <c r="C12" s="55" t="s">
        <v>2537</v>
      </c>
      <c r="D12" s="55">
        <v>48</v>
      </c>
      <c r="E12" s="55">
        <v>138</v>
      </c>
      <c r="F12" s="55" t="s">
        <v>4</v>
      </c>
      <c r="G12" s="55" t="s">
        <v>4</v>
      </c>
      <c r="H12" s="55" t="s">
        <v>4</v>
      </c>
      <c r="I12" s="55" t="s">
        <v>4</v>
      </c>
      <c r="J12" s="55">
        <v>186</v>
      </c>
      <c r="K12" s="55">
        <v>0.08</v>
      </c>
      <c r="L12" s="51" t="s">
        <v>2706</v>
      </c>
    </row>
    <row r="13" spans="1:12" ht="16.5" x14ac:dyDescent="0.25">
      <c r="A13" s="50" t="s">
        <v>2544</v>
      </c>
      <c r="B13" s="55" t="s">
        <v>2417</v>
      </c>
      <c r="C13" s="55" t="s">
        <v>2533</v>
      </c>
      <c r="D13" s="55" t="s">
        <v>4</v>
      </c>
      <c r="E13" s="55" t="s">
        <v>4</v>
      </c>
      <c r="F13" s="55">
        <v>1300</v>
      </c>
      <c r="G13" s="55">
        <v>83</v>
      </c>
      <c r="H13" s="55" t="s">
        <v>4</v>
      </c>
      <c r="I13" s="55" t="s">
        <v>4</v>
      </c>
      <c r="J13" s="55">
        <v>1383</v>
      </c>
      <c r="K13" s="55">
        <v>5.12</v>
      </c>
      <c r="L13" s="51" t="s">
        <v>2707</v>
      </c>
    </row>
    <row r="14" spans="1:12" ht="16.5" x14ac:dyDescent="0.25">
      <c r="A14" s="50" t="s">
        <v>2544</v>
      </c>
      <c r="B14" s="55" t="s">
        <v>2417</v>
      </c>
      <c r="C14" s="55" t="s">
        <v>2539</v>
      </c>
      <c r="D14" s="55" t="s">
        <v>4</v>
      </c>
      <c r="E14" s="55" t="s">
        <v>4</v>
      </c>
      <c r="F14" s="55" t="s">
        <v>4</v>
      </c>
      <c r="G14" s="55" t="s">
        <v>4</v>
      </c>
      <c r="H14" s="55">
        <v>75</v>
      </c>
      <c r="I14" s="55" t="s">
        <v>4</v>
      </c>
      <c r="J14" s="55">
        <v>75</v>
      </c>
      <c r="K14" s="55">
        <v>1.88</v>
      </c>
      <c r="L14" s="51" t="s">
        <v>2681</v>
      </c>
    </row>
    <row r="15" spans="1:12" ht="16.5" x14ac:dyDescent="0.25">
      <c r="A15" s="50">
        <v>6</v>
      </c>
      <c r="B15" s="55" t="s">
        <v>2417</v>
      </c>
      <c r="C15" s="55" t="s">
        <v>2540</v>
      </c>
      <c r="D15" s="55">
        <v>30</v>
      </c>
      <c r="E15" s="55" t="s">
        <v>4</v>
      </c>
      <c r="F15" s="55" t="s">
        <v>4</v>
      </c>
      <c r="G15" s="55" t="s">
        <v>4</v>
      </c>
      <c r="H15" s="55" t="s">
        <v>4</v>
      </c>
      <c r="I15" s="55" t="s">
        <v>4</v>
      </c>
      <c r="J15" s="55">
        <v>30</v>
      </c>
      <c r="K15" s="55">
        <v>0.87</v>
      </c>
      <c r="L15" s="51" t="s">
        <v>2651</v>
      </c>
    </row>
    <row r="16" spans="1:12" ht="16.5" x14ac:dyDescent="0.25">
      <c r="A16" s="50">
        <v>6</v>
      </c>
      <c r="B16" s="55" t="s">
        <v>2417</v>
      </c>
      <c r="C16" s="55" t="s">
        <v>2534</v>
      </c>
      <c r="D16" s="55" t="s">
        <v>4</v>
      </c>
      <c r="E16" s="55">
        <v>78</v>
      </c>
      <c r="F16" s="55" t="s">
        <v>4</v>
      </c>
      <c r="G16" s="55" t="s">
        <v>4</v>
      </c>
      <c r="H16" s="55" t="s">
        <v>4</v>
      </c>
      <c r="I16" s="55" t="s">
        <v>4</v>
      </c>
      <c r="J16" s="55">
        <v>78</v>
      </c>
      <c r="K16" s="55">
        <v>5.6499999999999995</v>
      </c>
      <c r="L16" s="51" t="s">
        <v>2659</v>
      </c>
    </row>
    <row r="17" spans="1:12" ht="16.5" x14ac:dyDescent="0.25">
      <c r="A17" s="50">
        <v>6</v>
      </c>
      <c r="B17" s="55" t="s">
        <v>2419</v>
      </c>
      <c r="C17" s="55" t="s">
        <v>2537</v>
      </c>
      <c r="D17" s="55" t="s">
        <v>4</v>
      </c>
      <c r="E17" s="55" t="s">
        <v>4</v>
      </c>
      <c r="F17" s="55">
        <v>2282</v>
      </c>
      <c r="G17" s="55" t="s">
        <v>4</v>
      </c>
      <c r="H17" s="55" t="s">
        <v>4</v>
      </c>
      <c r="I17" s="55" t="s">
        <v>4</v>
      </c>
      <c r="J17" s="55">
        <v>2282</v>
      </c>
      <c r="K17" s="55">
        <v>0.08</v>
      </c>
      <c r="L17" s="51" t="s">
        <v>2667</v>
      </c>
    </row>
    <row r="18" spans="1:12" ht="16.5" x14ac:dyDescent="0.25">
      <c r="A18" s="50" t="s">
        <v>2561</v>
      </c>
      <c r="B18" s="55" t="s">
        <v>2419</v>
      </c>
      <c r="C18" s="55" t="s">
        <v>2537</v>
      </c>
      <c r="D18" s="55" t="s">
        <v>4</v>
      </c>
      <c r="E18" s="55" t="s">
        <v>4</v>
      </c>
      <c r="F18" s="55" t="s">
        <v>4</v>
      </c>
      <c r="G18" s="55">
        <v>147</v>
      </c>
      <c r="H18" s="55">
        <v>111</v>
      </c>
      <c r="I18" s="55" t="s">
        <v>4</v>
      </c>
      <c r="J18" s="55">
        <v>258</v>
      </c>
      <c r="K18" s="55">
        <v>0.08</v>
      </c>
      <c r="L18" s="51" t="s">
        <v>2708</v>
      </c>
    </row>
    <row r="19" spans="1:12" ht="16.5" x14ac:dyDescent="0.25">
      <c r="A19" s="50">
        <v>7</v>
      </c>
      <c r="B19" s="55" t="s">
        <v>2417</v>
      </c>
      <c r="C19" s="55" t="s">
        <v>2553</v>
      </c>
      <c r="D19" s="55">
        <v>13</v>
      </c>
      <c r="E19" s="55" t="s">
        <v>4</v>
      </c>
      <c r="F19" s="55" t="s">
        <v>4</v>
      </c>
      <c r="G19" s="55" t="s">
        <v>4</v>
      </c>
      <c r="H19" s="55" t="s">
        <v>4</v>
      </c>
      <c r="I19" s="55" t="s">
        <v>4</v>
      </c>
      <c r="J19" s="55">
        <v>13</v>
      </c>
      <c r="K19" s="55">
        <v>5.17</v>
      </c>
      <c r="L19" s="51" t="s">
        <v>2652</v>
      </c>
    </row>
    <row r="20" spans="1:12" ht="16.5" x14ac:dyDescent="0.25">
      <c r="A20" s="50">
        <v>7</v>
      </c>
      <c r="B20" s="55" t="s">
        <v>2417</v>
      </c>
      <c r="C20" s="55" t="s">
        <v>2556</v>
      </c>
      <c r="D20" s="55" t="s">
        <v>4</v>
      </c>
      <c r="E20" s="55">
        <v>39</v>
      </c>
      <c r="F20" s="55" t="s">
        <v>4</v>
      </c>
      <c r="G20" s="55" t="s">
        <v>4</v>
      </c>
      <c r="H20" s="55" t="s">
        <v>4</v>
      </c>
      <c r="I20" s="55" t="s">
        <v>4</v>
      </c>
      <c r="J20" s="55">
        <v>39</v>
      </c>
      <c r="K20" s="55">
        <v>6.8199999999999994</v>
      </c>
      <c r="L20" s="51" t="s">
        <v>2660</v>
      </c>
    </row>
    <row r="21" spans="1:12" ht="16.5" x14ac:dyDescent="0.25">
      <c r="A21" s="50">
        <v>7</v>
      </c>
      <c r="B21" s="55" t="s">
        <v>2417</v>
      </c>
      <c r="C21" s="55" t="s">
        <v>2534</v>
      </c>
      <c r="D21" s="55" t="s">
        <v>4</v>
      </c>
      <c r="E21" s="55" t="s">
        <v>4</v>
      </c>
      <c r="F21" s="55">
        <v>1300</v>
      </c>
      <c r="G21" s="55">
        <v>83</v>
      </c>
      <c r="H21" s="55" t="s">
        <v>4</v>
      </c>
      <c r="I21" s="55" t="s">
        <v>4</v>
      </c>
      <c r="J21" s="55">
        <v>1383</v>
      </c>
      <c r="K21" s="55">
        <v>5.6499999999999995</v>
      </c>
      <c r="L21" s="51" t="s">
        <v>2709</v>
      </c>
    </row>
    <row r="22" spans="1:12" ht="16.5" x14ac:dyDescent="0.25">
      <c r="A22" s="50">
        <v>7</v>
      </c>
      <c r="B22" s="55" t="s">
        <v>2417</v>
      </c>
      <c r="C22" s="55" t="s">
        <v>2540</v>
      </c>
      <c r="D22" s="55" t="s">
        <v>4</v>
      </c>
      <c r="E22" s="55" t="s">
        <v>4</v>
      </c>
      <c r="F22" s="55" t="s">
        <v>4</v>
      </c>
      <c r="G22" s="55" t="s">
        <v>4</v>
      </c>
      <c r="H22" s="55">
        <v>148</v>
      </c>
      <c r="I22" s="55" t="s">
        <v>4</v>
      </c>
      <c r="J22" s="55">
        <v>148</v>
      </c>
      <c r="K22" s="55">
        <v>0.87</v>
      </c>
      <c r="L22" s="51" t="s">
        <v>2683</v>
      </c>
    </row>
    <row r="23" spans="1:12" ht="16.5" x14ac:dyDescent="0.25">
      <c r="A23" s="50" t="s">
        <v>2545</v>
      </c>
      <c r="B23" s="55" t="s">
        <v>2417</v>
      </c>
      <c r="C23" s="55" t="s">
        <v>2535</v>
      </c>
      <c r="D23" s="55" t="s">
        <v>4</v>
      </c>
      <c r="E23" s="55">
        <v>78</v>
      </c>
      <c r="F23" s="55" t="s">
        <v>4</v>
      </c>
      <c r="G23" s="55" t="s">
        <v>4</v>
      </c>
      <c r="H23" s="55" t="s">
        <v>4</v>
      </c>
      <c r="I23" s="55" t="s">
        <v>4</v>
      </c>
      <c r="J23" s="55">
        <v>78</v>
      </c>
      <c r="K23" s="55">
        <v>3.6399999999999997</v>
      </c>
      <c r="L23" s="51" t="s">
        <v>2661</v>
      </c>
    </row>
    <row r="24" spans="1:12" ht="16.5" x14ac:dyDescent="0.25">
      <c r="A24" s="50">
        <v>8</v>
      </c>
      <c r="B24" s="55" t="s">
        <v>2417</v>
      </c>
      <c r="C24" s="55" t="s">
        <v>2470</v>
      </c>
      <c r="D24" s="55" t="s">
        <v>4</v>
      </c>
      <c r="E24" s="55" t="s">
        <v>4</v>
      </c>
      <c r="F24" s="55">
        <v>1041.95</v>
      </c>
      <c r="G24" s="55" t="s">
        <v>4</v>
      </c>
      <c r="H24" s="55" t="s">
        <v>4</v>
      </c>
      <c r="I24" s="55" t="s">
        <v>4</v>
      </c>
      <c r="J24" s="55">
        <v>1041.95</v>
      </c>
      <c r="K24" s="55">
        <v>0.88800000000000001</v>
      </c>
      <c r="L24" s="51" t="s">
        <v>2669</v>
      </c>
    </row>
    <row r="25" spans="1:12" ht="16.5" x14ac:dyDescent="0.25">
      <c r="A25" s="50">
        <v>8</v>
      </c>
      <c r="B25" s="55" t="s">
        <v>2417</v>
      </c>
      <c r="C25" s="55" t="s">
        <v>2530</v>
      </c>
      <c r="D25" s="55" t="s">
        <v>4</v>
      </c>
      <c r="E25" s="55" t="s">
        <v>4</v>
      </c>
      <c r="F25" s="55" t="s">
        <v>4</v>
      </c>
      <c r="G25" s="55">
        <v>38</v>
      </c>
      <c r="H25" s="55" t="s">
        <v>4</v>
      </c>
      <c r="I25" s="55" t="s">
        <v>4</v>
      </c>
      <c r="J25" s="55">
        <v>38</v>
      </c>
      <c r="K25" s="55">
        <v>3.64</v>
      </c>
      <c r="L25" s="51" t="s">
        <v>2677</v>
      </c>
    </row>
    <row r="26" spans="1:12" ht="16.5" x14ac:dyDescent="0.25">
      <c r="A26" s="50">
        <v>8</v>
      </c>
      <c r="B26" s="55" t="s">
        <v>2417</v>
      </c>
      <c r="C26" s="55" t="s">
        <v>2538</v>
      </c>
      <c r="D26" s="55" t="s">
        <v>4</v>
      </c>
      <c r="E26" s="55" t="s">
        <v>4</v>
      </c>
      <c r="F26" s="55" t="s">
        <v>4</v>
      </c>
      <c r="G26" s="55" t="s">
        <v>4</v>
      </c>
      <c r="H26" s="55">
        <v>12</v>
      </c>
      <c r="I26" s="55" t="s">
        <v>4</v>
      </c>
      <c r="J26" s="55">
        <v>12</v>
      </c>
      <c r="K26" s="55">
        <v>6.5</v>
      </c>
      <c r="L26" s="51" t="s">
        <v>2684</v>
      </c>
    </row>
    <row r="27" spans="1:12" ht="16.5" x14ac:dyDescent="0.25">
      <c r="A27" s="50" t="s">
        <v>2546</v>
      </c>
      <c r="B27" s="55" t="s">
        <v>2417</v>
      </c>
      <c r="C27" s="55" t="s">
        <v>2536</v>
      </c>
      <c r="D27" s="55">
        <v>10</v>
      </c>
      <c r="E27" s="55">
        <v>36</v>
      </c>
      <c r="F27" s="55" t="s">
        <v>4</v>
      </c>
      <c r="G27" s="55" t="s">
        <v>4</v>
      </c>
      <c r="H27" s="55">
        <v>148</v>
      </c>
      <c r="I27" s="55" t="s">
        <v>4</v>
      </c>
      <c r="J27" s="55">
        <v>194</v>
      </c>
      <c r="K27" s="55">
        <v>1.61</v>
      </c>
      <c r="L27" s="51" t="s">
        <v>2710</v>
      </c>
    </row>
    <row r="28" spans="1:12" ht="16.5" x14ac:dyDescent="0.25">
      <c r="A28" s="50" t="s">
        <v>2546</v>
      </c>
      <c r="B28" s="55" t="s">
        <v>2417</v>
      </c>
      <c r="C28" s="55" t="s">
        <v>2535</v>
      </c>
      <c r="D28" s="55" t="s">
        <v>4</v>
      </c>
      <c r="E28" s="55" t="s">
        <v>4</v>
      </c>
      <c r="F28" s="55">
        <v>1300</v>
      </c>
      <c r="G28" s="55">
        <v>83</v>
      </c>
      <c r="H28" s="55" t="s">
        <v>4</v>
      </c>
      <c r="I28" s="55" t="s">
        <v>4</v>
      </c>
      <c r="J28" s="55">
        <v>1383</v>
      </c>
      <c r="K28" s="55">
        <v>3.6399999999999997</v>
      </c>
      <c r="L28" s="51" t="s">
        <v>2711</v>
      </c>
    </row>
    <row r="29" spans="1:12" ht="16.5" x14ac:dyDescent="0.25">
      <c r="A29" s="50" t="s">
        <v>2547</v>
      </c>
      <c r="B29" s="55" t="s">
        <v>2417</v>
      </c>
      <c r="C29" s="55" t="s">
        <v>2536</v>
      </c>
      <c r="D29" s="55" t="s">
        <v>4</v>
      </c>
      <c r="E29" s="55" t="s">
        <v>4</v>
      </c>
      <c r="F29" s="55">
        <v>182</v>
      </c>
      <c r="G29" s="55">
        <v>36</v>
      </c>
      <c r="H29" s="55">
        <v>10</v>
      </c>
      <c r="I29" s="55" t="s">
        <v>4</v>
      </c>
      <c r="J29" s="55">
        <v>228</v>
      </c>
      <c r="K29" s="55">
        <v>1.61</v>
      </c>
      <c r="L29" s="51" t="s">
        <v>2712</v>
      </c>
    </row>
    <row r="30" spans="1:12" ht="16.5" x14ac:dyDescent="0.25">
      <c r="A30" s="50" t="s">
        <v>2560</v>
      </c>
      <c r="B30" s="55" t="s">
        <v>2417</v>
      </c>
      <c r="C30" s="55" t="s">
        <v>2554</v>
      </c>
      <c r="D30" s="55">
        <v>30</v>
      </c>
      <c r="E30" s="55" t="s">
        <v>4</v>
      </c>
      <c r="F30" s="55" t="s">
        <v>4</v>
      </c>
      <c r="G30" s="55" t="s">
        <v>4</v>
      </c>
      <c r="H30" s="55" t="s">
        <v>4</v>
      </c>
      <c r="I30" s="55" t="s">
        <v>4</v>
      </c>
      <c r="J30" s="55">
        <v>30</v>
      </c>
      <c r="K30" s="55">
        <v>1.41</v>
      </c>
      <c r="L30" s="51" t="s">
        <v>2654</v>
      </c>
    </row>
    <row r="31" spans="1:12" ht="16.5" x14ac:dyDescent="0.25">
      <c r="A31" s="50" t="s">
        <v>2465</v>
      </c>
      <c r="B31" s="55" t="s">
        <v>2433</v>
      </c>
      <c r="C31" s="55" t="s">
        <v>2466</v>
      </c>
      <c r="D31" s="55" t="s">
        <v>2372</v>
      </c>
      <c r="E31" s="55">
        <v>12</v>
      </c>
      <c r="F31" s="55">
        <v>170</v>
      </c>
      <c r="G31" s="55">
        <v>12</v>
      </c>
      <c r="H31" s="55">
        <v>7</v>
      </c>
      <c r="I31" s="55" t="s">
        <v>2372</v>
      </c>
      <c r="J31" s="55">
        <v>201</v>
      </c>
      <c r="K31" s="55" t="s">
        <v>2372</v>
      </c>
      <c r="L31" s="51" t="s">
        <v>4</v>
      </c>
    </row>
    <row r="32" spans="1:12" ht="16.5" x14ac:dyDescent="0.25">
      <c r="A32" s="50" t="s">
        <v>2372</v>
      </c>
      <c r="B32" s="55" t="s">
        <v>2372</v>
      </c>
      <c r="C32" s="55" t="s">
        <v>2511</v>
      </c>
      <c r="D32" s="55" t="s">
        <v>4</v>
      </c>
      <c r="E32" s="55" t="s">
        <v>4</v>
      </c>
      <c r="F32" s="55" t="s">
        <v>4</v>
      </c>
      <c r="G32" s="55" t="s">
        <v>4</v>
      </c>
      <c r="H32" s="55" t="s">
        <v>4</v>
      </c>
      <c r="I32" s="55">
        <v>63.7</v>
      </c>
      <c r="J32" s="55">
        <v>63.7</v>
      </c>
      <c r="K32" s="55" t="s">
        <v>2372</v>
      </c>
      <c r="L32" s="51" t="s">
        <v>2361</v>
      </c>
    </row>
    <row r="33" spans="1:12" ht="16.5" x14ac:dyDescent="0.25">
      <c r="A33" s="50" t="s">
        <v>2372</v>
      </c>
      <c r="B33" s="55" t="s">
        <v>2463</v>
      </c>
      <c r="C33" s="55" t="s">
        <v>2520</v>
      </c>
      <c r="D33" s="55">
        <v>2.8600000000000003</v>
      </c>
      <c r="E33" s="55">
        <v>1.1700000000000002</v>
      </c>
      <c r="F33" s="55">
        <v>19.5</v>
      </c>
      <c r="G33" s="55">
        <v>1.3</v>
      </c>
      <c r="H33" s="55">
        <v>1.3</v>
      </c>
      <c r="I33" s="55" t="s">
        <v>4</v>
      </c>
      <c r="J33" s="55">
        <v>26.130000000000003</v>
      </c>
      <c r="K33" s="55" t="s">
        <v>4</v>
      </c>
      <c r="L33" s="51" t="s">
        <v>3</v>
      </c>
    </row>
    <row r="34" spans="1:12" ht="16.5" x14ac:dyDescent="0.25">
      <c r="A34" s="50" t="s">
        <v>2372</v>
      </c>
      <c r="B34" s="55" t="s">
        <v>2463</v>
      </c>
      <c r="C34" s="55" t="s">
        <v>2464</v>
      </c>
      <c r="D34" s="55">
        <v>0.65</v>
      </c>
      <c r="E34" s="55">
        <v>5.4599999999999991</v>
      </c>
      <c r="F34" s="55">
        <v>89.7</v>
      </c>
      <c r="G34" s="55">
        <v>5.8500000000000005</v>
      </c>
      <c r="H34" s="55">
        <v>1.3</v>
      </c>
      <c r="I34" s="55" t="s">
        <v>4</v>
      </c>
      <c r="J34" s="55">
        <v>102.96</v>
      </c>
      <c r="K34" s="55" t="s">
        <v>4</v>
      </c>
      <c r="L34" s="51" t="s">
        <v>3</v>
      </c>
    </row>
    <row r="35" spans="1:12" ht="16.5" x14ac:dyDescent="0.25">
      <c r="A35" s="50" t="s">
        <v>2372</v>
      </c>
      <c r="B35" s="55" t="s">
        <v>2519</v>
      </c>
      <c r="C35" s="55" t="s">
        <v>2518</v>
      </c>
      <c r="D35" s="55" t="s">
        <v>4</v>
      </c>
      <c r="E35" s="55" t="s">
        <v>4</v>
      </c>
      <c r="F35" s="55" t="s">
        <v>4</v>
      </c>
      <c r="G35" s="55" t="s">
        <v>4</v>
      </c>
      <c r="H35" s="55" t="s">
        <v>4</v>
      </c>
      <c r="I35" s="55">
        <v>23306.400000000001</v>
      </c>
      <c r="J35" s="55">
        <v>23306.400000000001</v>
      </c>
      <c r="K35" s="55" t="s">
        <v>4</v>
      </c>
      <c r="L35" s="51" t="s">
        <v>3</v>
      </c>
    </row>
    <row r="36" spans="1:12" ht="16.5" x14ac:dyDescent="0.25">
      <c r="A36" s="50" t="s">
        <v>2372</v>
      </c>
      <c r="B36" s="55" t="s">
        <v>2517</v>
      </c>
      <c r="C36" s="55" t="s">
        <v>2516</v>
      </c>
      <c r="D36" s="55" t="s">
        <v>4</v>
      </c>
      <c r="E36" s="55" t="s">
        <v>4</v>
      </c>
      <c r="F36" s="55" t="s">
        <v>4</v>
      </c>
      <c r="G36" s="55" t="s">
        <v>4</v>
      </c>
      <c r="H36" s="55" t="s">
        <v>4</v>
      </c>
      <c r="I36" s="55">
        <v>26164.320000000007</v>
      </c>
      <c r="J36" s="55">
        <v>26164.320000000007</v>
      </c>
      <c r="K36" s="55" t="s">
        <v>4</v>
      </c>
      <c r="L36" s="51" t="s">
        <v>3</v>
      </c>
    </row>
    <row r="37" spans="1:12" ht="16.5" x14ac:dyDescent="0.25">
      <c r="A37" s="50" t="s">
        <v>2372</v>
      </c>
      <c r="B37" s="55" t="s">
        <v>2515</v>
      </c>
      <c r="C37" s="55" t="s">
        <v>2514</v>
      </c>
      <c r="D37" s="55" t="s">
        <v>4</v>
      </c>
      <c r="E37" s="55" t="s">
        <v>4</v>
      </c>
      <c r="F37" s="55" t="s">
        <v>4</v>
      </c>
      <c r="G37" s="55" t="s">
        <v>4</v>
      </c>
      <c r="H37" s="55" t="s">
        <v>4</v>
      </c>
      <c r="I37" s="55">
        <v>1325.8439999999998</v>
      </c>
      <c r="J37" s="55">
        <v>1325.8439999999998</v>
      </c>
      <c r="K37" s="55" t="s">
        <v>4</v>
      </c>
      <c r="L37" s="51" t="s">
        <v>2362</v>
      </c>
    </row>
    <row r="38" spans="1:12" ht="17.25" thickBot="1" x14ac:dyDescent="0.3">
      <c r="A38" s="47" t="s">
        <v>2372</v>
      </c>
      <c r="B38" s="48" t="s">
        <v>2513</v>
      </c>
      <c r="C38" s="48" t="s">
        <v>2512</v>
      </c>
      <c r="D38" s="48" t="s">
        <v>4</v>
      </c>
      <c r="E38" s="48" t="s">
        <v>4</v>
      </c>
      <c r="F38" s="48" t="s">
        <v>4</v>
      </c>
      <c r="G38" s="48" t="s">
        <v>4</v>
      </c>
      <c r="H38" s="48" t="s">
        <v>4</v>
      </c>
      <c r="I38" s="48">
        <v>1950.91</v>
      </c>
      <c r="J38" s="48">
        <v>1950.91</v>
      </c>
      <c r="K38" s="48" t="s">
        <v>4</v>
      </c>
      <c r="L38" s="49" t="s">
        <v>2362</v>
      </c>
    </row>
  </sheetData>
  <mergeCells count="7">
    <mergeCell ref="L1:L2"/>
    <mergeCell ref="A1:A2"/>
    <mergeCell ref="B1:B2"/>
    <mergeCell ref="C1:C2"/>
    <mergeCell ref="D1:I1"/>
    <mergeCell ref="J1:J2"/>
    <mergeCell ref="K1:K2"/>
  </mergeCells>
  <conditionalFormatting sqref="A1:L38">
    <cfRule type="containsText" dxfId="222" priority="9" stopIfTrue="1" operator="containsText" text="шт.)">
      <formula>NOT(ISERROR(SEARCH("шт.)",A1)))</formula>
    </cfRule>
    <cfRule type="containsText" dxfId="221" priority="8" stopIfTrue="1" operator="containsText" text=", на ">
      <formula>NOT(ISERROR(SEARCH(", на ",A1)))</formula>
    </cfRule>
    <cfRule type="containsText" dxfId="220" priority="7" stopIfTrue="1" operator="containsText" text=" Материалы ">
      <formula>NOT(ISERROR(SEARCH(" Материалы ",A1)))</formula>
    </cfRule>
    <cfRule type="containsText" dxfId="219" priority="6" stopIfTrue="1" operator="containsText" text=" Сборочные единицы ">
      <formula>NOT(ISERROR(SEARCH(" Сборочные единицы ",A1)))</formula>
    </cfRule>
    <cfRule type="containsText" dxfId="218" priority="5" stopIfTrue="1" operator="containsText" text=" Прокат ">
      <formula>NOT(ISERROR(SEARCH(" Прокат ",A1)))</formula>
    </cfRule>
    <cfRule type="containsText" dxfId="217" priority="4" stopIfTrue="1" operator="containsText" text=" Изделия ">
      <formula>NOT(ISERROR(SEARCH(" Изделия ",A1)))</formula>
    </cfRule>
    <cfRule type="containsText" dxfId="216" priority="3" stopIfTrue="1" operator="containsText" text="!!!">
      <formula>NOT(ISERROR(SEARCH("!!!",A1)))</formula>
    </cfRule>
    <cfRule type="containsText" dxfId="215" priority="2" stopIfTrue="1" operator="containsText" text="ИЗ ФАЙЛА">
      <formula>NOT(ISERROR(SEARCH("ИЗ ФАЙЛА",A1)))</formula>
    </cfRule>
    <cfRule type="containsText" dxfId="21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>
    <tabColor rgb="FF000000"/>
  </sheetPr>
  <dimension ref="A1:F16"/>
  <sheetViews>
    <sheetView workbookViewId="0">
      <selection sqref="A1:F16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2412</v>
      </c>
      <c r="B1" s="54" t="s">
        <v>2413</v>
      </c>
      <c r="C1" s="54" t="s">
        <v>2414</v>
      </c>
      <c r="D1" s="54" t="s">
        <v>2415</v>
      </c>
      <c r="E1" s="54" t="s">
        <v>2416</v>
      </c>
      <c r="F1" s="53" t="s">
        <v>2369</v>
      </c>
    </row>
    <row r="2" spans="1:6" ht="16.5" x14ac:dyDescent="0.25">
      <c r="A2" s="88" t="s">
        <v>2469</v>
      </c>
      <c r="B2" s="93"/>
      <c r="C2" s="93"/>
      <c r="D2" s="93"/>
      <c r="E2" s="93"/>
      <c r="F2" s="89"/>
    </row>
    <row r="3" spans="1:6" ht="16.5" x14ac:dyDescent="0.25">
      <c r="A3" s="50">
        <v>1</v>
      </c>
      <c r="B3" s="55" t="s">
        <v>2417</v>
      </c>
      <c r="C3" s="55" t="s">
        <v>2470</v>
      </c>
      <c r="D3" s="55">
        <v>1142.21</v>
      </c>
      <c r="E3" s="55">
        <v>0.88800000000000001</v>
      </c>
      <c r="F3" s="51" t="s">
        <v>2751</v>
      </c>
    </row>
    <row r="4" spans="1:6" ht="16.5" x14ac:dyDescent="0.25">
      <c r="A4" s="50" t="s">
        <v>2418</v>
      </c>
      <c r="B4" s="55" t="s">
        <v>2417</v>
      </c>
      <c r="C4" s="55" t="s">
        <v>2602</v>
      </c>
      <c r="D4" s="55">
        <v>176</v>
      </c>
      <c r="E4" s="55">
        <v>7.31</v>
      </c>
      <c r="F4" s="51" t="s">
        <v>2752</v>
      </c>
    </row>
    <row r="5" spans="1:6" ht="16.5" x14ac:dyDescent="0.25">
      <c r="A5" s="50" t="s">
        <v>2542</v>
      </c>
      <c r="B5" s="55" t="s">
        <v>2417</v>
      </c>
      <c r="C5" s="55" t="s">
        <v>2603</v>
      </c>
      <c r="D5" s="55">
        <v>78</v>
      </c>
      <c r="E5" s="55">
        <v>2.2999999999999998</v>
      </c>
      <c r="F5" s="51" t="s">
        <v>2753</v>
      </c>
    </row>
    <row r="6" spans="1:6" ht="16.5" x14ac:dyDescent="0.25">
      <c r="A6" s="50">
        <v>4</v>
      </c>
      <c r="B6" s="55" t="s">
        <v>2417</v>
      </c>
      <c r="C6" s="55" t="s">
        <v>2604</v>
      </c>
      <c r="D6" s="55">
        <v>353</v>
      </c>
      <c r="E6" s="55">
        <v>15.6</v>
      </c>
      <c r="F6" s="51" t="s">
        <v>2754</v>
      </c>
    </row>
    <row r="7" spans="1:6" ht="16.5" x14ac:dyDescent="0.25">
      <c r="A7" s="50" t="s">
        <v>2544</v>
      </c>
      <c r="B7" s="55" t="s">
        <v>2419</v>
      </c>
      <c r="C7" s="55" t="s">
        <v>2605</v>
      </c>
      <c r="D7" s="55">
        <v>690</v>
      </c>
      <c r="E7" s="55">
        <v>0.15</v>
      </c>
      <c r="F7" s="51" t="s">
        <v>2755</v>
      </c>
    </row>
    <row r="8" spans="1:6" ht="16.5" x14ac:dyDescent="0.25">
      <c r="A8" s="50">
        <v>6</v>
      </c>
      <c r="B8" s="55" t="s">
        <v>2417</v>
      </c>
      <c r="C8" s="55" t="s">
        <v>2606</v>
      </c>
      <c r="D8" s="55">
        <v>353</v>
      </c>
      <c r="E8" s="55">
        <v>15.53</v>
      </c>
      <c r="F8" s="51" t="s">
        <v>2756</v>
      </c>
    </row>
    <row r="9" spans="1:6" ht="16.5" x14ac:dyDescent="0.25">
      <c r="A9" s="50">
        <v>7</v>
      </c>
      <c r="B9" s="55" t="s">
        <v>2417</v>
      </c>
      <c r="C9" s="55" t="s">
        <v>2471</v>
      </c>
      <c r="D9" s="55">
        <v>592.89</v>
      </c>
      <c r="E9" s="55">
        <v>1.5780000000000001</v>
      </c>
      <c r="F9" s="51" t="s">
        <v>2757</v>
      </c>
    </row>
    <row r="10" spans="1:6" ht="16.5" x14ac:dyDescent="0.25">
      <c r="A10" s="50" t="s">
        <v>2545</v>
      </c>
      <c r="B10" s="55" t="s">
        <v>2417</v>
      </c>
      <c r="C10" s="55" t="s">
        <v>2607</v>
      </c>
      <c r="D10" s="55">
        <v>353</v>
      </c>
      <c r="E10" s="55">
        <v>7.45</v>
      </c>
      <c r="F10" s="51" t="s">
        <v>2758</v>
      </c>
    </row>
    <row r="11" spans="1:6" ht="16.5" x14ac:dyDescent="0.25">
      <c r="A11" s="50" t="s">
        <v>2546</v>
      </c>
      <c r="B11" s="55" t="s">
        <v>2417</v>
      </c>
      <c r="C11" s="55" t="s">
        <v>2608</v>
      </c>
      <c r="D11" s="55">
        <v>78</v>
      </c>
      <c r="E11" s="55">
        <v>5.31</v>
      </c>
      <c r="F11" s="51" t="s">
        <v>2759</v>
      </c>
    </row>
    <row r="12" spans="1:6" ht="16.5" x14ac:dyDescent="0.25">
      <c r="A12" s="50" t="s">
        <v>2547</v>
      </c>
      <c r="B12" s="55" t="s">
        <v>2417</v>
      </c>
      <c r="C12" s="55" t="s">
        <v>2609</v>
      </c>
      <c r="D12" s="55">
        <v>176</v>
      </c>
      <c r="E12" s="55">
        <v>9.24</v>
      </c>
      <c r="F12" s="51" t="s">
        <v>2760</v>
      </c>
    </row>
    <row r="13" spans="1:6" ht="16.5" x14ac:dyDescent="0.25">
      <c r="A13" s="50" t="s">
        <v>2610</v>
      </c>
      <c r="B13" s="55" t="s">
        <v>2417</v>
      </c>
      <c r="C13" s="55" t="s">
        <v>2611</v>
      </c>
      <c r="D13" s="55">
        <v>176</v>
      </c>
      <c r="E13" s="55">
        <v>5.99</v>
      </c>
      <c r="F13" s="51" t="s">
        <v>2761</v>
      </c>
    </row>
    <row r="14" spans="1:6" ht="16.5" x14ac:dyDescent="0.25">
      <c r="A14" s="50" t="s">
        <v>2612</v>
      </c>
      <c r="B14" s="55" t="s">
        <v>2417</v>
      </c>
      <c r="C14" s="55" t="s">
        <v>2613</v>
      </c>
      <c r="D14" s="55">
        <v>78</v>
      </c>
      <c r="E14" s="55">
        <v>1.94</v>
      </c>
      <c r="F14" s="51" t="s">
        <v>2762</v>
      </c>
    </row>
    <row r="15" spans="1:6" ht="16.5" x14ac:dyDescent="0.25">
      <c r="A15" s="50" t="s">
        <v>2372</v>
      </c>
      <c r="B15" s="55" t="s">
        <v>2463</v>
      </c>
      <c r="C15" s="55" t="s">
        <v>2464</v>
      </c>
      <c r="D15" s="55">
        <v>83.86</v>
      </c>
      <c r="E15" s="55" t="s">
        <v>4</v>
      </c>
      <c r="F15" s="51" t="s">
        <v>3</v>
      </c>
    </row>
    <row r="16" spans="1:6" ht="17.25" thickBot="1" x14ac:dyDescent="0.3">
      <c r="A16" s="47" t="s">
        <v>2465</v>
      </c>
      <c r="B16" s="48" t="s">
        <v>2372</v>
      </c>
      <c r="C16" s="48" t="s">
        <v>2466</v>
      </c>
      <c r="D16" s="48">
        <v>79</v>
      </c>
      <c r="E16" s="48" t="s">
        <v>4</v>
      </c>
      <c r="F16" s="49" t="s">
        <v>4</v>
      </c>
    </row>
  </sheetData>
  <mergeCells count="1">
    <mergeCell ref="A2:F2"/>
  </mergeCells>
  <conditionalFormatting sqref="A1:F16">
    <cfRule type="containsText" dxfId="197" priority="9" stopIfTrue="1" operator="containsText" text="шт.)">
      <formula>NOT(ISERROR(SEARCH("шт.)",A1)))</formula>
    </cfRule>
    <cfRule type="containsText" dxfId="196" priority="8" stopIfTrue="1" operator="containsText" text=", на ">
      <formula>NOT(ISERROR(SEARCH(", на ",A1)))</formula>
    </cfRule>
    <cfRule type="containsText" dxfId="195" priority="7" stopIfTrue="1" operator="containsText" text=" Материалы ">
      <formula>NOT(ISERROR(SEARCH(" Материалы ",A1)))</formula>
    </cfRule>
    <cfRule type="containsText" dxfId="194" priority="6" stopIfTrue="1" operator="containsText" text=" Сборочные единицы ">
      <formula>NOT(ISERROR(SEARCH(" Сборочные единицы ",A1)))</formula>
    </cfRule>
    <cfRule type="containsText" dxfId="193" priority="5" stopIfTrue="1" operator="containsText" text=" Прокат ">
      <formula>NOT(ISERROR(SEARCH(" Прокат ",A1)))</formula>
    </cfRule>
    <cfRule type="containsText" dxfId="192" priority="4" stopIfTrue="1" operator="containsText" text=" Изделия ">
      <formula>NOT(ISERROR(SEARCH(" Изделия ",A1)))</formula>
    </cfRule>
    <cfRule type="containsText" dxfId="191" priority="3" stopIfTrue="1" operator="containsText" text="!!!">
      <formula>NOT(ISERROR(SEARCH("!!!",A1)))</formula>
    </cfRule>
    <cfRule type="containsText" dxfId="190" priority="2" stopIfTrue="1" operator="containsText" text="ИЗ ФАЙЛА">
      <formula>NOT(ISERROR(SEARCH("ИЗ ФАЙЛА",A1)))</formula>
    </cfRule>
    <cfRule type="containsText" dxfId="18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2412</v>
      </c>
      <c r="B1" s="54" t="s">
        <v>2413</v>
      </c>
      <c r="C1" s="54" t="s">
        <v>2414</v>
      </c>
      <c r="D1" s="54" t="s">
        <v>2415</v>
      </c>
      <c r="E1" s="54" t="s">
        <v>2416</v>
      </c>
      <c r="F1" s="53" t="s">
        <v>2369</v>
      </c>
    </row>
    <row r="2" spans="1:6" ht="33.75" thickBot="1" x14ac:dyDescent="0.3">
      <c r="A2" s="47" t="s">
        <v>2460</v>
      </c>
      <c r="B2" s="48" t="s">
        <v>2372</v>
      </c>
      <c r="C2" s="48" t="s">
        <v>2461</v>
      </c>
      <c r="D2" s="48">
        <v>1</v>
      </c>
      <c r="E2" s="48">
        <v>15123.33</v>
      </c>
      <c r="F2" s="49" t="s">
        <v>2766</v>
      </c>
    </row>
  </sheetData>
  <conditionalFormatting sqref="A1:F2">
    <cfRule type="containsText" dxfId="172" priority="9" stopIfTrue="1" operator="containsText" text="шт.)">
      <formula>NOT(ISERROR(SEARCH("шт.)",A1)))</formula>
    </cfRule>
    <cfRule type="containsText" dxfId="171" priority="8" stopIfTrue="1" operator="containsText" text=", на ">
      <formula>NOT(ISERROR(SEARCH(", на ",A1)))</formula>
    </cfRule>
    <cfRule type="containsText" dxfId="170" priority="7" stopIfTrue="1" operator="containsText" text=" Материалы ">
      <formula>NOT(ISERROR(SEARCH(" Материалы ",A1)))</formula>
    </cfRule>
    <cfRule type="containsText" dxfId="169" priority="6" stopIfTrue="1" operator="containsText" text=" Сборочные единицы ">
      <formula>NOT(ISERROR(SEARCH(" Сборочные единицы ",A1)))</formula>
    </cfRule>
    <cfRule type="containsText" dxfId="168" priority="5" stopIfTrue="1" operator="containsText" text=" Прокат ">
      <formula>NOT(ISERROR(SEARCH(" Прокат ",A1)))</formula>
    </cfRule>
    <cfRule type="containsText" dxfId="167" priority="4" stopIfTrue="1" operator="containsText" text=" Изделия ">
      <formula>NOT(ISERROR(SEARCH(" Изделия ",A1)))</formula>
    </cfRule>
    <cfRule type="containsText" dxfId="166" priority="3" stopIfTrue="1" operator="containsText" text="!!!">
      <formula>NOT(ISERROR(SEARCH("!!!",A1)))</formula>
    </cfRule>
    <cfRule type="containsText" dxfId="165" priority="2" stopIfTrue="1" operator="containsText" text="ИЗ ФАЙЛА">
      <formula>NOT(ISERROR(SEARCH("ИЗ ФАЙЛА",A1)))</formula>
    </cfRule>
    <cfRule type="containsText" dxfId="16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52" t="s">
        <v>2420</v>
      </c>
      <c r="B1" s="54" t="s">
        <v>2421</v>
      </c>
      <c r="C1" s="54" t="s">
        <v>2414</v>
      </c>
      <c r="D1" s="54" t="s">
        <v>2422</v>
      </c>
      <c r="E1" s="54" t="s">
        <v>2423</v>
      </c>
      <c r="F1" s="53" t="s">
        <v>2424</v>
      </c>
    </row>
    <row r="2" spans="1:6" ht="17.25" thickBot="1" x14ac:dyDescent="0.3">
      <c r="A2" s="85" t="s">
        <v>2425</v>
      </c>
      <c r="B2" s="86"/>
      <c r="C2" s="86"/>
      <c r="D2" s="86"/>
      <c r="E2" s="86"/>
      <c r="F2" s="87"/>
    </row>
  </sheetData>
  <mergeCells count="1">
    <mergeCell ref="A2:F2"/>
  </mergeCells>
  <conditionalFormatting sqref="A1:F2">
    <cfRule type="containsText" dxfId="147" priority="9" stopIfTrue="1" operator="containsText" text="шт.)">
      <formula>NOT(ISERROR(SEARCH("шт.)",A1)))</formula>
    </cfRule>
    <cfRule type="containsText" dxfId="146" priority="8" stopIfTrue="1" operator="containsText" text=", на ">
      <formula>NOT(ISERROR(SEARCH(", на ",A1)))</formula>
    </cfRule>
    <cfRule type="containsText" dxfId="145" priority="7" stopIfTrue="1" operator="containsText" text=" Материалы ">
      <formula>NOT(ISERROR(SEARCH(" Материалы ",A1)))</formula>
    </cfRule>
    <cfRule type="containsText" dxfId="144" priority="6" stopIfTrue="1" operator="containsText" text=" Сборочные единицы ">
      <formula>NOT(ISERROR(SEARCH(" Сборочные единицы ",A1)))</formula>
    </cfRule>
    <cfRule type="containsText" dxfId="143" priority="5" stopIfTrue="1" operator="containsText" text=" Прокат ">
      <formula>NOT(ISERROR(SEARCH(" Прокат ",A1)))</formula>
    </cfRule>
    <cfRule type="containsText" dxfId="142" priority="4" stopIfTrue="1" operator="containsText" text=" Изделия ">
      <formula>NOT(ISERROR(SEARCH(" Изделия ",A1)))</formula>
    </cfRule>
    <cfRule type="containsText" dxfId="141" priority="3" stopIfTrue="1" operator="containsText" text="!!!">
      <formula>NOT(ISERROR(SEARCH("!!!",A1)))</formula>
    </cfRule>
    <cfRule type="containsText" dxfId="140" priority="2" stopIfTrue="1" operator="containsText" text="ИЗ ФАЙЛА">
      <formula>NOT(ISERROR(SEARCH("ИЗ ФАЙЛА",A1)))</formula>
    </cfRule>
    <cfRule type="containsText" dxfId="13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rgb="FF000000"/>
  </sheetPr>
  <dimension ref="A1:I6"/>
  <sheetViews>
    <sheetView workbookViewId="0">
      <selection sqref="A1:I6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90" t="s">
        <v>2426</v>
      </c>
      <c r="B1" s="92" t="s">
        <v>2427</v>
      </c>
      <c r="C1" s="92"/>
      <c r="D1" s="92"/>
      <c r="E1" s="92"/>
      <c r="F1" s="92"/>
      <c r="G1" s="92"/>
      <c r="H1" s="92"/>
      <c r="I1" s="91" t="s">
        <v>2428</v>
      </c>
    </row>
    <row r="2" spans="1:9" ht="22.7" customHeight="1" x14ac:dyDescent="0.25">
      <c r="A2" s="88"/>
      <c r="B2" s="93" t="s">
        <v>2429</v>
      </c>
      <c r="C2" s="93"/>
      <c r="D2" s="93"/>
      <c r="E2" s="93"/>
      <c r="F2" s="93"/>
      <c r="G2" s="93"/>
      <c r="H2" s="93" t="s">
        <v>2428</v>
      </c>
      <c r="I2" s="89"/>
    </row>
    <row r="3" spans="1:9" ht="22.7" customHeight="1" x14ac:dyDescent="0.25">
      <c r="A3" s="88"/>
      <c r="B3" s="93" t="s">
        <v>2</v>
      </c>
      <c r="C3" s="93"/>
      <c r="D3" s="93"/>
      <c r="E3" s="93"/>
      <c r="F3" s="93" t="s">
        <v>1</v>
      </c>
      <c r="G3" s="93"/>
      <c r="H3" s="93"/>
      <c r="I3" s="89"/>
    </row>
    <row r="4" spans="1:9" ht="22.7" customHeight="1" x14ac:dyDescent="0.25">
      <c r="A4" s="88"/>
      <c r="B4" s="93" t="s">
        <v>2417</v>
      </c>
      <c r="C4" s="93"/>
      <c r="D4" s="93"/>
      <c r="E4" s="93"/>
      <c r="F4" s="93" t="s">
        <v>2419</v>
      </c>
      <c r="G4" s="93"/>
      <c r="H4" s="93"/>
      <c r="I4" s="89"/>
    </row>
    <row r="5" spans="1:9" ht="22.7" customHeight="1" x14ac:dyDescent="0.25">
      <c r="A5" s="88"/>
      <c r="B5" s="55" t="s">
        <v>2472</v>
      </c>
      <c r="C5" s="55" t="s">
        <v>2473</v>
      </c>
      <c r="D5" s="55" t="s">
        <v>2474</v>
      </c>
      <c r="E5" s="55" t="s">
        <v>2428</v>
      </c>
      <c r="F5" s="55" t="s">
        <v>2431</v>
      </c>
      <c r="G5" s="55" t="s">
        <v>2428</v>
      </c>
      <c r="H5" s="93"/>
      <c r="I5" s="89"/>
    </row>
    <row r="6" spans="1:9" ht="22.7" customHeight="1" thickBot="1" x14ac:dyDescent="0.3">
      <c r="A6" s="14" t="s">
        <v>2475</v>
      </c>
      <c r="B6" s="15">
        <v>1251.7</v>
      </c>
      <c r="C6" s="15">
        <v>1232.5</v>
      </c>
      <c r="D6" s="15">
        <v>12554.2</v>
      </c>
      <c r="E6" s="15">
        <v>15038.4</v>
      </c>
      <c r="F6" s="15">
        <v>72.099999999999994</v>
      </c>
      <c r="G6" s="15">
        <v>72.099999999999994</v>
      </c>
      <c r="H6" s="15">
        <v>15110.4</v>
      </c>
      <c r="I6" s="16">
        <v>15110.4</v>
      </c>
    </row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6">
    <cfRule type="containsText" dxfId="122" priority="9" stopIfTrue="1" operator="containsText" text="шт.)">
      <formula>NOT(ISERROR(SEARCH("шт.)",A1)))</formula>
    </cfRule>
    <cfRule type="containsText" dxfId="121" priority="8" stopIfTrue="1" operator="containsText" text=", на ">
      <formula>NOT(ISERROR(SEARCH(", на ",A1)))</formula>
    </cfRule>
    <cfRule type="containsText" dxfId="120" priority="7" stopIfTrue="1" operator="containsText" text=" Материалы ">
      <formula>NOT(ISERROR(SEARCH(" Материалы ",A1)))</formula>
    </cfRule>
    <cfRule type="containsText" dxfId="119" priority="6" stopIfTrue="1" operator="containsText" text=" Сборочные единицы ">
      <formula>NOT(ISERROR(SEARCH(" Сборочные единицы ",A1)))</formula>
    </cfRule>
    <cfRule type="containsText" dxfId="118" priority="5" stopIfTrue="1" operator="containsText" text=" Прокат ">
      <formula>NOT(ISERROR(SEARCH(" Прокат ",A1)))</formula>
    </cfRule>
    <cfRule type="containsText" dxfId="117" priority="4" stopIfTrue="1" operator="containsText" text=" Изделия ">
      <formula>NOT(ISERROR(SEARCH(" Изделия ",A1)))</formula>
    </cfRule>
    <cfRule type="containsText" dxfId="116" priority="3" stopIfTrue="1" operator="containsText" text="!!!">
      <formula>NOT(ISERROR(SEARCH("!!!",A1)))</formula>
    </cfRule>
    <cfRule type="containsText" dxfId="115" priority="2" stopIfTrue="1" operator="containsText" text="ИЗ ФАЙЛА">
      <formula>NOT(ISERROR(SEARCH("ИЗ ФАЙЛА",A1)))</formula>
    </cfRule>
    <cfRule type="containsText" dxfId="11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tabColor rgb="FF000000"/>
  </sheetPr>
  <dimension ref="A1:F16"/>
  <sheetViews>
    <sheetView workbookViewId="0">
      <selection sqref="A1:F16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2412</v>
      </c>
      <c r="B1" s="54" t="s">
        <v>2413</v>
      </c>
      <c r="C1" s="54" t="s">
        <v>2414</v>
      </c>
      <c r="D1" s="54" t="s">
        <v>2415</v>
      </c>
      <c r="E1" s="54" t="s">
        <v>2416</v>
      </c>
      <c r="F1" s="53" t="s">
        <v>2369</v>
      </c>
    </row>
    <row r="2" spans="1:6" ht="16.5" x14ac:dyDescent="0.25">
      <c r="A2" s="88" t="s">
        <v>2469</v>
      </c>
      <c r="B2" s="93"/>
      <c r="C2" s="93"/>
      <c r="D2" s="93"/>
      <c r="E2" s="93"/>
      <c r="F2" s="89"/>
    </row>
    <row r="3" spans="1:6" ht="16.5" x14ac:dyDescent="0.25">
      <c r="A3" s="50">
        <v>1</v>
      </c>
      <c r="B3" s="55" t="s">
        <v>2417</v>
      </c>
      <c r="C3" s="55" t="s">
        <v>2470</v>
      </c>
      <c r="D3" s="55">
        <v>1223.79</v>
      </c>
      <c r="E3" s="55">
        <v>0.88800000000000001</v>
      </c>
      <c r="F3" s="51" t="s">
        <v>2771</v>
      </c>
    </row>
    <row r="4" spans="1:6" ht="16.5" x14ac:dyDescent="0.25">
      <c r="A4" s="50" t="s">
        <v>2418</v>
      </c>
      <c r="B4" s="55" t="s">
        <v>2417</v>
      </c>
      <c r="C4" s="55" t="s">
        <v>2602</v>
      </c>
      <c r="D4" s="55">
        <v>189</v>
      </c>
      <c r="E4" s="55">
        <v>7.83</v>
      </c>
      <c r="F4" s="51" t="s">
        <v>2772</v>
      </c>
    </row>
    <row r="5" spans="1:6" ht="16.5" x14ac:dyDescent="0.25">
      <c r="A5" s="50" t="s">
        <v>2542</v>
      </c>
      <c r="B5" s="55" t="s">
        <v>2417</v>
      </c>
      <c r="C5" s="55" t="s">
        <v>2603</v>
      </c>
      <c r="D5" s="55">
        <v>84</v>
      </c>
      <c r="E5" s="55">
        <v>2.4699999999999998</v>
      </c>
      <c r="F5" s="51" t="s">
        <v>2773</v>
      </c>
    </row>
    <row r="6" spans="1:6" ht="16.5" x14ac:dyDescent="0.25">
      <c r="A6" s="50">
        <v>4</v>
      </c>
      <c r="B6" s="55" t="s">
        <v>2417</v>
      </c>
      <c r="C6" s="55" t="s">
        <v>2604</v>
      </c>
      <c r="D6" s="55">
        <v>378</v>
      </c>
      <c r="E6" s="55">
        <v>16.71</v>
      </c>
      <c r="F6" s="51" t="s">
        <v>2774</v>
      </c>
    </row>
    <row r="7" spans="1:6" ht="16.5" x14ac:dyDescent="0.25">
      <c r="A7" s="50" t="s">
        <v>2544</v>
      </c>
      <c r="B7" s="55" t="s">
        <v>2419</v>
      </c>
      <c r="C7" s="55" t="s">
        <v>2605</v>
      </c>
      <c r="D7" s="55">
        <v>739</v>
      </c>
      <c r="E7" s="55">
        <v>0.16</v>
      </c>
      <c r="F7" s="51" t="s">
        <v>2775</v>
      </c>
    </row>
    <row r="8" spans="1:6" ht="16.5" x14ac:dyDescent="0.25">
      <c r="A8" s="50">
        <v>6</v>
      </c>
      <c r="B8" s="55" t="s">
        <v>2417</v>
      </c>
      <c r="C8" s="55" t="s">
        <v>2606</v>
      </c>
      <c r="D8" s="55">
        <v>378</v>
      </c>
      <c r="E8" s="55">
        <v>16.64</v>
      </c>
      <c r="F8" s="51" t="s">
        <v>2776</v>
      </c>
    </row>
    <row r="9" spans="1:6" ht="16.5" x14ac:dyDescent="0.25">
      <c r="A9" s="50">
        <v>7</v>
      </c>
      <c r="B9" s="55" t="s">
        <v>2417</v>
      </c>
      <c r="C9" s="55" t="s">
        <v>2471</v>
      </c>
      <c r="D9" s="55">
        <v>635.24</v>
      </c>
      <c r="E9" s="55">
        <v>1.5780000000000001</v>
      </c>
      <c r="F9" s="51" t="s">
        <v>2777</v>
      </c>
    </row>
    <row r="10" spans="1:6" ht="16.5" x14ac:dyDescent="0.25">
      <c r="A10" s="50" t="s">
        <v>2545</v>
      </c>
      <c r="B10" s="55" t="s">
        <v>2417</v>
      </c>
      <c r="C10" s="55" t="s">
        <v>2607</v>
      </c>
      <c r="D10" s="55">
        <v>378</v>
      </c>
      <c r="E10" s="55">
        <v>7.9799999999999995</v>
      </c>
      <c r="F10" s="51" t="s">
        <v>2778</v>
      </c>
    </row>
    <row r="11" spans="1:6" ht="16.5" x14ac:dyDescent="0.25">
      <c r="A11" s="50" t="s">
        <v>2546</v>
      </c>
      <c r="B11" s="55" t="s">
        <v>2417</v>
      </c>
      <c r="C11" s="55" t="s">
        <v>2608</v>
      </c>
      <c r="D11" s="55">
        <v>84</v>
      </c>
      <c r="E11" s="55">
        <v>5.6899999999999995</v>
      </c>
      <c r="F11" s="51" t="s">
        <v>2779</v>
      </c>
    </row>
    <row r="12" spans="1:6" ht="16.5" x14ac:dyDescent="0.25">
      <c r="A12" s="50" t="s">
        <v>2547</v>
      </c>
      <c r="B12" s="55" t="s">
        <v>2417</v>
      </c>
      <c r="C12" s="55" t="s">
        <v>2609</v>
      </c>
      <c r="D12" s="55">
        <v>189</v>
      </c>
      <c r="E12" s="55">
        <v>9.9</v>
      </c>
      <c r="F12" s="51" t="s">
        <v>2780</v>
      </c>
    </row>
    <row r="13" spans="1:6" ht="16.5" x14ac:dyDescent="0.25">
      <c r="A13" s="50" t="s">
        <v>2610</v>
      </c>
      <c r="B13" s="55" t="s">
        <v>2417</v>
      </c>
      <c r="C13" s="55" t="s">
        <v>2611</v>
      </c>
      <c r="D13" s="55">
        <v>189</v>
      </c>
      <c r="E13" s="55">
        <v>6.42</v>
      </c>
      <c r="F13" s="51" t="s">
        <v>2781</v>
      </c>
    </row>
    <row r="14" spans="1:6" ht="16.5" x14ac:dyDescent="0.25">
      <c r="A14" s="50" t="s">
        <v>2612</v>
      </c>
      <c r="B14" s="55" t="s">
        <v>2417</v>
      </c>
      <c r="C14" s="55" t="s">
        <v>2613</v>
      </c>
      <c r="D14" s="55">
        <v>84</v>
      </c>
      <c r="E14" s="55">
        <v>2.08</v>
      </c>
      <c r="F14" s="51" t="s">
        <v>2782</v>
      </c>
    </row>
    <row r="15" spans="1:6" ht="16.5" x14ac:dyDescent="0.25">
      <c r="A15" s="50" t="s">
        <v>2372</v>
      </c>
      <c r="B15" s="55" t="s">
        <v>2463</v>
      </c>
      <c r="C15" s="55" t="s">
        <v>2464</v>
      </c>
      <c r="D15" s="55">
        <v>89.85</v>
      </c>
      <c r="E15" s="55" t="s">
        <v>4</v>
      </c>
      <c r="F15" s="51" t="s">
        <v>3</v>
      </c>
    </row>
    <row r="16" spans="1:6" ht="17.25" thickBot="1" x14ac:dyDescent="0.3">
      <c r="A16" s="47" t="s">
        <v>2465</v>
      </c>
      <c r="B16" s="48" t="s">
        <v>2372</v>
      </c>
      <c r="C16" s="48" t="s">
        <v>2466</v>
      </c>
      <c r="D16" s="48">
        <v>79</v>
      </c>
      <c r="E16" s="48" t="s">
        <v>4</v>
      </c>
      <c r="F16" s="49" t="s">
        <v>4</v>
      </c>
    </row>
  </sheetData>
  <mergeCells count="1">
    <mergeCell ref="A2:F2"/>
  </mergeCells>
  <conditionalFormatting sqref="A1:F16">
    <cfRule type="containsText" dxfId="97" priority="9" stopIfTrue="1" operator="containsText" text="шт.)">
      <formula>NOT(ISERROR(SEARCH("шт.)",A1)))</formula>
    </cfRule>
    <cfRule type="containsText" dxfId="96" priority="8" stopIfTrue="1" operator="containsText" text=", на ">
      <formula>NOT(ISERROR(SEARCH(", на ",A1)))</formula>
    </cfRule>
    <cfRule type="containsText" dxfId="95" priority="7" stopIfTrue="1" operator="containsText" text=" Материалы ">
      <formula>NOT(ISERROR(SEARCH(" Материалы ",A1)))</formula>
    </cfRule>
    <cfRule type="containsText" dxfId="94" priority="6" stopIfTrue="1" operator="containsText" text=" Сборочные единицы ">
      <formula>NOT(ISERROR(SEARCH(" Сборочные единицы ",A1)))</formula>
    </cfRule>
    <cfRule type="containsText" dxfId="93" priority="5" stopIfTrue="1" operator="containsText" text=" Прокат ">
      <formula>NOT(ISERROR(SEARCH(" Прокат ",A1)))</formula>
    </cfRule>
    <cfRule type="containsText" dxfId="92" priority="4" stopIfTrue="1" operator="containsText" text=" Изделия ">
      <formula>NOT(ISERROR(SEARCH(" Изделия ",A1)))</formula>
    </cfRule>
    <cfRule type="containsText" dxfId="91" priority="3" stopIfTrue="1" operator="containsText" text="!!!">
      <formula>NOT(ISERROR(SEARCH("!!!",A1)))</formula>
    </cfRule>
    <cfRule type="containsText" dxfId="90" priority="2" stopIfTrue="1" operator="containsText" text="ИЗ ФАЙЛА">
      <formula>NOT(ISERROR(SEARCH("ИЗ ФАЙЛА",A1)))</formula>
    </cfRule>
    <cfRule type="containsText" dxfId="8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52" t="s">
        <v>2412</v>
      </c>
      <c r="B1" s="54" t="s">
        <v>2413</v>
      </c>
      <c r="C1" s="54" t="s">
        <v>2414</v>
      </c>
      <c r="D1" s="54" t="s">
        <v>2415</v>
      </c>
      <c r="E1" s="54" t="s">
        <v>2416</v>
      </c>
      <c r="F1" s="53" t="s">
        <v>2369</v>
      </c>
    </row>
    <row r="2" spans="1:6" ht="33.75" thickBot="1" x14ac:dyDescent="0.3">
      <c r="A2" s="47" t="s">
        <v>2460</v>
      </c>
      <c r="B2" s="48" t="s">
        <v>2372</v>
      </c>
      <c r="C2" s="48" t="s">
        <v>2461</v>
      </c>
      <c r="D2" s="48">
        <v>1</v>
      </c>
      <c r="E2" s="48">
        <v>16204.559999999996</v>
      </c>
      <c r="F2" s="49" t="s">
        <v>2786</v>
      </c>
    </row>
  </sheetData>
  <conditionalFormatting sqref="A1:F2">
    <cfRule type="containsText" dxfId="72" priority="9" stopIfTrue="1" operator="containsText" text="шт.)">
      <formula>NOT(ISERROR(SEARCH("шт.)",A1)))</formula>
    </cfRule>
    <cfRule type="containsText" dxfId="71" priority="8" stopIfTrue="1" operator="containsText" text=", на ">
      <formula>NOT(ISERROR(SEARCH(", на ",A1)))</formula>
    </cfRule>
    <cfRule type="containsText" dxfId="70" priority="7" stopIfTrue="1" operator="containsText" text=" Материалы ">
      <formula>NOT(ISERROR(SEARCH(" Материалы ",A1)))</formula>
    </cfRule>
    <cfRule type="containsText" dxfId="69" priority="6" stopIfTrue="1" operator="containsText" text=" Сборочные единицы ">
      <formula>NOT(ISERROR(SEARCH(" Сборочные единицы ",A1)))</formula>
    </cfRule>
    <cfRule type="containsText" dxfId="68" priority="5" stopIfTrue="1" operator="containsText" text=" Прокат ">
      <formula>NOT(ISERROR(SEARCH(" Прокат ",A1)))</formula>
    </cfRule>
    <cfRule type="containsText" dxfId="67" priority="4" stopIfTrue="1" operator="containsText" text=" Изделия ">
      <formula>NOT(ISERROR(SEARCH(" Изделия ",A1)))</formula>
    </cfRule>
    <cfRule type="containsText" dxfId="66" priority="3" stopIfTrue="1" operator="containsText" text="!!!">
      <formula>NOT(ISERROR(SEARCH("!!!",A1)))</formula>
    </cfRule>
    <cfRule type="containsText" dxfId="65" priority="2" stopIfTrue="1" operator="containsText" text="ИЗ ФАЙЛА">
      <formula>NOT(ISERROR(SEARCH("ИЗ ФАЙЛА",A1)))</formula>
    </cfRule>
    <cfRule type="containsText" dxfId="6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52" t="s">
        <v>2420</v>
      </c>
      <c r="B1" s="54" t="s">
        <v>2421</v>
      </c>
      <c r="C1" s="54" t="s">
        <v>2414</v>
      </c>
      <c r="D1" s="54" t="s">
        <v>2422</v>
      </c>
      <c r="E1" s="54" t="s">
        <v>2423</v>
      </c>
      <c r="F1" s="53" t="s">
        <v>2424</v>
      </c>
    </row>
    <row r="2" spans="1:6" ht="17.25" thickBot="1" x14ac:dyDescent="0.3">
      <c r="A2" s="85" t="s">
        <v>2425</v>
      </c>
      <c r="B2" s="86"/>
      <c r="C2" s="86"/>
      <c r="D2" s="86"/>
      <c r="E2" s="86"/>
      <c r="F2" s="87"/>
    </row>
  </sheetData>
  <mergeCells count="1">
    <mergeCell ref="A2:F2"/>
  </mergeCells>
  <conditionalFormatting sqref="A1:F2">
    <cfRule type="containsText" dxfId="47" priority="9" stopIfTrue="1" operator="containsText" text="шт.)">
      <formula>NOT(ISERROR(SEARCH("шт.)",A1)))</formula>
    </cfRule>
    <cfRule type="containsText" dxfId="46" priority="8" stopIfTrue="1" operator="containsText" text=", на ">
      <formula>NOT(ISERROR(SEARCH(", на ",A1)))</formula>
    </cfRule>
    <cfRule type="containsText" dxfId="45" priority="7" stopIfTrue="1" operator="containsText" text=" Материалы ">
      <formula>NOT(ISERROR(SEARCH(" Материалы ",A1)))</formula>
    </cfRule>
    <cfRule type="containsText" dxfId="44" priority="6" stopIfTrue="1" operator="containsText" text=" Сборочные единицы ">
      <formula>NOT(ISERROR(SEARCH(" Сборочные единицы ",A1)))</formula>
    </cfRule>
    <cfRule type="containsText" dxfId="43" priority="5" stopIfTrue="1" operator="containsText" text=" Прокат ">
      <formula>NOT(ISERROR(SEARCH(" Прокат ",A1)))</formula>
    </cfRule>
    <cfRule type="containsText" dxfId="42" priority="4" stopIfTrue="1" operator="containsText" text=" Изделия ">
      <formula>NOT(ISERROR(SEARCH(" Изделия ",A1)))</formula>
    </cfRule>
    <cfRule type="containsText" dxfId="41" priority="3" stopIfTrue="1" operator="containsText" text="!!!">
      <formula>NOT(ISERROR(SEARCH("!!!",A1)))</formula>
    </cfRule>
    <cfRule type="containsText" dxfId="40" priority="2" stopIfTrue="1" operator="containsText" text="ИЗ ФАЙЛА">
      <formula>NOT(ISERROR(SEARCH("ИЗ ФАЙЛА",A1)))</formula>
    </cfRule>
    <cfRule type="containsText" dxfId="3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>
    <tabColor rgb="FF000000"/>
  </sheetPr>
  <dimension ref="A1:I6"/>
  <sheetViews>
    <sheetView workbookViewId="0">
      <selection sqref="A1:I6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90" t="s">
        <v>2426</v>
      </c>
      <c r="B1" s="92" t="s">
        <v>2427</v>
      </c>
      <c r="C1" s="92"/>
      <c r="D1" s="92"/>
      <c r="E1" s="92"/>
      <c r="F1" s="92"/>
      <c r="G1" s="92"/>
      <c r="H1" s="92"/>
      <c r="I1" s="91" t="s">
        <v>2428</v>
      </c>
    </row>
    <row r="2" spans="1:9" ht="22.7" customHeight="1" x14ac:dyDescent="0.25">
      <c r="A2" s="88"/>
      <c r="B2" s="93" t="s">
        <v>2429</v>
      </c>
      <c r="C2" s="93"/>
      <c r="D2" s="93"/>
      <c r="E2" s="93"/>
      <c r="F2" s="93"/>
      <c r="G2" s="93"/>
      <c r="H2" s="93" t="s">
        <v>2428</v>
      </c>
      <c r="I2" s="89"/>
    </row>
    <row r="3" spans="1:9" ht="22.7" customHeight="1" x14ac:dyDescent="0.25">
      <c r="A3" s="88"/>
      <c r="B3" s="93" t="s">
        <v>2</v>
      </c>
      <c r="C3" s="93"/>
      <c r="D3" s="93"/>
      <c r="E3" s="93"/>
      <c r="F3" s="93" t="s">
        <v>1</v>
      </c>
      <c r="G3" s="93"/>
      <c r="H3" s="93"/>
      <c r="I3" s="89"/>
    </row>
    <row r="4" spans="1:9" ht="22.7" customHeight="1" x14ac:dyDescent="0.25">
      <c r="A4" s="88"/>
      <c r="B4" s="93" t="s">
        <v>2417</v>
      </c>
      <c r="C4" s="93"/>
      <c r="D4" s="93"/>
      <c r="E4" s="93"/>
      <c r="F4" s="93" t="s">
        <v>2419</v>
      </c>
      <c r="G4" s="93"/>
      <c r="H4" s="93"/>
      <c r="I4" s="89"/>
    </row>
    <row r="5" spans="1:9" ht="22.7" customHeight="1" x14ac:dyDescent="0.25">
      <c r="A5" s="88"/>
      <c r="B5" s="55" t="s">
        <v>2472</v>
      </c>
      <c r="C5" s="55" t="s">
        <v>2473</v>
      </c>
      <c r="D5" s="55" t="s">
        <v>2474</v>
      </c>
      <c r="E5" s="55" t="s">
        <v>2428</v>
      </c>
      <c r="F5" s="55" t="s">
        <v>2431</v>
      </c>
      <c r="G5" s="55" t="s">
        <v>2428</v>
      </c>
      <c r="H5" s="93"/>
      <c r="I5" s="89"/>
    </row>
    <row r="6" spans="1:9" ht="22.7" customHeight="1" thickBot="1" x14ac:dyDescent="0.3">
      <c r="A6" s="14" t="s">
        <v>2475</v>
      </c>
      <c r="B6" s="15">
        <v>1341.1</v>
      </c>
      <c r="C6" s="15">
        <v>1320.6</v>
      </c>
      <c r="D6" s="15">
        <v>13450.9</v>
      </c>
      <c r="E6" s="15">
        <v>16112.6</v>
      </c>
      <c r="F6" s="15">
        <v>77.2</v>
      </c>
      <c r="G6" s="15">
        <v>77.2</v>
      </c>
      <c r="H6" s="15">
        <v>16189.7</v>
      </c>
      <c r="I6" s="16">
        <v>16189.7</v>
      </c>
    </row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6">
    <cfRule type="containsText" dxfId="22" priority="9" stopIfTrue="1" operator="containsText" text="шт.)">
      <formula>NOT(ISERROR(SEARCH("шт.)",A1)))</formula>
    </cfRule>
    <cfRule type="containsText" dxfId="21" priority="8" stopIfTrue="1" operator="containsText" text=", на ">
      <formula>NOT(ISERROR(SEARCH(", на ",A1)))</formula>
    </cfRule>
    <cfRule type="containsText" dxfId="20" priority="7" stopIfTrue="1" operator="containsText" text=" Материалы ">
      <formula>NOT(ISERROR(SEARCH(" Материалы ",A1)))</formula>
    </cfRule>
    <cfRule type="containsText" dxfId="19" priority="6" stopIfTrue="1" operator="containsText" text=" Сборочные единицы ">
      <formula>NOT(ISERROR(SEARCH(" Сборочные единицы ",A1)))</formula>
    </cfRule>
    <cfRule type="containsText" dxfId="18" priority="5" stopIfTrue="1" operator="containsText" text=" Прокат ">
      <formula>NOT(ISERROR(SEARCH(" Прокат ",A1)))</formula>
    </cfRule>
    <cfRule type="containsText" dxfId="17" priority="4" stopIfTrue="1" operator="containsText" text=" Изделия ">
      <formula>NOT(ISERROR(SEARCH(" Изделия ",A1)))</formula>
    </cfRule>
    <cfRule type="containsText" dxfId="16" priority="3" stopIfTrue="1" operator="containsText" text="!!!">
      <formula>NOT(ISERROR(SEARCH("!!!",A1)))</formula>
    </cfRule>
    <cfRule type="containsText" dxfId="15" priority="2" stopIfTrue="1" operator="containsText" text="ИЗ ФАЙЛА">
      <formula>NOT(ISERROR(SEARCH("ИЗ ФАЙЛА",A1)))</formula>
    </cfRule>
    <cfRule type="containsText" dxfId="1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14</vt:i4>
      </vt:variant>
    </vt:vector>
  </HeadingPairs>
  <TitlesOfParts>
    <vt:vector size="36" baseType="lpstr">
      <vt:lpstr>|Содержание|</vt:lpstr>
      <vt:lpstr>|Лог|</vt:lpstr>
      <vt:lpstr>Пс9.5_спец</vt:lpstr>
      <vt:lpstr>Подпорная_спец</vt:lpstr>
      <vt:lpstr>Подпорная1_спец</vt:lpstr>
      <vt:lpstr>Изделия_спец.И</vt:lpstr>
      <vt:lpstr>Ведомость отделки АБК_вед</vt:lpstr>
      <vt:lpstr>Ведомость отделки АБК_правила</vt:lpstr>
      <vt:lpstr>Пс9.5_об</vt:lpstr>
      <vt:lpstr>Пс9.5 </vt:lpstr>
      <vt:lpstr>Пс9.5_гр</vt:lpstr>
      <vt:lpstr>Пс9.5_кж</vt:lpstr>
      <vt:lpstr>Пс9.5_грс</vt:lpstr>
      <vt:lpstr>Подпорная_об</vt:lpstr>
      <vt:lpstr>Подпорная </vt:lpstr>
      <vt:lpstr>Подпорная_гр</vt:lpstr>
      <vt:lpstr>Подпорная_кж</vt:lpstr>
      <vt:lpstr>Подпорная1_об</vt:lpstr>
      <vt:lpstr>Подпорная1 </vt:lpstr>
      <vt:lpstr>Подпорная1_гр</vt:lpstr>
      <vt:lpstr>Подпорная1_кж</vt:lpstr>
      <vt:lpstr>!System</vt:lpstr>
      <vt:lpstr>'Ведомость отделки АБК_вед'!Область_печати</vt:lpstr>
      <vt:lpstr>'Подпорная '!Область_печати</vt:lpstr>
      <vt:lpstr>Подпорная_гр!Область_печати</vt:lpstr>
      <vt:lpstr>Подпорная_кж!Область_печати</vt:lpstr>
      <vt:lpstr>Подпорная_об!Область_печати</vt:lpstr>
      <vt:lpstr>'Подпорная1 '!Область_печати</vt:lpstr>
      <vt:lpstr>Подпорная1_гр!Область_печати</vt:lpstr>
      <vt:lpstr>Подпорная1_кж!Область_печати</vt:lpstr>
      <vt:lpstr>Подпорная1_об!Область_печати</vt:lpstr>
      <vt:lpstr>'Пс9.5 '!Область_печати</vt:lpstr>
      <vt:lpstr>Пс9.5_гр!Область_печати</vt:lpstr>
      <vt:lpstr>Пс9.5_грс!Область_печати</vt:lpstr>
      <vt:lpstr>Пс9.5_кж!Область_печати</vt:lpstr>
      <vt:lpstr>Пс9.5_об!Область_печати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2019-01-10T13:03:03Z</cp:lastPrinted>
  <dcterms:created xsi:type="dcterms:W3CDTF">2014-07-19T16:57:30Z</dcterms:created>
  <dcterms:modified xsi:type="dcterms:W3CDTF">2019-01-10T13:04:00Z</dcterms:modified>
</cp:coreProperties>
</file>