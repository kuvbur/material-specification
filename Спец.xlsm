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3015" yWindow="0" windowWidth="16200" windowHeight="25485" tabRatio="850"/>
  </bookViews>
  <sheets>
    <sheet name="|Содержание|" sheetId="438" r:id="rId1"/>
    <sheet name="|Лог|" sheetId="614" r:id="rId2"/>
    <sheet name="Сводная_спец" sheetId="612" r:id="rId3"/>
    <sheet name="Демпстены_спец" sheetId="567" r:id="rId4"/>
    <sheet name="Демполы_спец" sheetId="552" r:id="rId5"/>
    <sheet name="Демоб_спец" sheetId="607" r:id="rId6"/>
    <sheet name="Устрпроём_спец" sheetId="579" r:id="rId7"/>
    <sheet name="Закпроём_спец" sheetId="576" r:id="rId8"/>
    <sheet name="Демпроём_спец" sheetId="570" r:id="rId9"/>
    <sheet name="Демкров_спец" sheetId="611" r:id="rId10"/>
    <sheet name="Сводная_поз" sheetId="582" r:id="rId11"/>
    <sheet name="архикад_демполы" sheetId="565" r:id="rId12"/>
    <sheet name="архикад_демстены" sheetId="568" r:id="rId13"/>
    <sheet name="архикад_демпроём" sheetId="569" r:id="rId14"/>
    <sheet name="архикад_закпроём" sheetId="575" r:id="rId15"/>
    <sheet name="архикад_устрпроём" sheetId="578" r:id="rId16"/>
    <sheet name="Сводная_об" sheetId="604" r:id="rId17"/>
    <sheet name="Демкров_об" sheetId="613" r:id="rId18"/>
    <sheet name="!System" sheetId="413" state="hidden" r:id="rId19"/>
  </sheets>
  <functionGroups builtInGroupCount="18"/>
  <definedNames>
    <definedName name="АР_спец_АБ_Ведомость_демонтажа_оконных_и_дверных_заполнений_1" localSheetId="13">архикад_демпроём!$A$1:$F$28</definedName>
    <definedName name="АР_спец_АБ_Ведомость_закладываемых_проёмов" localSheetId="14">архикад_закпроём!$A$1:$F$10</definedName>
    <definedName name="АР_спец_АБ_Ведомость_устраиваемых_проёмов" localSheetId="15">архикад_устрпроём!$A$1:$F$8</definedName>
    <definedName name="АР_спец_Ведомость_демонтажа_полов" localSheetId="11">архикад_демполы!$A$1:$D$13</definedName>
    <definedName name="АР_спец_Ведомость_демонтажа_стен" localSheetId="12">архикад_демстены!$A$1:$D$6</definedName>
    <definedName name="_xlnm.Print_Area" localSheetId="0">'|Содержание|'!$A$1:$E$19</definedName>
    <definedName name="_xlnm.Print_Area" localSheetId="16">Сводная_об!$A$1:$F$95</definedName>
  </definedNames>
  <calcPr calcId="162913"/>
</workbook>
</file>

<file path=xl/calcChain.xml><?xml version="1.0" encoding="utf-8"?>
<calcChain xmlns="http://schemas.openxmlformats.org/spreadsheetml/2006/main">
  <c r="E7" i="611" l="1"/>
  <c r="E6" i="611"/>
  <c r="E5" i="611"/>
  <c r="A5" i="611"/>
  <c r="A6" i="611" s="1"/>
  <c r="A7" i="611" s="1"/>
  <c r="A8" i="611" s="1"/>
  <c r="A9" i="611" s="1"/>
  <c r="A10" i="611" s="1"/>
  <c r="A11" i="611" s="1"/>
  <c r="A12" i="611" s="1"/>
  <c r="A13" i="611" s="1"/>
  <c r="A14" i="611" s="1"/>
  <c r="A15" i="611" s="1"/>
  <c r="A16" i="611" s="1"/>
  <c r="A17" i="611" s="1"/>
  <c r="A18" i="611" s="1"/>
  <c r="A19" i="611" s="1"/>
  <c r="A20" i="611" s="1"/>
  <c r="A21" i="611" s="1"/>
  <c r="A22" i="611" s="1"/>
  <c r="A23" i="611" s="1"/>
  <c r="A24" i="611" s="1"/>
  <c r="A25" i="611" s="1"/>
  <c r="A26" i="611" s="1"/>
  <c r="A27" i="611" s="1"/>
  <c r="A28" i="611" s="1"/>
  <c r="A29" i="611" s="1"/>
  <c r="A30" i="611" s="1"/>
  <c r="A31" i="611" s="1"/>
  <c r="A32" i="611" s="1"/>
  <c r="A33" i="611" s="1"/>
  <c r="A34" i="611" s="1"/>
  <c r="A35" i="611" s="1"/>
  <c r="A36" i="611" s="1"/>
  <c r="A37" i="611" s="1"/>
  <c r="A38" i="611" s="1"/>
  <c r="A39" i="611" s="1"/>
  <c r="A40" i="611" s="1"/>
  <c r="A41" i="611" s="1"/>
  <c r="A42" i="611" s="1"/>
  <c r="A43" i="611" s="1"/>
  <c r="A44" i="611" s="1"/>
  <c r="A45" i="611" s="1"/>
  <c r="A46" i="611" s="1"/>
  <c r="A47" i="611" s="1"/>
  <c r="A48" i="611" s="1"/>
  <c r="A49" i="611" s="1"/>
  <c r="A50" i="611" s="1"/>
  <c r="A51" i="611" s="1"/>
  <c r="A52" i="611" s="1"/>
  <c r="A53" i="611" s="1"/>
  <c r="A54" i="611" s="1"/>
  <c r="A55" i="611" s="1"/>
  <c r="A56" i="611" s="1"/>
  <c r="A57" i="611" s="1"/>
  <c r="A58" i="611" s="1"/>
  <c r="A59" i="611" s="1"/>
  <c r="A60" i="611" s="1"/>
  <c r="A61" i="611" s="1"/>
  <c r="A62" i="611" s="1"/>
  <c r="A63" i="611" s="1"/>
  <c r="A64" i="611" s="1"/>
  <c r="A65" i="611" s="1"/>
  <c r="A66" i="611" s="1"/>
  <c r="A67" i="611" s="1"/>
  <c r="A68" i="611" s="1"/>
  <c r="A69" i="611" s="1"/>
  <c r="A70" i="611" s="1"/>
  <c r="A71" i="611" s="1"/>
  <c r="A72" i="611" s="1"/>
  <c r="A73" i="611" s="1"/>
  <c r="A74" i="611" s="1"/>
  <c r="A75" i="611" s="1"/>
  <c r="A76" i="611" s="1"/>
  <c r="A77" i="611" s="1"/>
  <c r="A78" i="611" s="1"/>
  <c r="A79" i="611" s="1"/>
  <c r="A80" i="611" s="1"/>
  <c r="A81" i="611" s="1"/>
  <c r="A82" i="611" s="1"/>
  <c r="A83" i="611" s="1"/>
  <c r="A84" i="611" s="1"/>
  <c r="A85" i="611" s="1"/>
  <c r="A86" i="611" s="1"/>
  <c r="A87" i="611" s="1"/>
  <c r="A88" i="611" s="1"/>
  <c r="A89" i="611" s="1"/>
  <c r="A90" i="611" s="1"/>
  <c r="A91" i="611" s="1"/>
  <c r="A92" i="611" s="1"/>
  <c r="A93" i="611" s="1"/>
  <c r="A94" i="611" s="1"/>
  <c r="A95" i="611" s="1"/>
  <c r="A96" i="611" s="1"/>
  <c r="A97" i="611" s="1"/>
  <c r="A98" i="611" s="1"/>
  <c r="A99" i="611" s="1"/>
  <c r="A100" i="611" s="1"/>
  <c r="A101" i="611" s="1"/>
  <c r="A102" i="611" s="1"/>
  <c r="A103" i="611" s="1"/>
  <c r="A104" i="611" s="1"/>
  <c r="A105" i="611" s="1"/>
  <c r="A106" i="611" s="1"/>
  <c r="A107" i="611" s="1"/>
  <c r="A108" i="611" s="1"/>
  <c r="A109" i="611" s="1"/>
  <c r="A110" i="611" s="1"/>
  <c r="A111" i="611" s="1"/>
  <c r="A112" i="611" s="1"/>
  <c r="A113" i="611" s="1"/>
  <c r="A114" i="611" s="1"/>
  <c r="A115" i="611" s="1"/>
  <c r="A116" i="611" s="1"/>
  <c r="A117" i="611" s="1"/>
  <c r="A118" i="611" s="1"/>
  <c r="A119" i="611" s="1"/>
  <c r="A120" i="611" s="1"/>
  <c r="A121" i="611" s="1"/>
  <c r="A122" i="611" s="1"/>
  <c r="A123" i="611" s="1"/>
  <c r="A124" i="611" s="1"/>
  <c r="A125" i="611" s="1"/>
  <c r="A126" i="611" s="1"/>
  <c r="A127" i="611" s="1"/>
  <c r="A128" i="611" s="1"/>
  <c r="A129" i="611" s="1"/>
  <c r="A130" i="611" s="1"/>
  <c r="A131" i="611" s="1"/>
  <c r="A132" i="611" s="1"/>
  <c r="A133" i="611" s="1"/>
  <c r="A134" i="611" s="1"/>
  <c r="A135" i="611" s="1"/>
  <c r="A136" i="611" s="1"/>
  <c r="A137" i="611" s="1"/>
  <c r="A138" i="611" s="1"/>
  <c r="A139" i="611" s="1"/>
  <c r="A140" i="611" s="1"/>
  <c r="A141" i="611" s="1"/>
  <c r="A142" i="611" s="1"/>
  <c r="A143" i="611" s="1"/>
  <c r="A144" i="611" s="1"/>
  <c r="A145" i="611" s="1"/>
  <c r="A146" i="611" s="1"/>
  <c r="A147" i="611" s="1"/>
  <c r="A148" i="611" s="1"/>
  <c r="A149" i="611" s="1"/>
  <c r="A150" i="611" s="1"/>
  <c r="A151" i="611" s="1"/>
  <c r="A152" i="611" s="1"/>
  <c r="A153" i="611" s="1"/>
  <c r="A154" i="611" s="1"/>
  <c r="A155" i="611" s="1"/>
  <c r="A156" i="611" s="1"/>
  <c r="A157" i="611" s="1"/>
  <c r="A158" i="611" s="1"/>
  <c r="A159" i="611" s="1"/>
  <c r="A160" i="611" s="1"/>
  <c r="A161" i="611" s="1"/>
  <c r="A162" i="611" s="1"/>
  <c r="A163" i="611" s="1"/>
  <c r="A164" i="611" s="1"/>
  <c r="A165" i="611" s="1"/>
  <c r="A166" i="611" s="1"/>
  <c r="A167" i="611" s="1"/>
  <c r="A168" i="611" s="1"/>
  <c r="A169" i="611" s="1"/>
  <c r="A170" i="611" s="1"/>
  <c r="A171" i="611" s="1"/>
  <c r="A172" i="611" s="1"/>
  <c r="A173" i="611" s="1"/>
  <c r="A174" i="611" s="1"/>
  <c r="A175" i="611" s="1"/>
  <c r="A176" i="611" s="1"/>
  <c r="A177" i="611" s="1"/>
  <c r="A178" i="611" s="1"/>
  <c r="A179" i="611" s="1"/>
  <c r="A180" i="611" s="1"/>
  <c r="A181" i="611" s="1"/>
  <c r="A182" i="611" s="1"/>
  <c r="A183" i="611" s="1"/>
  <c r="A184" i="611" s="1"/>
  <c r="A185" i="611" s="1"/>
  <c r="A186" i="611" s="1"/>
  <c r="A187" i="611" s="1"/>
  <c r="A188" i="611" s="1"/>
  <c r="A189" i="611" s="1"/>
  <c r="A190" i="611" s="1"/>
  <c r="A191" i="611" s="1"/>
  <c r="A192" i="611" s="1"/>
  <c r="A193" i="611" s="1"/>
  <c r="A194" i="611" s="1"/>
  <c r="A195" i="611" s="1"/>
  <c r="A196" i="611" s="1"/>
  <c r="A197" i="611" s="1"/>
  <c r="A198" i="611" s="1"/>
  <c r="A199" i="611" s="1"/>
  <c r="A200" i="611" s="1"/>
  <c r="A201" i="611" s="1"/>
  <c r="A202" i="611" s="1"/>
  <c r="A203" i="611" s="1"/>
  <c r="A204" i="611" s="1"/>
  <c r="A205" i="611" s="1"/>
  <c r="A206" i="611" s="1"/>
  <c r="A207" i="611" s="1"/>
  <c r="A208" i="611" s="1"/>
  <c r="A209" i="611" s="1"/>
  <c r="A210" i="611" s="1"/>
  <c r="A211" i="611" s="1"/>
  <c r="I29" i="569"/>
  <c r="I30" i="569"/>
  <c r="I31" i="569"/>
  <c r="I32" i="569"/>
  <c r="I33" i="569"/>
  <c r="I34" i="569"/>
  <c r="I35" i="569"/>
  <c r="I36" i="569"/>
  <c r="I37" i="569"/>
  <c r="I38" i="569"/>
  <c r="I39" i="569"/>
  <c r="I40" i="569"/>
  <c r="I41" i="569"/>
  <c r="I42" i="569"/>
  <c r="I43" i="569"/>
  <c r="I44" i="569"/>
  <c r="I45" i="569"/>
  <c r="I46" i="569"/>
  <c r="I47" i="569"/>
  <c r="I48" i="569"/>
  <c r="I49" i="569"/>
  <c r="I50" i="569"/>
  <c r="I51" i="569"/>
  <c r="I52" i="569"/>
  <c r="I53" i="569"/>
  <c r="I54" i="569"/>
  <c r="I55" i="569"/>
  <c r="I56" i="569"/>
  <c r="I57" i="569"/>
  <c r="I58" i="569"/>
  <c r="I59" i="569"/>
  <c r="I60" i="569"/>
  <c r="I61" i="569"/>
  <c r="I62" i="569"/>
  <c r="H28" i="569"/>
  <c r="H29" i="569"/>
  <c r="H30" i="569"/>
  <c r="H31" i="569"/>
  <c r="H32" i="569"/>
  <c r="H33" i="569"/>
  <c r="H34" i="569"/>
  <c r="H35" i="569"/>
  <c r="H36" i="569"/>
  <c r="H37" i="569"/>
  <c r="H38" i="569"/>
  <c r="H39" i="569"/>
  <c r="H40" i="569"/>
  <c r="H41" i="569"/>
  <c r="H42" i="569"/>
  <c r="H43" i="569"/>
  <c r="H44" i="569"/>
  <c r="H45" i="569"/>
  <c r="H46" i="569"/>
  <c r="H47" i="569"/>
  <c r="H48" i="569"/>
  <c r="H49" i="569"/>
  <c r="H50" i="569"/>
  <c r="H51" i="569"/>
  <c r="H52" i="569"/>
  <c r="H53" i="569"/>
  <c r="H54" i="569"/>
  <c r="H55" i="569"/>
  <c r="H56" i="569"/>
  <c r="H57" i="569"/>
  <c r="H58" i="569"/>
  <c r="H59" i="569"/>
  <c r="H60" i="569"/>
  <c r="H61" i="569"/>
  <c r="H62" i="569"/>
  <c r="H63" i="569"/>
  <c r="E33" i="552"/>
  <c r="E34" i="552"/>
  <c r="E35" i="552"/>
  <c r="E36" i="552"/>
  <c r="E37" i="552"/>
  <c r="D38" i="552"/>
  <c r="E38" i="552"/>
  <c r="D39" i="552"/>
  <c r="E39" i="552"/>
  <c r="D40" i="552"/>
  <c r="E40" i="552"/>
  <c r="D41" i="552"/>
  <c r="E41" i="552"/>
  <c r="D42" i="552"/>
  <c r="E42" i="552"/>
  <c r="D43" i="552"/>
  <c r="E43" i="552"/>
  <c r="D44" i="552"/>
  <c r="E44" i="552"/>
  <c r="D45" i="552"/>
  <c r="E45" i="552"/>
  <c r="D46" i="552"/>
  <c r="E46" i="552"/>
  <c r="D47" i="552"/>
  <c r="E47" i="552"/>
  <c r="D48" i="552"/>
  <c r="E48" i="552"/>
  <c r="D49" i="552"/>
  <c r="E49" i="552"/>
  <c r="D50" i="552"/>
  <c r="E50" i="552"/>
  <c r="D51" i="552"/>
  <c r="E51" i="552"/>
  <c r="D52" i="552"/>
  <c r="E52" i="552"/>
  <c r="D53" i="552"/>
  <c r="E53" i="552"/>
  <c r="D54" i="552"/>
  <c r="E54" i="552"/>
  <c r="D55" i="552"/>
  <c r="E55" i="552"/>
  <c r="D56" i="552"/>
  <c r="E56" i="552"/>
  <c r="D57" i="552"/>
  <c r="E57" i="552"/>
  <c r="D58" i="552"/>
  <c r="E58" i="552"/>
  <c r="D59" i="552"/>
  <c r="E59" i="552"/>
  <c r="D60" i="552"/>
  <c r="E60" i="552"/>
  <c r="D61" i="552"/>
  <c r="E61" i="552"/>
  <c r="D62" i="552"/>
  <c r="E62" i="552"/>
  <c r="D63" i="552"/>
  <c r="E63" i="552"/>
  <c r="D64" i="552"/>
  <c r="E64" i="552"/>
  <c r="D65" i="552"/>
  <c r="E65" i="552"/>
  <c r="D66" i="552"/>
  <c r="E66" i="552"/>
  <c r="D67" i="552"/>
  <c r="E67" i="552"/>
  <c r="D68" i="552"/>
  <c r="E68" i="552"/>
  <c r="D69" i="552"/>
  <c r="E69" i="552"/>
  <c r="D70" i="552"/>
  <c r="E70" i="552"/>
  <c r="D71" i="552"/>
  <c r="E71" i="552"/>
  <c r="D72" i="552"/>
  <c r="E72" i="552"/>
  <c r="D73" i="552"/>
  <c r="E73" i="552"/>
  <c r="D74" i="552"/>
  <c r="E74" i="552"/>
  <c r="I28" i="569" l="1"/>
  <c r="D30" i="570" s="1"/>
  <c r="D31" i="570"/>
  <c r="D33" i="570"/>
  <c r="D34" i="570"/>
  <c r="D37" i="570"/>
  <c r="D38" i="570"/>
  <c r="D39" i="570"/>
  <c r="D42" i="570"/>
  <c r="D43" i="570"/>
  <c r="D45" i="570"/>
  <c r="D49" i="570"/>
  <c r="D50" i="570"/>
  <c r="D51" i="570"/>
  <c r="D53" i="570"/>
  <c r="D54" i="570"/>
  <c r="D55" i="570"/>
  <c r="D57" i="570"/>
  <c r="D61" i="570"/>
  <c r="D63" i="570"/>
  <c r="I63" i="569"/>
  <c r="D65" i="570" s="1"/>
  <c r="I64" i="569"/>
  <c r="D66" i="570" s="1"/>
  <c r="I65" i="569"/>
  <c r="D67" i="570" s="1"/>
  <c r="I66" i="569"/>
  <c r="I67" i="569"/>
  <c r="D69" i="570" s="1"/>
  <c r="I68" i="569"/>
  <c r="I69" i="569"/>
  <c r="I70" i="569"/>
  <c r="I71" i="569"/>
  <c r="D73" i="570" s="1"/>
  <c r="I72" i="569"/>
  <c r="I73" i="569"/>
  <c r="D75" i="570" s="1"/>
  <c r="I74" i="569"/>
  <c r="I75" i="569"/>
  <c r="I76" i="569"/>
  <c r="D78" i="570" s="1"/>
  <c r="I77" i="569"/>
  <c r="D79" i="570" s="1"/>
  <c r="L5" i="575"/>
  <c r="L11" i="575"/>
  <c r="L12" i="575"/>
  <c r="L13" i="575"/>
  <c r="L14" i="575"/>
  <c r="L15" i="575"/>
  <c r="L16" i="575"/>
  <c r="L17" i="575"/>
  <c r="L18" i="575"/>
  <c r="L19" i="575"/>
  <c r="L20" i="575"/>
  <c r="L21" i="575"/>
  <c r="L22" i="575"/>
  <c r="L23" i="575"/>
  <c r="L24" i="575"/>
  <c r="L25" i="575"/>
  <c r="L26" i="575"/>
  <c r="L27" i="575"/>
  <c r="L28" i="575"/>
  <c r="L29" i="575"/>
  <c r="L30" i="575"/>
  <c r="L31" i="575"/>
  <c r="L32" i="575"/>
  <c r="L33" i="575"/>
  <c r="L34" i="575"/>
  <c r="L35" i="575"/>
  <c r="L36" i="575"/>
  <c r="L37" i="575"/>
  <c r="L38" i="575"/>
  <c r="L39" i="575"/>
  <c r="L40" i="575"/>
  <c r="L41" i="575"/>
  <c r="L42" i="575"/>
  <c r="L43" i="575"/>
  <c r="L44" i="575"/>
  <c r="L45" i="575"/>
  <c r="L46" i="575"/>
  <c r="L47" i="575"/>
  <c r="L48" i="575"/>
  <c r="L49" i="575"/>
  <c r="L50" i="575"/>
  <c r="L51" i="575"/>
  <c r="L52" i="575"/>
  <c r="L53" i="575"/>
  <c r="L54" i="575"/>
  <c r="L55" i="575"/>
  <c r="L56" i="575"/>
  <c r="L57" i="575"/>
  <c r="L58" i="575"/>
  <c r="L59" i="575"/>
  <c r="L60" i="575"/>
  <c r="L61" i="575"/>
  <c r="L62" i="575"/>
  <c r="L63" i="575"/>
  <c r="L64" i="575"/>
  <c r="L65" i="575"/>
  <c r="L66" i="575"/>
  <c r="L67" i="575"/>
  <c r="L68" i="575"/>
  <c r="L69" i="575"/>
  <c r="L70" i="575"/>
  <c r="L71" i="575"/>
  <c r="L72" i="575"/>
  <c r="L73" i="575"/>
  <c r="L74" i="575"/>
  <c r="L75" i="575"/>
  <c r="L76" i="575"/>
  <c r="L77" i="575"/>
  <c r="L78" i="575"/>
  <c r="L79" i="575"/>
  <c r="L80" i="575"/>
  <c r="L81" i="575"/>
  <c r="L82" i="575"/>
  <c r="L83" i="575"/>
  <c r="L84" i="575"/>
  <c r="L85" i="575"/>
  <c r="L86" i="575"/>
  <c r="L87" i="575"/>
  <c r="L88" i="575"/>
  <c r="L89" i="575"/>
  <c r="L90" i="575"/>
  <c r="L91" i="575"/>
  <c r="L92" i="575"/>
  <c r="L93" i="575"/>
  <c r="L94" i="575"/>
  <c r="L95" i="575"/>
  <c r="L96" i="575"/>
  <c r="L97" i="575"/>
  <c r="L98" i="575"/>
  <c r="L99" i="575"/>
  <c r="L100" i="575"/>
  <c r="L101" i="575"/>
  <c r="L102" i="575"/>
  <c r="L103" i="575"/>
  <c r="L104" i="575"/>
  <c r="L105" i="575"/>
  <c r="L106" i="575"/>
  <c r="L107" i="575"/>
  <c r="L108" i="575"/>
  <c r="L109" i="575"/>
  <c r="L110" i="575"/>
  <c r="L111" i="575"/>
  <c r="L112" i="575"/>
  <c r="L113" i="575"/>
  <c r="L114" i="575"/>
  <c r="L115" i="575"/>
  <c r="L116" i="575"/>
  <c r="L117" i="575"/>
  <c r="L118" i="575"/>
  <c r="L119" i="575"/>
  <c r="L120" i="575"/>
  <c r="L121" i="575"/>
  <c r="L122" i="575"/>
  <c r="L123" i="575"/>
  <c r="L124" i="575"/>
  <c r="L125" i="575"/>
  <c r="L126" i="575"/>
  <c r="L127" i="575"/>
  <c r="L128" i="575"/>
  <c r="L129" i="575"/>
  <c r="L130" i="575"/>
  <c r="L131" i="575"/>
  <c r="L132" i="575"/>
  <c r="L133" i="575"/>
  <c r="L134" i="575"/>
  <c r="L135" i="575"/>
  <c r="L136" i="575"/>
  <c r="L137" i="575"/>
  <c r="L138" i="575"/>
  <c r="L139" i="575"/>
  <c r="L140" i="575"/>
  <c r="L141" i="575"/>
  <c r="L142" i="575"/>
  <c r="L143" i="575"/>
  <c r="L144" i="575"/>
  <c r="L145" i="575"/>
  <c r="L146" i="575"/>
  <c r="L147" i="575"/>
  <c r="L148" i="575"/>
  <c r="L149" i="575"/>
  <c r="L150" i="575"/>
  <c r="L151" i="575"/>
  <c r="L152" i="575"/>
  <c r="L153" i="575"/>
  <c r="L154" i="575"/>
  <c r="L155" i="575"/>
  <c r="L156" i="575"/>
  <c r="L157" i="575"/>
  <c r="L158" i="575"/>
  <c r="L159" i="575"/>
  <c r="L160" i="575"/>
  <c r="L161" i="575"/>
  <c r="L162" i="575"/>
  <c r="L163" i="575"/>
  <c r="L164" i="575"/>
  <c r="L165" i="575"/>
  <c r="L166" i="575"/>
  <c r="L167" i="575"/>
  <c r="L168" i="575"/>
  <c r="L169" i="575"/>
  <c r="L170" i="575"/>
  <c r="L171" i="575"/>
  <c r="L172" i="575"/>
  <c r="L173" i="575"/>
  <c r="L174" i="575"/>
  <c r="L175" i="575"/>
  <c r="L176" i="575"/>
  <c r="L177" i="575"/>
  <c r="L178" i="575"/>
  <c r="L179" i="575"/>
  <c r="L180" i="575"/>
  <c r="L181" i="575"/>
  <c r="L182" i="575"/>
  <c r="L183" i="575"/>
  <c r="L184" i="575"/>
  <c r="L185" i="575"/>
  <c r="L186" i="575"/>
  <c r="L187" i="575"/>
  <c r="L188" i="575"/>
  <c r="L189" i="575"/>
  <c r="L190" i="575"/>
  <c r="L191" i="575"/>
  <c r="L192" i="575"/>
  <c r="L193" i="575"/>
  <c r="L194" i="575"/>
  <c r="L195" i="575"/>
  <c r="L196" i="575"/>
  <c r="L197" i="575"/>
  <c r="L198" i="575"/>
  <c r="L199" i="575"/>
  <c r="L200" i="575"/>
  <c r="L201" i="575"/>
  <c r="L202" i="575"/>
  <c r="L203" i="575"/>
  <c r="L204" i="575"/>
  <c r="L205" i="575"/>
  <c r="L206" i="575"/>
  <c r="L207" i="575"/>
  <c r="L208" i="575"/>
  <c r="L209" i="575"/>
  <c r="L210" i="575"/>
  <c r="L211" i="575"/>
  <c r="L212" i="575"/>
  <c r="L213" i="575"/>
  <c r="L214" i="575"/>
  <c r="L215" i="575"/>
  <c r="L216" i="575"/>
  <c r="L217" i="575"/>
  <c r="L218" i="575"/>
  <c r="L219" i="575"/>
  <c r="L220" i="575"/>
  <c r="L221" i="575"/>
  <c r="L222" i="575"/>
  <c r="L223" i="575"/>
  <c r="L224" i="575"/>
  <c r="L225" i="575"/>
  <c r="L226" i="575"/>
  <c r="L227" i="575"/>
  <c r="L228" i="575"/>
  <c r="L229" i="575"/>
  <c r="L230" i="575"/>
  <c r="L231" i="575"/>
  <c r="L232" i="575"/>
  <c r="L233" i="575"/>
  <c r="L234" i="575"/>
  <c r="L235" i="575"/>
  <c r="L236" i="575"/>
  <c r="L237" i="575"/>
  <c r="L238" i="575"/>
  <c r="L239" i="575"/>
  <c r="L240" i="575"/>
  <c r="L241" i="575"/>
  <c r="L242" i="575"/>
  <c r="L243" i="575"/>
  <c r="L244" i="575"/>
  <c r="L245" i="575"/>
  <c r="L246" i="575"/>
  <c r="L247" i="575"/>
  <c r="L248" i="575"/>
  <c r="L249" i="575"/>
  <c r="L250" i="575"/>
  <c r="L251" i="575"/>
  <c r="L252" i="575"/>
  <c r="L253" i="575"/>
  <c r="L254" i="575"/>
  <c r="L255" i="575"/>
  <c r="L256" i="575"/>
  <c r="L257" i="575"/>
  <c r="L258" i="575"/>
  <c r="L259" i="575"/>
  <c r="L260" i="575"/>
  <c r="L261" i="575"/>
  <c r="L262" i="575"/>
  <c r="L263" i="575"/>
  <c r="L264" i="575"/>
  <c r="L265" i="575"/>
  <c r="L266" i="575"/>
  <c r="L267" i="575"/>
  <c r="L268" i="575"/>
  <c r="L269" i="575"/>
  <c r="L270" i="575"/>
  <c r="L271" i="575"/>
  <c r="L272" i="575"/>
  <c r="L273" i="575"/>
  <c r="L274" i="575"/>
  <c r="L275" i="575"/>
  <c r="L276" i="575"/>
  <c r="L277" i="575"/>
  <c r="L278" i="575"/>
  <c r="L279" i="575"/>
  <c r="L280" i="575"/>
  <c r="L281" i="575"/>
  <c r="L282" i="575"/>
  <c r="L283" i="575"/>
  <c r="L284" i="575"/>
  <c r="L285" i="575"/>
  <c r="L286" i="575"/>
  <c r="L287" i="575"/>
  <c r="L288" i="575"/>
  <c r="L289" i="575"/>
  <c r="L290" i="575"/>
  <c r="L291" i="575"/>
  <c r="L292" i="575"/>
  <c r="L293" i="575"/>
  <c r="L294" i="575"/>
  <c r="L295" i="575"/>
  <c r="L296" i="575"/>
  <c r="L297" i="575"/>
  <c r="L298" i="575"/>
  <c r="L299" i="575"/>
  <c r="L300" i="575"/>
  <c r="L301" i="575"/>
  <c r="L302" i="575"/>
  <c r="L303" i="575"/>
  <c r="L304" i="575"/>
  <c r="L305" i="575"/>
  <c r="L306" i="575"/>
  <c r="L307" i="575"/>
  <c r="L308" i="575"/>
  <c r="L309" i="575"/>
  <c r="L310" i="575"/>
  <c r="L311" i="575"/>
  <c r="L312" i="575"/>
  <c r="L313" i="575"/>
  <c r="L314" i="575"/>
  <c r="L315" i="575"/>
  <c r="L316" i="575"/>
  <c r="L317" i="575"/>
  <c r="L318" i="575"/>
  <c r="L319" i="575"/>
  <c r="L320" i="575"/>
  <c r="L321" i="575"/>
  <c r="L322" i="575"/>
  <c r="L323" i="575"/>
  <c r="L324" i="575"/>
  <c r="L325" i="575"/>
  <c r="L326" i="575"/>
  <c r="L327" i="575"/>
  <c r="L328" i="575"/>
  <c r="L329" i="575"/>
  <c r="L330" i="575"/>
  <c r="L331" i="575"/>
  <c r="L332" i="575"/>
  <c r="L333" i="575"/>
  <c r="L334" i="575"/>
  <c r="L335" i="575"/>
  <c r="L336" i="575"/>
  <c r="L337" i="575"/>
  <c r="L338" i="575"/>
  <c r="L339" i="575"/>
  <c r="L340" i="575"/>
  <c r="L341" i="575"/>
  <c r="L342" i="575"/>
  <c r="L343" i="575"/>
  <c r="L344" i="575"/>
  <c r="L345" i="575"/>
  <c r="L346" i="575"/>
  <c r="L347" i="575"/>
  <c r="L348" i="575"/>
  <c r="L349" i="575"/>
  <c r="L350" i="575"/>
  <c r="L351" i="575"/>
  <c r="L352" i="575"/>
  <c r="L353" i="575"/>
  <c r="L354" i="575"/>
  <c r="L355" i="575"/>
  <c r="L356" i="575"/>
  <c r="L357" i="575"/>
  <c r="L358" i="575"/>
  <c r="L359" i="575"/>
  <c r="L360" i="575"/>
  <c r="L361" i="575"/>
  <c r="L362" i="575"/>
  <c r="L363" i="575"/>
  <c r="L364" i="575"/>
  <c r="L365" i="575"/>
  <c r="L366" i="575"/>
  <c r="L367" i="575"/>
  <c r="L368" i="575"/>
  <c r="L369" i="575"/>
  <c r="L370" i="575"/>
  <c r="L371" i="575"/>
  <c r="L372" i="575"/>
  <c r="L373" i="575"/>
  <c r="L374" i="575"/>
  <c r="L375" i="575"/>
  <c r="L376" i="575"/>
  <c r="L377" i="575"/>
  <c r="L378" i="575"/>
  <c r="L379" i="575"/>
  <c r="L380" i="575"/>
  <c r="L381" i="575"/>
  <c r="L382" i="575"/>
  <c r="L383" i="575"/>
  <c r="L384" i="575"/>
  <c r="L385" i="575"/>
  <c r="L386" i="575"/>
  <c r="L387" i="575"/>
  <c r="L388" i="575"/>
  <c r="L389" i="575"/>
  <c r="L390" i="575"/>
  <c r="L391" i="575"/>
  <c r="L392" i="575"/>
  <c r="L393" i="575"/>
  <c r="L394" i="575"/>
  <c r="L395" i="575"/>
  <c r="L396" i="575"/>
  <c r="L397" i="575"/>
  <c r="L398" i="575"/>
  <c r="L399" i="575"/>
  <c r="L400" i="575"/>
  <c r="L401" i="575"/>
  <c r="L402" i="575"/>
  <c r="L403" i="575"/>
  <c r="L404" i="575"/>
  <c r="L405" i="575"/>
  <c r="L406" i="575"/>
  <c r="L407" i="575"/>
  <c r="L408" i="575"/>
  <c r="L409" i="575"/>
  <c r="L410" i="575"/>
  <c r="L411" i="575"/>
  <c r="L412" i="575"/>
  <c r="L413" i="575"/>
  <c r="L414" i="575"/>
  <c r="L415" i="575"/>
  <c r="L416" i="575"/>
  <c r="L417" i="575"/>
  <c r="L418" i="575"/>
  <c r="L419" i="575"/>
  <c r="L420" i="575"/>
  <c r="L421" i="575"/>
  <c r="L422" i="575"/>
  <c r="L423" i="575"/>
  <c r="L424" i="575"/>
  <c r="L425" i="575"/>
  <c r="L426" i="575"/>
  <c r="L427" i="575"/>
  <c r="L428" i="575"/>
  <c r="L429" i="575"/>
  <c r="L430" i="575"/>
  <c r="L431" i="575"/>
  <c r="L432" i="575"/>
  <c r="L433" i="575"/>
  <c r="L434" i="575"/>
  <c r="L435" i="575"/>
  <c r="L436" i="575"/>
  <c r="L437" i="575"/>
  <c r="L438" i="575"/>
  <c r="L439" i="575"/>
  <c r="L440" i="575"/>
  <c r="L441" i="575"/>
  <c r="L442" i="575"/>
  <c r="L443" i="575"/>
  <c r="L444" i="575"/>
  <c r="J4" i="575"/>
  <c r="J5" i="575"/>
  <c r="J6" i="575"/>
  <c r="K6" i="575" s="1"/>
  <c r="L6" i="575" s="1"/>
  <c r="J7" i="575"/>
  <c r="K7" i="575" s="1"/>
  <c r="L7" i="575" s="1"/>
  <c r="J8" i="575"/>
  <c r="K8" i="575" s="1"/>
  <c r="L8" i="575" s="1"/>
  <c r="J9" i="575"/>
  <c r="K9" i="575" s="1"/>
  <c r="L9" i="575" s="1"/>
  <c r="J10" i="575"/>
  <c r="K10" i="575" s="1"/>
  <c r="L10" i="575" s="1"/>
  <c r="J11" i="575"/>
  <c r="J12" i="575"/>
  <c r="J13" i="575"/>
  <c r="J14" i="575"/>
  <c r="K14" i="575" s="1"/>
  <c r="J15" i="575"/>
  <c r="J16" i="575"/>
  <c r="J17" i="575"/>
  <c r="J18" i="575"/>
  <c r="J19" i="575"/>
  <c r="J20" i="575"/>
  <c r="J21" i="575"/>
  <c r="J22" i="575"/>
  <c r="J23" i="575"/>
  <c r="J24" i="575"/>
  <c r="J25" i="575"/>
  <c r="J26" i="575"/>
  <c r="K26" i="575" s="1"/>
  <c r="J27" i="575"/>
  <c r="J28" i="575"/>
  <c r="J29" i="575"/>
  <c r="J30" i="575"/>
  <c r="J31" i="575"/>
  <c r="J32" i="575"/>
  <c r="J33" i="575"/>
  <c r="J34" i="575"/>
  <c r="J35" i="575"/>
  <c r="J36" i="575"/>
  <c r="J37" i="575"/>
  <c r="J38" i="575"/>
  <c r="K38" i="575" s="1"/>
  <c r="J39" i="575"/>
  <c r="J40" i="575"/>
  <c r="J41" i="575"/>
  <c r="J42" i="575"/>
  <c r="J43" i="575"/>
  <c r="J44" i="575"/>
  <c r="J45" i="575"/>
  <c r="J46" i="575"/>
  <c r="J47" i="575"/>
  <c r="J48" i="575"/>
  <c r="J49" i="575"/>
  <c r="J50" i="575"/>
  <c r="K50" i="575" s="1"/>
  <c r="J51" i="575"/>
  <c r="J52" i="575"/>
  <c r="J53" i="575"/>
  <c r="J54" i="575"/>
  <c r="J55" i="575"/>
  <c r="J56" i="575"/>
  <c r="J57" i="575"/>
  <c r="J58" i="575"/>
  <c r="J59" i="575"/>
  <c r="J60" i="575"/>
  <c r="J61" i="575"/>
  <c r="J62" i="575"/>
  <c r="K62" i="575" s="1"/>
  <c r="J63" i="575"/>
  <c r="J64" i="575"/>
  <c r="J65" i="575"/>
  <c r="J66" i="575"/>
  <c r="J67" i="575"/>
  <c r="J68" i="575"/>
  <c r="J69" i="575"/>
  <c r="J70" i="575"/>
  <c r="J71" i="575"/>
  <c r="J72" i="575"/>
  <c r="J73" i="575"/>
  <c r="J74" i="575"/>
  <c r="K74" i="575" s="1"/>
  <c r="J75" i="575"/>
  <c r="J76" i="575"/>
  <c r="J77" i="575"/>
  <c r="J78" i="575"/>
  <c r="J79" i="575"/>
  <c r="J80" i="575"/>
  <c r="J81" i="575"/>
  <c r="J82" i="575"/>
  <c r="J83" i="575"/>
  <c r="J84" i="575"/>
  <c r="J85" i="575"/>
  <c r="J86" i="575"/>
  <c r="K86" i="575" s="1"/>
  <c r="J87" i="575"/>
  <c r="J88" i="575"/>
  <c r="J89" i="575"/>
  <c r="J90" i="575"/>
  <c r="J91" i="575"/>
  <c r="J92" i="575"/>
  <c r="J93" i="575"/>
  <c r="J94" i="575"/>
  <c r="J95" i="575"/>
  <c r="J96" i="575"/>
  <c r="J97" i="575"/>
  <c r="J98" i="575"/>
  <c r="K98" i="575" s="1"/>
  <c r="J99" i="575"/>
  <c r="J100" i="575"/>
  <c r="J101" i="575"/>
  <c r="J102" i="575"/>
  <c r="J103" i="575"/>
  <c r="J104" i="575"/>
  <c r="J105" i="575"/>
  <c r="J106" i="575"/>
  <c r="J107" i="575"/>
  <c r="J108" i="575"/>
  <c r="J109" i="575"/>
  <c r="J110" i="575"/>
  <c r="K110" i="575" s="1"/>
  <c r="J111" i="575"/>
  <c r="J112" i="575"/>
  <c r="J113" i="575"/>
  <c r="J114" i="575"/>
  <c r="J115" i="575"/>
  <c r="J116" i="575"/>
  <c r="J117" i="575"/>
  <c r="J118" i="575"/>
  <c r="J119" i="575"/>
  <c r="J120" i="575"/>
  <c r="J121" i="575"/>
  <c r="J122" i="575"/>
  <c r="K122" i="575" s="1"/>
  <c r="J123" i="575"/>
  <c r="J124" i="575"/>
  <c r="J125" i="575"/>
  <c r="J126" i="575"/>
  <c r="J127" i="575"/>
  <c r="J128" i="575"/>
  <c r="J129" i="575"/>
  <c r="J130" i="575"/>
  <c r="J131" i="575"/>
  <c r="J132" i="575"/>
  <c r="J133" i="575"/>
  <c r="J134" i="575"/>
  <c r="K134" i="575" s="1"/>
  <c r="J135" i="575"/>
  <c r="J136" i="575"/>
  <c r="J137" i="575"/>
  <c r="J138" i="575"/>
  <c r="J139" i="575"/>
  <c r="J140" i="575"/>
  <c r="J141" i="575"/>
  <c r="J142" i="575"/>
  <c r="J143" i="575"/>
  <c r="J144" i="575"/>
  <c r="J145" i="575"/>
  <c r="J146" i="575"/>
  <c r="K146" i="575" s="1"/>
  <c r="J147" i="575"/>
  <c r="J148" i="575"/>
  <c r="J149" i="575"/>
  <c r="J150" i="575"/>
  <c r="J151" i="575"/>
  <c r="J152" i="575"/>
  <c r="J153" i="575"/>
  <c r="J154" i="575"/>
  <c r="J155" i="575"/>
  <c r="J156" i="575"/>
  <c r="J157" i="575"/>
  <c r="J158" i="575"/>
  <c r="K158" i="575" s="1"/>
  <c r="J159" i="575"/>
  <c r="J160" i="575"/>
  <c r="J161" i="575"/>
  <c r="J162" i="575"/>
  <c r="J163" i="575"/>
  <c r="J164" i="575"/>
  <c r="J165" i="575"/>
  <c r="J166" i="575"/>
  <c r="J167" i="575"/>
  <c r="J168" i="575"/>
  <c r="J169" i="575"/>
  <c r="J170" i="575"/>
  <c r="K170" i="575" s="1"/>
  <c r="J171" i="575"/>
  <c r="J172" i="575"/>
  <c r="J173" i="575"/>
  <c r="J174" i="575"/>
  <c r="J175" i="575"/>
  <c r="J176" i="575"/>
  <c r="J177" i="575"/>
  <c r="J178" i="575"/>
  <c r="J179" i="575"/>
  <c r="J180" i="575"/>
  <c r="J181" i="575"/>
  <c r="J182" i="575"/>
  <c r="K182" i="575" s="1"/>
  <c r="J183" i="575"/>
  <c r="J184" i="575"/>
  <c r="J185" i="575"/>
  <c r="J186" i="575"/>
  <c r="J187" i="575"/>
  <c r="J188" i="575"/>
  <c r="J189" i="575"/>
  <c r="J190" i="575"/>
  <c r="J191" i="575"/>
  <c r="J192" i="575"/>
  <c r="J193" i="575"/>
  <c r="J194" i="575"/>
  <c r="K194" i="575" s="1"/>
  <c r="J195" i="575"/>
  <c r="J196" i="575"/>
  <c r="J197" i="575"/>
  <c r="J198" i="575"/>
  <c r="J199" i="575"/>
  <c r="J200" i="575"/>
  <c r="J201" i="575"/>
  <c r="J202" i="575"/>
  <c r="J203" i="575"/>
  <c r="J204" i="575"/>
  <c r="J205" i="575"/>
  <c r="J206" i="575"/>
  <c r="K206" i="575" s="1"/>
  <c r="J207" i="575"/>
  <c r="J208" i="575"/>
  <c r="J209" i="575"/>
  <c r="J210" i="575"/>
  <c r="J211" i="575"/>
  <c r="J212" i="575"/>
  <c r="J213" i="575"/>
  <c r="J214" i="575"/>
  <c r="J215" i="575"/>
  <c r="J216" i="575"/>
  <c r="J217" i="575"/>
  <c r="J218" i="575"/>
  <c r="K218" i="575" s="1"/>
  <c r="J219" i="575"/>
  <c r="J220" i="575"/>
  <c r="J221" i="575"/>
  <c r="J222" i="575"/>
  <c r="J223" i="575"/>
  <c r="J224" i="575"/>
  <c r="J225" i="575"/>
  <c r="J226" i="575"/>
  <c r="J227" i="575"/>
  <c r="J228" i="575"/>
  <c r="J229" i="575"/>
  <c r="J230" i="575"/>
  <c r="K230" i="575" s="1"/>
  <c r="J231" i="575"/>
  <c r="J232" i="575"/>
  <c r="J233" i="575"/>
  <c r="J234" i="575"/>
  <c r="J235" i="575"/>
  <c r="J236" i="575"/>
  <c r="J237" i="575"/>
  <c r="J238" i="575"/>
  <c r="J239" i="575"/>
  <c r="J240" i="575"/>
  <c r="J241" i="575"/>
  <c r="J242" i="575"/>
  <c r="K242" i="575" s="1"/>
  <c r="J243" i="575"/>
  <c r="J244" i="575"/>
  <c r="J245" i="575"/>
  <c r="J246" i="575"/>
  <c r="J247" i="575"/>
  <c r="J248" i="575"/>
  <c r="J249" i="575"/>
  <c r="J250" i="575"/>
  <c r="J251" i="575"/>
  <c r="J252" i="575"/>
  <c r="J253" i="575"/>
  <c r="J254" i="575"/>
  <c r="K254" i="575" s="1"/>
  <c r="J255" i="575"/>
  <c r="J256" i="575"/>
  <c r="J257" i="575"/>
  <c r="J258" i="575"/>
  <c r="J259" i="575"/>
  <c r="J260" i="575"/>
  <c r="J261" i="575"/>
  <c r="J262" i="575"/>
  <c r="J263" i="575"/>
  <c r="J264" i="575"/>
  <c r="J265" i="575"/>
  <c r="J266" i="575"/>
  <c r="K266" i="575" s="1"/>
  <c r="J267" i="575"/>
  <c r="J268" i="575"/>
  <c r="J269" i="575"/>
  <c r="J270" i="575"/>
  <c r="J271" i="575"/>
  <c r="J272" i="575"/>
  <c r="J273" i="575"/>
  <c r="J274" i="575"/>
  <c r="J275" i="575"/>
  <c r="J276" i="575"/>
  <c r="J277" i="575"/>
  <c r="J278" i="575"/>
  <c r="K278" i="575" s="1"/>
  <c r="J279" i="575"/>
  <c r="J280" i="575"/>
  <c r="J281" i="575"/>
  <c r="J282" i="575"/>
  <c r="J283" i="575"/>
  <c r="J284" i="575"/>
  <c r="J285" i="575"/>
  <c r="J286" i="575"/>
  <c r="J287" i="575"/>
  <c r="J288" i="575"/>
  <c r="J289" i="575"/>
  <c r="J290" i="575"/>
  <c r="K290" i="575" s="1"/>
  <c r="J291" i="575"/>
  <c r="J292" i="575"/>
  <c r="J293" i="575"/>
  <c r="J294" i="575"/>
  <c r="J295" i="575"/>
  <c r="J296" i="575"/>
  <c r="J297" i="575"/>
  <c r="J298" i="575"/>
  <c r="J299" i="575"/>
  <c r="J300" i="575"/>
  <c r="J301" i="575"/>
  <c r="J302" i="575"/>
  <c r="K302" i="575" s="1"/>
  <c r="J303" i="575"/>
  <c r="J304" i="575"/>
  <c r="J305" i="575"/>
  <c r="J306" i="575"/>
  <c r="J307" i="575"/>
  <c r="J308" i="575"/>
  <c r="J309" i="575"/>
  <c r="J310" i="575"/>
  <c r="J311" i="575"/>
  <c r="J312" i="575"/>
  <c r="J313" i="575"/>
  <c r="J314" i="575"/>
  <c r="K314" i="575" s="1"/>
  <c r="J315" i="575"/>
  <c r="J316" i="575"/>
  <c r="J317" i="575"/>
  <c r="J318" i="575"/>
  <c r="J319" i="575"/>
  <c r="J320" i="575"/>
  <c r="J321" i="575"/>
  <c r="J322" i="575"/>
  <c r="J323" i="575"/>
  <c r="J324" i="575"/>
  <c r="J325" i="575"/>
  <c r="J326" i="575"/>
  <c r="K326" i="575" s="1"/>
  <c r="J327" i="575"/>
  <c r="J328" i="575"/>
  <c r="J329" i="575"/>
  <c r="J330" i="575"/>
  <c r="J331" i="575"/>
  <c r="J332" i="575"/>
  <c r="J333" i="575"/>
  <c r="J334" i="575"/>
  <c r="J335" i="575"/>
  <c r="J336" i="575"/>
  <c r="J337" i="575"/>
  <c r="J338" i="575"/>
  <c r="K338" i="575" s="1"/>
  <c r="J339" i="575"/>
  <c r="J340" i="575"/>
  <c r="J341" i="575"/>
  <c r="J342" i="575"/>
  <c r="J343" i="575"/>
  <c r="J344" i="575"/>
  <c r="J345" i="575"/>
  <c r="J346" i="575"/>
  <c r="J347" i="575"/>
  <c r="J348" i="575"/>
  <c r="J349" i="575"/>
  <c r="J350" i="575"/>
  <c r="K350" i="575" s="1"/>
  <c r="J351" i="575"/>
  <c r="J352" i="575"/>
  <c r="J353" i="575"/>
  <c r="J354" i="575"/>
  <c r="J355" i="575"/>
  <c r="J356" i="575"/>
  <c r="J357" i="575"/>
  <c r="J358" i="575"/>
  <c r="J359" i="575"/>
  <c r="J360" i="575"/>
  <c r="J361" i="575"/>
  <c r="J362" i="575"/>
  <c r="K362" i="575" s="1"/>
  <c r="J363" i="575"/>
  <c r="J364" i="575"/>
  <c r="J365" i="575"/>
  <c r="J366" i="575"/>
  <c r="J367" i="575"/>
  <c r="J368" i="575"/>
  <c r="J369" i="575"/>
  <c r="J370" i="575"/>
  <c r="J371" i="575"/>
  <c r="J372" i="575"/>
  <c r="J373" i="575"/>
  <c r="J374" i="575"/>
  <c r="K374" i="575" s="1"/>
  <c r="J375" i="575"/>
  <c r="J376" i="575"/>
  <c r="J377" i="575"/>
  <c r="J378" i="575"/>
  <c r="J379" i="575"/>
  <c r="J380" i="575"/>
  <c r="J381" i="575"/>
  <c r="J382" i="575"/>
  <c r="J383" i="575"/>
  <c r="J384" i="575"/>
  <c r="J385" i="575"/>
  <c r="J386" i="575"/>
  <c r="K386" i="575" s="1"/>
  <c r="J387" i="575"/>
  <c r="J388" i="575"/>
  <c r="J389" i="575"/>
  <c r="J390" i="575"/>
  <c r="J391" i="575"/>
  <c r="J392" i="575"/>
  <c r="J393" i="575"/>
  <c r="J394" i="575"/>
  <c r="J395" i="575"/>
  <c r="J396" i="575"/>
  <c r="J397" i="575"/>
  <c r="J398" i="575"/>
  <c r="K398" i="575" s="1"/>
  <c r="J399" i="575"/>
  <c r="J400" i="575"/>
  <c r="J401" i="575"/>
  <c r="J402" i="575"/>
  <c r="J403" i="575"/>
  <c r="J404" i="575"/>
  <c r="J405" i="575"/>
  <c r="J406" i="575"/>
  <c r="J407" i="575"/>
  <c r="J408" i="575"/>
  <c r="J409" i="575"/>
  <c r="J410" i="575"/>
  <c r="K410" i="575" s="1"/>
  <c r="J411" i="575"/>
  <c r="J412" i="575"/>
  <c r="J413" i="575"/>
  <c r="J414" i="575"/>
  <c r="J415" i="575"/>
  <c r="J416" i="575"/>
  <c r="J417" i="575"/>
  <c r="J418" i="575"/>
  <c r="J419" i="575"/>
  <c r="J420" i="575"/>
  <c r="J421" i="575"/>
  <c r="J422" i="575"/>
  <c r="K422" i="575" s="1"/>
  <c r="J423" i="575"/>
  <c r="J424" i="575"/>
  <c r="J425" i="575"/>
  <c r="J426" i="575"/>
  <c r="J427" i="575"/>
  <c r="J428" i="575"/>
  <c r="J429" i="575"/>
  <c r="J430" i="575"/>
  <c r="J431" i="575"/>
  <c r="J432" i="575"/>
  <c r="J433" i="575"/>
  <c r="J434" i="575"/>
  <c r="K434" i="575" s="1"/>
  <c r="J435" i="575"/>
  <c r="J436" i="575"/>
  <c r="J437" i="575"/>
  <c r="J438" i="575"/>
  <c r="J439" i="575"/>
  <c r="J440" i="575"/>
  <c r="J441" i="575"/>
  <c r="J442" i="575"/>
  <c r="J443" i="575"/>
  <c r="J444" i="575"/>
  <c r="J445" i="575"/>
  <c r="J446" i="575"/>
  <c r="J447" i="575"/>
  <c r="J448" i="575"/>
  <c r="J449" i="575"/>
  <c r="J450" i="575"/>
  <c r="J451" i="575"/>
  <c r="J452" i="575"/>
  <c r="K4" i="575"/>
  <c r="L4" i="575" s="1"/>
  <c r="K5" i="575"/>
  <c r="K11" i="575"/>
  <c r="K12" i="575"/>
  <c r="K13" i="575"/>
  <c r="K15" i="575"/>
  <c r="K16" i="575"/>
  <c r="K17" i="575"/>
  <c r="K18" i="575"/>
  <c r="K19" i="575"/>
  <c r="K20" i="575"/>
  <c r="K21" i="575"/>
  <c r="K22" i="575"/>
  <c r="K23" i="575"/>
  <c r="K24" i="575"/>
  <c r="K25" i="575"/>
  <c r="K27" i="575"/>
  <c r="K28" i="575"/>
  <c r="K29" i="575"/>
  <c r="K30" i="575"/>
  <c r="K31" i="575"/>
  <c r="K32" i="575"/>
  <c r="K33" i="575"/>
  <c r="K34" i="575"/>
  <c r="K35" i="575"/>
  <c r="K36" i="575"/>
  <c r="K37" i="575"/>
  <c r="K39" i="575"/>
  <c r="K40" i="575"/>
  <c r="K41" i="575"/>
  <c r="K42" i="575"/>
  <c r="K43" i="575"/>
  <c r="K44" i="575"/>
  <c r="K45" i="575"/>
  <c r="K46" i="575"/>
  <c r="K47" i="575"/>
  <c r="K48" i="575"/>
  <c r="K49" i="575"/>
  <c r="K51" i="575"/>
  <c r="K52" i="575"/>
  <c r="K53" i="575"/>
  <c r="K54" i="575"/>
  <c r="K55" i="575"/>
  <c r="K56" i="575"/>
  <c r="K57" i="575"/>
  <c r="K58" i="575"/>
  <c r="K59" i="575"/>
  <c r="K60" i="575"/>
  <c r="K61" i="575"/>
  <c r="K63" i="575"/>
  <c r="K64" i="575"/>
  <c r="K65" i="575"/>
  <c r="K66" i="575"/>
  <c r="K67" i="575"/>
  <c r="K68" i="575"/>
  <c r="K69" i="575"/>
  <c r="K70" i="575"/>
  <c r="K71" i="575"/>
  <c r="K72" i="575"/>
  <c r="K73" i="575"/>
  <c r="K75" i="575"/>
  <c r="K76" i="575"/>
  <c r="K77" i="575"/>
  <c r="K78" i="575"/>
  <c r="K79" i="575"/>
  <c r="K80" i="575"/>
  <c r="K81" i="575"/>
  <c r="K82" i="575"/>
  <c r="K83" i="575"/>
  <c r="K84" i="575"/>
  <c r="K85" i="575"/>
  <c r="K87" i="575"/>
  <c r="K88" i="575"/>
  <c r="K89" i="575"/>
  <c r="K90" i="575"/>
  <c r="K91" i="575"/>
  <c r="K92" i="575"/>
  <c r="K93" i="575"/>
  <c r="K94" i="575"/>
  <c r="K95" i="575"/>
  <c r="K96" i="575"/>
  <c r="K97" i="575"/>
  <c r="K99" i="575"/>
  <c r="K100" i="575"/>
  <c r="K101" i="575"/>
  <c r="K102" i="575"/>
  <c r="K103" i="575"/>
  <c r="K104" i="575"/>
  <c r="K105" i="575"/>
  <c r="K106" i="575"/>
  <c r="K107" i="575"/>
  <c r="K108" i="575"/>
  <c r="K109" i="575"/>
  <c r="K111" i="575"/>
  <c r="K112" i="575"/>
  <c r="K113" i="575"/>
  <c r="K114" i="575"/>
  <c r="K115" i="575"/>
  <c r="K116" i="575"/>
  <c r="K117" i="575"/>
  <c r="K118" i="575"/>
  <c r="K119" i="575"/>
  <c r="K120" i="575"/>
  <c r="K121" i="575"/>
  <c r="K123" i="575"/>
  <c r="K124" i="575"/>
  <c r="K125" i="575"/>
  <c r="K126" i="575"/>
  <c r="K127" i="575"/>
  <c r="K128" i="575"/>
  <c r="K129" i="575"/>
  <c r="K130" i="575"/>
  <c r="K131" i="575"/>
  <c r="K132" i="575"/>
  <c r="K133" i="575"/>
  <c r="K135" i="575"/>
  <c r="K136" i="575"/>
  <c r="K137" i="575"/>
  <c r="K138" i="575"/>
  <c r="K139" i="575"/>
  <c r="K140" i="575"/>
  <c r="K141" i="575"/>
  <c r="K142" i="575"/>
  <c r="K143" i="575"/>
  <c r="K144" i="575"/>
  <c r="K145" i="575"/>
  <c r="K147" i="575"/>
  <c r="K148" i="575"/>
  <c r="K149" i="575"/>
  <c r="K150" i="575"/>
  <c r="K151" i="575"/>
  <c r="K152" i="575"/>
  <c r="K153" i="575"/>
  <c r="K154" i="575"/>
  <c r="K155" i="575"/>
  <c r="K156" i="575"/>
  <c r="K157" i="575"/>
  <c r="K159" i="575"/>
  <c r="K160" i="575"/>
  <c r="K161" i="575"/>
  <c r="K162" i="575"/>
  <c r="K163" i="575"/>
  <c r="K164" i="575"/>
  <c r="K165" i="575"/>
  <c r="K166" i="575"/>
  <c r="K167" i="575"/>
  <c r="K168" i="575"/>
  <c r="K169" i="575"/>
  <c r="K171" i="575"/>
  <c r="K172" i="575"/>
  <c r="K173" i="575"/>
  <c r="K174" i="575"/>
  <c r="K175" i="575"/>
  <c r="K176" i="575"/>
  <c r="K177" i="575"/>
  <c r="K178" i="575"/>
  <c r="K179" i="575"/>
  <c r="K180" i="575"/>
  <c r="K181" i="575"/>
  <c r="K183" i="575"/>
  <c r="K184" i="575"/>
  <c r="K185" i="575"/>
  <c r="K186" i="575"/>
  <c r="K187" i="575"/>
  <c r="K188" i="575"/>
  <c r="K189" i="575"/>
  <c r="K190" i="575"/>
  <c r="K191" i="575"/>
  <c r="K192" i="575"/>
  <c r="K193" i="575"/>
  <c r="K195" i="575"/>
  <c r="K196" i="575"/>
  <c r="K197" i="575"/>
  <c r="K198" i="575"/>
  <c r="K199" i="575"/>
  <c r="K200" i="575"/>
  <c r="K201" i="575"/>
  <c r="K202" i="575"/>
  <c r="K203" i="575"/>
  <c r="K204" i="575"/>
  <c r="K205" i="575"/>
  <c r="K207" i="575"/>
  <c r="K208" i="575"/>
  <c r="K209" i="575"/>
  <c r="K210" i="575"/>
  <c r="K211" i="575"/>
  <c r="K212" i="575"/>
  <c r="K213" i="575"/>
  <c r="K214" i="575"/>
  <c r="K215" i="575"/>
  <c r="K216" i="575"/>
  <c r="K217" i="575"/>
  <c r="K219" i="575"/>
  <c r="K220" i="575"/>
  <c r="K221" i="575"/>
  <c r="K222" i="575"/>
  <c r="K223" i="575"/>
  <c r="K224" i="575"/>
  <c r="K225" i="575"/>
  <c r="K226" i="575"/>
  <c r="K227" i="575"/>
  <c r="K228" i="575"/>
  <c r="K229" i="575"/>
  <c r="K231" i="575"/>
  <c r="K232" i="575"/>
  <c r="K233" i="575"/>
  <c r="K234" i="575"/>
  <c r="K235" i="575"/>
  <c r="K236" i="575"/>
  <c r="K237" i="575"/>
  <c r="K238" i="575"/>
  <c r="K239" i="575"/>
  <c r="K240" i="575"/>
  <c r="K241" i="575"/>
  <c r="K243" i="575"/>
  <c r="K244" i="575"/>
  <c r="K245" i="575"/>
  <c r="K246" i="575"/>
  <c r="K247" i="575"/>
  <c r="K248" i="575"/>
  <c r="K249" i="575"/>
  <c r="K250" i="575"/>
  <c r="K251" i="575"/>
  <c r="K252" i="575"/>
  <c r="K253" i="575"/>
  <c r="K255" i="575"/>
  <c r="K256" i="575"/>
  <c r="K257" i="575"/>
  <c r="K258" i="575"/>
  <c r="K259" i="575"/>
  <c r="K260" i="575"/>
  <c r="K261" i="575"/>
  <c r="K262" i="575"/>
  <c r="K263" i="575"/>
  <c r="K264" i="575"/>
  <c r="K265" i="575"/>
  <c r="K267" i="575"/>
  <c r="K268" i="575"/>
  <c r="K269" i="575"/>
  <c r="K270" i="575"/>
  <c r="K271" i="575"/>
  <c r="K272" i="575"/>
  <c r="K273" i="575"/>
  <c r="K274" i="575"/>
  <c r="K275" i="575"/>
  <c r="K276" i="575"/>
  <c r="K277" i="575"/>
  <c r="K279" i="575"/>
  <c r="K280" i="575"/>
  <c r="K281" i="575"/>
  <c r="K282" i="575"/>
  <c r="K283" i="575"/>
  <c r="K284" i="575"/>
  <c r="K285" i="575"/>
  <c r="K286" i="575"/>
  <c r="K287" i="575"/>
  <c r="K288" i="575"/>
  <c r="K289" i="575"/>
  <c r="K291" i="575"/>
  <c r="K292" i="575"/>
  <c r="K293" i="575"/>
  <c r="K294" i="575"/>
  <c r="K295" i="575"/>
  <c r="K296" i="575"/>
  <c r="K297" i="575"/>
  <c r="K298" i="575"/>
  <c r="K299" i="575"/>
  <c r="K300" i="575"/>
  <c r="K301" i="575"/>
  <c r="K303" i="575"/>
  <c r="K304" i="575"/>
  <c r="K305" i="575"/>
  <c r="K306" i="575"/>
  <c r="K307" i="575"/>
  <c r="K308" i="575"/>
  <c r="K309" i="575"/>
  <c r="K310" i="575"/>
  <c r="K311" i="575"/>
  <c r="K312" i="575"/>
  <c r="K313" i="575"/>
  <c r="K315" i="575"/>
  <c r="K316" i="575"/>
  <c r="K317" i="575"/>
  <c r="K318" i="575"/>
  <c r="K319" i="575"/>
  <c r="K320" i="575"/>
  <c r="K321" i="575"/>
  <c r="K322" i="575"/>
  <c r="K323" i="575"/>
  <c r="K324" i="575"/>
  <c r="K325" i="575"/>
  <c r="K327" i="575"/>
  <c r="K328" i="575"/>
  <c r="K329" i="575"/>
  <c r="K330" i="575"/>
  <c r="K331" i="575"/>
  <c r="K332" i="575"/>
  <c r="K333" i="575"/>
  <c r="K334" i="575"/>
  <c r="K335" i="575"/>
  <c r="K336" i="575"/>
  <c r="K337" i="575"/>
  <c r="K339" i="575"/>
  <c r="K340" i="575"/>
  <c r="K341" i="575"/>
  <c r="K342" i="575"/>
  <c r="K343" i="575"/>
  <c r="K344" i="575"/>
  <c r="K345" i="575"/>
  <c r="K346" i="575"/>
  <c r="K347" i="575"/>
  <c r="K348" i="575"/>
  <c r="K349" i="575"/>
  <c r="K351" i="575"/>
  <c r="K352" i="575"/>
  <c r="K353" i="575"/>
  <c r="K354" i="575"/>
  <c r="K355" i="575"/>
  <c r="K356" i="575"/>
  <c r="K357" i="575"/>
  <c r="K358" i="575"/>
  <c r="K359" i="575"/>
  <c r="K360" i="575"/>
  <c r="K361" i="575"/>
  <c r="K363" i="575"/>
  <c r="K364" i="575"/>
  <c r="K365" i="575"/>
  <c r="K366" i="575"/>
  <c r="K367" i="575"/>
  <c r="K368" i="575"/>
  <c r="K369" i="575"/>
  <c r="K370" i="575"/>
  <c r="K371" i="575"/>
  <c r="K372" i="575"/>
  <c r="K373" i="575"/>
  <c r="K375" i="575"/>
  <c r="K376" i="575"/>
  <c r="K377" i="575"/>
  <c r="K378" i="575"/>
  <c r="K379" i="575"/>
  <c r="K380" i="575"/>
  <c r="K381" i="575"/>
  <c r="K382" i="575"/>
  <c r="K383" i="575"/>
  <c r="K384" i="575"/>
  <c r="K385" i="575"/>
  <c r="K387" i="575"/>
  <c r="K388" i="575"/>
  <c r="K389" i="575"/>
  <c r="K390" i="575"/>
  <c r="K391" i="575"/>
  <c r="K392" i="575"/>
  <c r="K393" i="575"/>
  <c r="K394" i="575"/>
  <c r="K395" i="575"/>
  <c r="K396" i="575"/>
  <c r="K397" i="575"/>
  <c r="K399" i="575"/>
  <c r="K400" i="575"/>
  <c r="K401" i="575"/>
  <c r="K402" i="575"/>
  <c r="K403" i="575"/>
  <c r="K404" i="575"/>
  <c r="K405" i="575"/>
  <c r="K406" i="575"/>
  <c r="K407" i="575"/>
  <c r="K408" i="575"/>
  <c r="K409" i="575"/>
  <c r="K411" i="575"/>
  <c r="K412" i="575"/>
  <c r="K413" i="575"/>
  <c r="K414" i="575"/>
  <c r="K415" i="575"/>
  <c r="K416" i="575"/>
  <c r="K417" i="575"/>
  <c r="K418" i="575"/>
  <c r="K419" i="575"/>
  <c r="K420" i="575"/>
  <c r="K421" i="575"/>
  <c r="K423" i="575"/>
  <c r="K424" i="575"/>
  <c r="K425" i="575"/>
  <c r="K426" i="575"/>
  <c r="K427" i="575"/>
  <c r="K428" i="575"/>
  <c r="K429" i="575"/>
  <c r="K430" i="575"/>
  <c r="K431" i="575"/>
  <c r="K432" i="575"/>
  <c r="K433" i="575"/>
  <c r="K435" i="575"/>
  <c r="K436" i="575"/>
  <c r="K437" i="575"/>
  <c r="K438" i="575"/>
  <c r="K439" i="575"/>
  <c r="K440" i="575"/>
  <c r="K441" i="575"/>
  <c r="K442" i="575"/>
  <c r="K443" i="575"/>
  <c r="K444" i="575"/>
  <c r="J3" i="575"/>
  <c r="K3" i="575" s="1"/>
  <c r="L3" i="575" s="1"/>
  <c r="B5" i="579"/>
  <c r="E5" i="579"/>
  <c r="B6" i="579"/>
  <c r="E6" i="579"/>
  <c r="B7" i="579"/>
  <c r="E7" i="579"/>
  <c r="B8" i="579"/>
  <c r="E8" i="579"/>
  <c r="B9" i="579"/>
  <c r="E9" i="579"/>
  <c r="B10" i="579"/>
  <c r="D10" i="579"/>
  <c r="E10" i="579"/>
  <c r="B11" i="579"/>
  <c r="D11" i="579"/>
  <c r="E11" i="579"/>
  <c r="B12" i="579"/>
  <c r="D12" i="579"/>
  <c r="E12" i="579"/>
  <c r="B13" i="579"/>
  <c r="D13" i="579"/>
  <c r="E13" i="579"/>
  <c r="B14" i="579"/>
  <c r="D14" i="579"/>
  <c r="E14" i="579"/>
  <c r="B15" i="579"/>
  <c r="D15" i="579"/>
  <c r="E15" i="579"/>
  <c r="B16" i="579"/>
  <c r="D16" i="579"/>
  <c r="E16" i="579"/>
  <c r="B17" i="579"/>
  <c r="D17" i="579"/>
  <c r="E17" i="579"/>
  <c r="B18" i="579"/>
  <c r="D18" i="579"/>
  <c r="E18" i="579"/>
  <c r="B19" i="579"/>
  <c r="D19" i="579"/>
  <c r="E19" i="579"/>
  <c r="B20" i="579"/>
  <c r="D20" i="579"/>
  <c r="E20" i="579"/>
  <c r="B21" i="579"/>
  <c r="D21" i="579"/>
  <c r="E21" i="579"/>
  <c r="B22" i="579"/>
  <c r="D22" i="579"/>
  <c r="E22" i="579"/>
  <c r="B23" i="579"/>
  <c r="D23" i="579"/>
  <c r="E23" i="579"/>
  <c r="B24" i="579"/>
  <c r="D24" i="579"/>
  <c r="E24" i="579"/>
  <c r="B25" i="579"/>
  <c r="D25" i="579"/>
  <c r="E25" i="579"/>
  <c r="B26" i="579"/>
  <c r="D26" i="579"/>
  <c r="E26" i="579"/>
  <c r="B27" i="579"/>
  <c r="D27" i="579"/>
  <c r="E27" i="579"/>
  <c r="B28" i="579"/>
  <c r="D28" i="579"/>
  <c r="E28" i="579"/>
  <c r="B29" i="579"/>
  <c r="D29" i="579"/>
  <c r="E29" i="579"/>
  <c r="B30" i="579"/>
  <c r="D30" i="579"/>
  <c r="E30" i="579"/>
  <c r="B31" i="579"/>
  <c r="D31" i="579"/>
  <c r="E31" i="579"/>
  <c r="B32" i="579"/>
  <c r="D32" i="579"/>
  <c r="E32" i="579"/>
  <c r="B33" i="579"/>
  <c r="D33" i="579"/>
  <c r="E33" i="579"/>
  <c r="B34" i="579"/>
  <c r="D34" i="579"/>
  <c r="E34" i="579"/>
  <c r="B35" i="579"/>
  <c r="D35" i="579"/>
  <c r="E35" i="579"/>
  <c r="B36" i="579"/>
  <c r="D36" i="579"/>
  <c r="E36" i="579"/>
  <c r="B37" i="579"/>
  <c r="D37" i="579"/>
  <c r="E37" i="579"/>
  <c r="B38" i="579"/>
  <c r="D38" i="579"/>
  <c r="E38" i="579"/>
  <c r="B39" i="579"/>
  <c r="D39" i="579"/>
  <c r="E39" i="579"/>
  <c r="B40" i="579"/>
  <c r="D40" i="579"/>
  <c r="E40" i="579"/>
  <c r="B41" i="579"/>
  <c r="D41" i="579"/>
  <c r="E41" i="579"/>
  <c r="B42" i="579"/>
  <c r="D42" i="579"/>
  <c r="E42" i="579"/>
  <c r="B43" i="579"/>
  <c r="D43" i="579"/>
  <c r="E43" i="579"/>
  <c r="B44" i="579"/>
  <c r="D44" i="579"/>
  <c r="E44" i="579"/>
  <c r="B45" i="579"/>
  <c r="D45" i="579"/>
  <c r="E45" i="579"/>
  <c r="B46" i="579"/>
  <c r="D46" i="579"/>
  <c r="E46" i="579"/>
  <c r="B47" i="579"/>
  <c r="D47" i="579"/>
  <c r="E47" i="579"/>
  <c r="B48" i="579"/>
  <c r="D48" i="579"/>
  <c r="E48" i="579"/>
  <c r="B49" i="579"/>
  <c r="D49" i="579"/>
  <c r="E49" i="579"/>
  <c r="B50" i="579"/>
  <c r="D50" i="579"/>
  <c r="E50" i="579"/>
  <c r="B51" i="579"/>
  <c r="D51" i="579"/>
  <c r="E51" i="579"/>
  <c r="B52" i="579"/>
  <c r="D52" i="579"/>
  <c r="E52" i="579"/>
  <c r="B53" i="579"/>
  <c r="D53" i="579"/>
  <c r="E53" i="579"/>
  <c r="B54" i="579"/>
  <c r="D54" i="579"/>
  <c r="E54" i="579"/>
  <c r="B55" i="579"/>
  <c r="D55" i="579"/>
  <c r="E55" i="579"/>
  <c r="B56" i="579"/>
  <c r="D56" i="579"/>
  <c r="E56" i="579"/>
  <c r="B57" i="579"/>
  <c r="D57" i="579"/>
  <c r="E57" i="579"/>
  <c r="B58" i="579"/>
  <c r="D58" i="579"/>
  <c r="E58" i="579"/>
  <c r="B59" i="579"/>
  <c r="D59" i="579"/>
  <c r="E59" i="579"/>
  <c r="B60" i="579"/>
  <c r="D60" i="579"/>
  <c r="E60" i="579"/>
  <c r="B61" i="579"/>
  <c r="D61" i="579"/>
  <c r="E61" i="579"/>
  <c r="B62" i="579"/>
  <c r="D62" i="579"/>
  <c r="E62" i="579"/>
  <c r="B63" i="579"/>
  <c r="D63" i="579"/>
  <c r="E63" i="579"/>
  <c r="B64" i="579"/>
  <c r="D64" i="579"/>
  <c r="E64" i="579"/>
  <c r="B65" i="579"/>
  <c r="D65" i="579"/>
  <c r="E65" i="579"/>
  <c r="B66" i="579"/>
  <c r="D66" i="579"/>
  <c r="E66" i="579"/>
  <c r="B67" i="579"/>
  <c r="D67" i="579"/>
  <c r="E67" i="579"/>
  <c r="B68" i="579"/>
  <c r="D68" i="579"/>
  <c r="E68" i="579"/>
  <c r="B69" i="579"/>
  <c r="D69" i="579"/>
  <c r="E69" i="579"/>
  <c r="B70" i="579"/>
  <c r="D70" i="579"/>
  <c r="E70" i="579"/>
  <c r="B71" i="579"/>
  <c r="D71" i="579"/>
  <c r="E71" i="579"/>
  <c r="B72" i="579"/>
  <c r="D72" i="579"/>
  <c r="E72" i="579"/>
  <c r="B73" i="579"/>
  <c r="D73" i="579"/>
  <c r="E73" i="579"/>
  <c r="B74" i="579"/>
  <c r="D74" i="579"/>
  <c r="E74" i="579"/>
  <c r="B75" i="579"/>
  <c r="D75" i="579"/>
  <c r="E75" i="579"/>
  <c r="B76" i="579"/>
  <c r="D76" i="579"/>
  <c r="E76" i="579"/>
  <c r="B77" i="579"/>
  <c r="D77" i="579"/>
  <c r="E77" i="579"/>
  <c r="B78" i="579"/>
  <c r="D78" i="579"/>
  <c r="E78" i="579"/>
  <c r="B79" i="579"/>
  <c r="D79" i="579"/>
  <c r="E79" i="579"/>
  <c r="B80" i="579"/>
  <c r="D80" i="579"/>
  <c r="E80" i="579"/>
  <c r="B81" i="579"/>
  <c r="D81" i="579"/>
  <c r="E81" i="579"/>
  <c r="B82" i="579"/>
  <c r="D82" i="579"/>
  <c r="E82" i="579"/>
  <c r="B83" i="579"/>
  <c r="D83" i="579"/>
  <c r="E83" i="579"/>
  <c r="B84" i="579"/>
  <c r="D84" i="579"/>
  <c r="E84" i="579"/>
  <c r="B85" i="579"/>
  <c r="D85" i="579"/>
  <c r="E85" i="579"/>
  <c r="B86" i="579"/>
  <c r="D86" i="579"/>
  <c r="E86" i="579"/>
  <c r="B87" i="579"/>
  <c r="D87" i="579"/>
  <c r="E87" i="579"/>
  <c r="B88" i="579"/>
  <c r="D88" i="579"/>
  <c r="E88" i="579"/>
  <c r="B89" i="579"/>
  <c r="D89" i="579"/>
  <c r="E89" i="579"/>
  <c r="B90" i="579"/>
  <c r="D90" i="579"/>
  <c r="E90" i="579"/>
  <c r="B91" i="579"/>
  <c r="D91" i="579"/>
  <c r="E91" i="579"/>
  <c r="B92" i="579"/>
  <c r="D92" i="579"/>
  <c r="E92" i="579"/>
  <c r="B93" i="579"/>
  <c r="D93" i="579"/>
  <c r="E93" i="579"/>
  <c r="B94" i="579"/>
  <c r="D94" i="579"/>
  <c r="E94" i="579"/>
  <c r="B95" i="579"/>
  <c r="D95" i="579"/>
  <c r="E95" i="579"/>
  <c r="B96" i="579"/>
  <c r="D96" i="579"/>
  <c r="E96" i="579"/>
  <c r="B97" i="579"/>
  <c r="D97" i="579"/>
  <c r="E97" i="579"/>
  <c r="B98" i="579"/>
  <c r="D98" i="579"/>
  <c r="E98" i="579"/>
  <c r="B99" i="579"/>
  <c r="D99" i="579"/>
  <c r="E99" i="579"/>
  <c r="B100" i="579"/>
  <c r="D100" i="579"/>
  <c r="E100" i="579"/>
  <c r="B101" i="579"/>
  <c r="D101" i="579"/>
  <c r="E101" i="579"/>
  <c r="B102" i="579"/>
  <c r="D102" i="579"/>
  <c r="E102" i="579"/>
  <c r="B103" i="579"/>
  <c r="D103" i="579"/>
  <c r="E103" i="579"/>
  <c r="B104" i="579"/>
  <c r="D104" i="579"/>
  <c r="E104" i="579"/>
  <c r="B105" i="579"/>
  <c r="D105" i="579"/>
  <c r="E105" i="579"/>
  <c r="B106" i="579"/>
  <c r="D106" i="579"/>
  <c r="E106" i="579"/>
  <c r="B107" i="579"/>
  <c r="D107" i="579"/>
  <c r="E107" i="579"/>
  <c r="B108" i="579"/>
  <c r="D108" i="579"/>
  <c r="E108" i="579"/>
  <c r="B109" i="579"/>
  <c r="D109" i="579"/>
  <c r="E109" i="579"/>
  <c r="B110" i="579"/>
  <c r="D110" i="579"/>
  <c r="E110" i="579"/>
  <c r="B111" i="579"/>
  <c r="D111" i="579"/>
  <c r="E111" i="579"/>
  <c r="B112" i="579"/>
  <c r="D112" i="579"/>
  <c r="E112" i="579"/>
  <c r="B113" i="579"/>
  <c r="D113" i="579"/>
  <c r="E113" i="579"/>
  <c r="B114" i="579"/>
  <c r="D114" i="579"/>
  <c r="E114" i="579"/>
  <c r="B115" i="579"/>
  <c r="D115" i="579"/>
  <c r="E115" i="579"/>
  <c r="B116" i="579"/>
  <c r="D116" i="579"/>
  <c r="E116" i="579"/>
  <c r="B117" i="579"/>
  <c r="D117" i="579"/>
  <c r="E117" i="579"/>
  <c r="B118" i="579"/>
  <c r="D118" i="579"/>
  <c r="E118" i="579"/>
  <c r="B119" i="579"/>
  <c r="D119" i="579"/>
  <c r="E119" i="579"/>
  <c r="B120" i="579"/>
  <c r="D120" i="579"/>
  <c r="E120" i="579"/>
  <c r="B121" i="579"/>
  <c r="D121" i="579"/>
  <c r="E121" i="579"/>
  <c r="B122" i="579"/>
  <c r="D122" i="579"/>
  <c r="E122" i="579"/>
  <c r="B123" i="579"/>
  <c r="D123" i="579"/>
  <c r="E123" i="579"/>
  <c r="B124" i="579"/>
  <c r="D124" i="579"/>
  <c r="E124" i="579"/>
  <c r="B125" i="579"/>
  <c r="D125" i="579"/>
  <c r="E125" i="579"/>
  <c r="B126" i="579"/>
  <c r="D126" i="579"/>
  <c r="E126" i="579"/>
  <c r="B127" i="579"/>
  <c r="D127" i="579"/>
  <c r="E127" i="579"/>
  <c r="B128" i="579"/>
  <c r="D128" i="579"/>
  <c r="E128" i="579"/>
  <c r="B129" i="579"/>
  <c r="D129" i="579"/>
  <c r="E129" i="579"/>
  <c r="B130" i="579"/>
  <c r="D130" i="579"/>
  <c r="E130" i="579"/>
  <c r="B131" i="579"/>
  <c r="D131" i="579"/>
  <c r="E131" i="579"/>
  <c r="B132" i="579"/>
  <c r="D132" i="579"/>
  <c r="E132" i="579"/>
  <c r="B133" i="579"/>
  <c r="D133" i="579"/>
  <c r="E133" i="579"/>
  <c r="B134" i="579"/>
  <c r="D134" i="579"/>
  <c r="E134" i="579"/>
  <c r="B135" i="579"/>
  <c r="D135" i="579"/>
  <c r="E135" i="579"/>
  <c r="B136" i="579"/>
  <c r="D136" i="579"/>
  <c r="E136" i="579"/>
  <c r="B137" i="579"/>
  <c r="D137" i="579"/>
  <c r="E137" i="579"/>
  <c r="B138" i="579"/>
  <c r="D138" i="579"/>
  <c r="E138" i="579"/>
  <c r="B139" i="579"/>
  <c r="D139" i="579"/>
  <c r="E139" i="579"/>
  <c r="B140" i="579"/>
  <c r="D140" i="579"/>
  <c r="E140" i="579"/>
  <c r="B141" i="579"/>
  <c r="D141" i="579"/>
  <c r="E141" i="579"/>
  <c r="B142" i="579"/>
  <c r="D142" i="579"/>
  <c r="E142" i="579"/>
  <c r="B143" i="579"/>
  <c r="D143" i="579"/>
  <c r="E143" i="579"/>
  <c r="B144" i="579"/>
  <c r="D144" i="579"/>
  <c r="E144" i="579"/>
  <c r="B145" i="579"/>
  <c r="D145" i="579"/>
  <c r="E145" i="579"/>
  <c r="B146" i="579"/>
  <c r="D146" i="579"/>
  <c r="E146" i="579"/>
  <c r="B147" i="579"/>
  <c r="D147" i="579"/>
  <c r="E147" i="579"/>
  <c r="B148" i="579"/>
  <c r="D148" i="579"/>
  <c r="E148" i="579"/>
  <c r="B149" i="579"/>
  <c r="D149" i="579"/>
  <c r="E149" i="579"/>
  <c r="B150" i="579"/>
  <c r="D150" i="579"/>
  <c r="E150" i="579"/>
  <c r="B151" i="579"/>
  <c r="D151" i="579"/>
  <c r="E151" i="579"/>
  <c r="B152" i="579"/>
  <c r="D152" i="579"/>
  <c r="E152" i="579"/>
  <c r="B153" i="579"/>
  <c r="D153" i="579"/>
  <c r="E153" i="579"/>
  <c r="B154" i="579"/>
  <c r="D154" i="579"/>
  <c r="E154" i="579"/>
  <c r="B155" i="579"/>
  <c r="D155" i="579"/>
  <c r="E155" i="579"/>
  <c r="B156" i="579"/>
  <c r="D156" i="579"/>
  <c r="E156" i="579"/>
  <c r="B157" i="579"/>
  <c r="D157" i="579"/>
  <c r="E157" i="579"/>
  <c r="B158" i="579"/>
  <c r="D158" i="579"/>
  <c r="E158" i="579"/>
  <c r="B159" i="579"/>
  <c r="D159" i="579"/>
  <c r="E159" i="579"/>
  <c r="B160" i="579"/>
  <c r="D160" i="579"/>
  <c r="E160" i="579"/>
  <c r="B161" i="579"/>
  <c r="D161" i="579"/>
  <c r="E161" i="579"/>
  <c r="B162" i="579"/>
  <c r="D162" i="579"/>
  <c r="E162" i="579"/>
  <c r="B163" i="579"/>
  <c r="D163" i="579"/>
  <c r="E163" i="579"/>
  <c r="B164" i="579"/>
  <c r="D164" i="579"/>
  <c r="E164" i="579"/>
  <c r="B165" i="579"/>
  <c r="D165" i="579"/>
  <c r="E165" i="579"/>
  <c r="B166" i="579"/>
  <c r="D166" i="579"/>
  <c r="E166" i="579"/>
  <c r="B167" i="579"/>
  <c r="D167" i="579"/>
  <c r="E167" i="579"/>
  <c r="B168" i="579"/>
  <c r="D168" i="579"/>
  <c r="E168" i="579"/>
  <c r="B169" i="579"/>
  <c r="D169" i="579"/>
  <c r="E169" i="579"/>
  <c r="B170" i="579"/>
  <c r="D170" i="579"/>
  <c r="E170" i="579"/>
  <c r="B171" i="579"/>
  <c r="D171" i="579"/>
  <c r="E171" i="579"/>
  <c r="B172" i="579"/>
  <c r="D172" i="579"/>
  <c r="E172" i="579"/>
  <c r="B173" i="579"/>
  <c r="D173" i="579"/>
  <c r="E173" i="579"/>
  <c r="B174" i="579"/>
  <c r="D174" i="579"/>
  <c r="E174" i="579"/>
  <c r="B175" i="579"/>
  <c r="D175" i="579"/>
  <c r="E175" i="579"/>
  <c r="B176" i="579"/>
  <c r="D176" i="579"/>
  <c r="E176" i="579"/>
  <c r="B177" i="579"/>
  <c r="D177" i="579"/>
  <c r="E177" i="579"/>
  <c r="B178" i="579"/>
  <c r="D178" i="579"/>
  <c r="E178" i="579"/>
  <c r="B179" i="579"/>
  <c r="D179" i="579"/>
  <c r="E179" i="579"/>
  <c r="B180" i="579"/>
  <c r="D180" i="579"/>
  <c r="E180" i="579"/>
  <c r="B181" i="579"/>
  <c r="D181" i="579"/>
  <c r="E181" i="579"/>
  <c r="B182" i="579"/>
  <c r="D182" i="579"/>
  <c r="E182" i="579"/>
  <c r="B183" i="579"/>
  <c r="D183" i="579"/>
  <c r="E183" i="579"/>
  <c r="B184" i="579"/>
  <c r="D184" i="579"/>
  <c r="E184" i="579"/>
  <c r="B185" i="579"/>
  <c r="D185" i="579"/>
  <c r="E185" i="579"/>
  <c r="B186" i="579"/>
  <c r="D186" i="579"/>
  <c r="E186" i="579"/>
  <c r="B187" i="579"/>
  <c r="D187" i="579"/>
  <c r="E187" i="579"/>
  <c r="B188" i="579"/>
  <c r="D188" i="579"/>
  <c r="E188" i="579"/>
  <c r="B189" i="579"/>
  <c r="D189" i="579"/>
  <c r="E189" i="579"/>
  <c r="B190" i="579"/>
  <c r="D190" i="579"/>
  <c r="E190" i="579"/>
  <c r="B191" i="579"/>
  <c r="D191" i="579"/>
  <c r="E191" i="579"/>
  <c r="B192" i="579"/>
  <c r="D192" i="579"/>
  <c r="E192" i="579"/>
  <c r="B193" i="579"/>
  <c r="D193" i="579"/>
  <c r="E193" i="579"/>
  <c r="B194" i="579"/>
  <c r="D194" i="579"/>
  <c r="E194" i="579"/>
  <c r="B195" i="579"/>
  <c r="D195" i="579"/>
  <c r="E195" i="579"/>
  <c r="B196" i="579"/>
  <c r="D196" i="579"/>
  <c r="E196" i="579"/>
  <c r="B197" i="579"/>
  <c r="D197" i="579"/>
  <c r="E197" i="579"/>
  <c r="B198" i="579"/>
  <c r="D198" i="579"/>
  <c r="E198" i="579"/>
  <c r="B199" i="579"/>
  <c r="D199" i="579"/>
  <c r="E199" i="579"/>
  <c r="B200" i="579"/>
  <c r="D200" i="579"/>
  <c r="E200" i="579"/>
  <c r="B201" i="579"/>
  <c r="D201" i="579"/>
  <c r="E201" i="579"/>
  <c r="B202" i="579"/>
  <c r="D202" i="579"/>
  <c r="E202" i="579"/>
  <c r="B203" i="579"/>
  <c r="D203" i="579"/>
  <c r="E203" i="579"/>
  <c r="B204" i="579"/>
  <c r="D204" i="579"/>
  <c r="E204" i="579"/>
  <c r="B205" i="579"/>
  <c r="D205" i="579"/>
  <c r="E205" i="579"/>
  <c r="B206" i="579"/>
  <c r="D206" i="579"/>
  <c r="E206" i="579"/>
  <c r="B207" i="579"/>
  <c r="D207" i="579"/>
  <c r="E207" i="579"/>
  <c r="B208" i="579"/>
  <c r="D208" i="579"/>
  <c r="E208" i="579"/>
  <c r="B209" i="579"/>
  <c r="D209" i="579"/>
  <c r="E209" i="579"/>
  <c r="B210" i="579"/>
  <c r="D210" i="579"/>
  <c r="E210" i="579"/>
  <c r="E4" i="579"/>
  <c r="B4" i="579"/>
  <c r="A5" i="579"/>
  <c r="A6" i="579" s="1"/>
  <c r="A7" i="579" s="1"/>
  <c r="A8" i="579" s="1"/>
  <c r="A9" i="579" s="1"/>
  <c r="A10" i="579" s="1"/>
  <c r="A11" i="579" s="1"/>
  <c r="A12" i="579" s="1"/>
  <c r="A13" i="579" s="1"/>
  <c r="A14" i="579" s="1"/>
  <c r="A15" i="579" s="1"/>
  <c r="A16" i="579" s="1"/>
  <c r="A17" i="579" s="1"/>
  <c r="A18" i="579" s="1"/>
  <c r="A19" i="579" s="1"/>
  <c r="A20" i="579" s="1"/>
  <c r="A21" i="579" s="1"/>
  <c r="A22" i="579" s="1"/>
  <c r="A23" i="579" s="1"/>
  <c r="A24" i="579" s="1"/>
  <c r="A25" i="579" s="1"/>
  <c r="A26" i="579" s="1"/>
  <c r="A27" i="579" s="1"/>
  <c r="A28" i="579" s="1"/>
  <c r="A29" i="579" s="1"/>
  <c r="A30" i="579" s="1"/>
  <c r="A31" i="579" s="1"/>
  <c r="A32" i="579" s="1"/>
  <c r="A33" i="579" s="1"/>
  <c r="A34" i="579" s="1"/>
  <c r="A35" i="579" s="1"/>
  <c r="A36" i="579" s="1"/>
  <c r="A37" i="579" s="1"/>
  <c r="A38" i="579" s="1"/>
  <c r="A39" i="579" s="1"/>
  <c r="A40" i="579" s="1"/>
  <c r="A41" i="579" s="1"/>
  <c r="A42" i="579" s="1"/>
  <c r="A43" i="579" s="1"/>
  <c r="A44" i="579" s="1"/>
  <c r="A45" i="579" s="1"/>
  <c r="A46" i="579" s="1"/>
  <c r="A47" i="579" s="1"/>
  <c r="A48" i="579" s="1"/>
  <c r="A49" i="579" s="1"/>
  <c r="A50" i="579" s="1"/>
  <c r="A51" i="579" s="1"/>
  <c r="A52" i="579" s="1"/>
  <c r="A53" i="579" s="1"/>
  <c r="A54" i="579" s="1"/>
  <c r="A55" i="579" s="1"/>
  <c r="A56" i="579" s="1"/>
  <c r="A57" i="579" s="1"/>
  <c r="A58" i="579" s="1"/>
  <c r="A59" i="579" s="1"/>
  <c r="A60" i="579" s="1"/>
  <c r="A61" i="579" s="1"/>
  <c r="A62" i="579" s="1"/>
  <c r="A63" i="579" s="1"/>
  <c r="A64" i="579" s="1"/>
  <c r="A65" i="579" s="1"/>
  <c r="A66" i="579" s="1"/>
  <c r="A67" i="579" s="1"/>
  <c r="A68" i="579" s="1"/>
  <c r="A69" i="579" s="1"/>
  <c r="A70" i="579" s="1"/>
  <c r="A71" i="579" s="1"/>
  <c r="A72" i="579" s="1"/>
  <c r="A73" i="579" s="1"/>
  <c r="A74" i="579" s="1"/>
  <c r="A75" i="579" s="1"/>
  <c r="A76" i="579" s="1"/>
  <c r="A77" i="579" s="1"/>
  <c r="A78" i="579" s="1"/>
  <c r="A79" i="579" s="1"/>
  <c r="A80" i="579" s="1"/>
  <c r="A81" i="579" s="1"/>
  <c r="A82" i="579" s="1"/>
  <c r="A83" i="579" s="1"/>
  <c r="A84" i="579" s="1"/>
  <c r="A85" i="579" s="1"/>
  <c r="A86" i="579" s="1"/>
  <c r="A87" i="579" s="1"/>
  <c r="A88" i="579" s="1"/>
  <c r="A89" i="579" s="1"/>
  <c r="A90" i="579" s="1"/>
  <c r="A91" i="579" s="1"/>
  <c r="A92" i="579" s="1"/>
  <c r="A93" i="579" s="1"/>
  <c r="A94" i="579" s="1"/>
  <c r="A95" i="579" s="1"/>
  <c r="A96" i="579" s="1"/>
  <c r="A97" i="579" s="1"/>
  <c r="A98" i="579" s="1"/>
  <c r="A99" i="579" s="1"/>
  <c r="A100" i="579" s="1"/>
  <c r="A101" i="579" s="1"/>
  <c r="A102" i="579" s="1"/>
  <c r="A103" i="579" s="1"/>
  <c r="A104" i="579" s="1"/>
  <c r="A105" i="579" s="1"/>
  <c r="A106" i="579" s="1"/>
  <c r="A107" i="579" s="1"/>
  <c r="A108" i="579" s="1"/>
  <c r="A109" i="579" s="1"/>
  <c r="A110" i="579" s="1"/>
  <c r="A111" i="579" s="1"/>
  <c r="A112" i="579" s="1"/>
  <c r="A113" i="579" s="1"/>
  <c r="A114" i="579" s="1"/>
  <c r="A115" i="579" s="1"/>
  <c r="A116" i="579" s="1"/>
  <c r="A117" i="579" s="1"/>
  <c r="A118" i="579" s="1"/>
  <c r="A119" i="579" s="1"/>
  <c r="A120" i="579" s="1"/>
  <c r="A121" i="579" s="1"/>
  <c r="A122" i="579" s="1"/>
  <c r="A123" i="579" s="1"/>
  <c r="A124" i="579" s="1"/>
  <c r="A125" i="579" s="1"/>
  <c r="A126" i="579" s="1"/>
  <c r="A127" i="579" s="1"/>
  <c r="A128" i="579" s="1"/>
  <c r="A129" i="579" s="1"/>
  <c r="A130" i="579" s="1"/>
  <c r="A131" i="579" s="1"/>
  <c r="A132" i="579" s="1"/>
  <c r="A133" i="579" s="1"/>
  <c r="A134" i="579" s="1"/>
  <c r="A135" i="579" s="1"/>
  <c r="A136" i="579" s="1"/>
  <c r="A137" i="579" s="1"/>
  <c r="A138" i="579" s="1"/>
  <c r="A139" i="579" s="1"/>
  <c r="A140" i="579" s="1"/>
  <c r="A141" i="579" s="1"/>
  <c r="A142" i="579" s="1"/>
  <c r="A143" i="579" s="1"/>
  <c r="A144" i="579" s="1"/>
  <c r="A145" i="579" s="1"/>
  <c r="A146" i="579" s="1"/>
  <c r="A147" i="579" s="1"/>
  <c r="A148" i="579" s="1"/>
  <c r="A149" i="579" s="1"/>
  <c r="A150" i="579" s="1"/>
  <c r="A151" i="579" s="1"/>
  <c r="A152" i="579" s="1"/>
  <c r="A153" i="579" s="1"/>
  <c r="A154" i="579" s="1"/>
  <c r="A155" i="579" s="1"/>
  <c r="A156" i="579" s="1"/>
  <c r="A157" i="579" s="1"/>
  <c r="A158" i="579" s="1"/>
  <c r="A159" i="579" s="1"/>
  <c r="A160" i="579" s="1"/>
  <c r="A161" i="579" s="1"/>
  <c r="A162" i="579" s="1"/>
  <c r="A163" i="579" s="1"/>
  <c r="A164" i="579" s="1"/>
  <c r="A165" i="579" s="1"/>
  <c r="A166" i="579" s="1"/>
  <c r="A167" i="579" s="1"/>
  <c r="A168" i="579" s="1"/>
  <c r="A169" i="579" s="1"/>
  <c r="A170" i="579" s="1"/>
  <c r="A171" i="579" s="1"/>
  <c r="A172" i="579" s="1"/>
  <c r="A173" i="579" s="1"/>
  <c r="A174" i="579" s="1"/>
  <c r="A175" i="579" s="1"/>
  <c r="A176" i="579" s="1"/>
  <c r="A177" i="579" s="1"/>
  <c r="A178" i="579" s="1"/>
  <c r="A179" i="579" s="1"/>
  <c r="A180" i="579" s="1"/>
  <c r="A181" i="579" s="1"/>
  <c r="A182" i="579" s="1"/>
  <c r="A183" i="579" s="1"/>
  <c r="A184" i="579" s="1"/>
  <c r="A185" i="579" s="1"/>
  <c r="A186" i="579" s="1"/>
  <c r="A187" i="579" s="1"/>
  <c r="A188" i="579" s="1"/>
  <c r="A189" i="579" s="1"/>
  <c r="A190" i="579" s="1"/>
  <c r="A191" i="579" s="1"/>
  <c r="A192" i="579" s="1"/>
  <c r="A193" i="579" s="1"/>
  <c r="A194" i="579" s="1"/>
  <c r="A195" i="579" s="1"/>
  <c r="A196" i="579" s="1"/>
  <c r="A197" i="579" s="1"/>
  <c r="A198" i="579" s="1"/>
  <c r="A199" i="579" s="1"/>
  <c r="A200" i="579" s="1"/>
  <c r="A201" i="579" s="1"/>
  <c r="A202" i="579" s="1"/>
  <c r="A203" i="579" s="1"/>
  <c r="A204" i="579" s="1"/>
  <c r="A205" i="579" s="1"/>
  <c r="A206" i="579" s="1"/>
  <c r="A207" i="579" s="1"/>
  <c r="A208" i="579" s="1"/>
  <c r="A209" i="579" s="1"/>
  <c r="A210" i="579" s="1"/>
  <c r="I6" i="578"/>
  <c r="D7" i="579" s="1"/>
  <c r="I9" i="578"/>
  <c r="I10" i="578"/>
  <c r="I11" i="578"/>
  <c r="I12" i="578"/>
  <c r="I13" i="578"/>
  <c r="I14" i="578"/>
  <c r="I15" i="578"/>
  <c r="I16" i="578"/>
  <c r="I17" i="578"/>
  <c r="I18" i="578"/>
  <c r="I19" i="578"/>
  <c r="I20" i="578"/>
  <c r="I21" i="578"/>
  <c r="I22" i="578"/>
  <c r="I23" i="578"/>
  <c r="I24" i="578"/>
  <c r="I25" i="578"/>
  <c r="I26" i="578"/>
  <c r="I27" i="578"/>
  <c r="I28" i="578"/>
  <c r="I29" i="578"/>
  <c r="I30" i="578"/>
  <c r="I31" i="578"/>
  <c r="I32" i="578"/>
  <c r="I33" i="578"/>
  <c r="I34" i="578"/>
  <c r="I35" i="578"/>
  <c r="I36" i="578"/>
  <c r="I37" i="578"/>
  <c r="I38" i="578"/>
  <c r="I460" i="578"/>
  <c r="I459" i="578"/>
  <c r="I458" i="578"/>
  <c r="I457" i="578"/>
  <c r="I456" i="578"/>
  <c r="I455" i="578"/>
  <c r="I454" i="578"/>
  <c r="I453" i="578"/>
  <c r="I452" i="578"/>
  <c r="I451" i="578"/>
  <c r="I450" i="578"/>
  <c r="I449" i="578"/>
  <c r="I448" i="578"/>
  <c r="I447" i="578"/>
  <c r="I446" i="578"/>
  <c r="I445" i="578"/>
  <c r="I444" i="578"/>
  <c r="I443" i="578"/>
  <c r="I442" i="578"/>
  <c r="I441" i="578"/>
  <c r="I440" i="578"/>
  <c r="I439" i="578"/>
  <c r="I438" i="578"/>
  <c r="I437" i="578"/>
  <c r="I436" i="578"/>
  <c r="I435" i="578"/>
  <c r="I434" i="578"/>
  <c r="I433" i="578"/>
  <c r="I432" i="578"/>
  <c r="I431" i="578"/>
  <c r="I430" i="578"/>
  <c r="I429" i="578"/>
  <c r="I428" i="578"/>
  <c r="I427" i="578"/>
  <c r="I426" i="578"/>
  <c r="I425" i="578"/>
  <c r="I424" i="578"/>
  <c r="I423" i="578"/>
  <c r="I422" i="578"/>
  <c r="I421" i="578"/>
  <c r="I420" i="578"/>
  <c r="I419" i="578"/>
  <c r="I418" i="578"/>
  <c r="I417" i="578"/>
  <c r="I416" i="578"/>
  <c r="I415" i="578"/>
  <c r="I414" i="578"/>
  <c r="I413" i="578"/>
  <c r="I412" i="578"/>
  <c r="I411" i="578"/>
  <c r="I410" i="578"/>
  <c r="I409" i="578"/>
  <c r="I408" i="578"/>
  <c r="I407" i="578"/>
  <c r="I406" i="578"/>
  <c r="I405" i="578"/>
  <c r="I404" i="578"/>
  <c r="I403" i="578"/>
  <c r="I402" i="578"/>
  <c r="I401" i="578"/>
  <c r="I400" i="578"/>
  <c r="I399" i="578"/>
  <c r="I398" i="578"/>
  <c r="I397" i="578"/>
  <c r="I396" i="578"/>
  <c r="I395" i="578"/>
  <c r="I394" i="578"/>
  <c r="I393" i="578"/>
  <c r="I392" i="578"/>
  <c r="I391" i="578"/>
  <c r="I390" i="578"/>
  <c r="I389" i="578"/>
  <c r="I388" i="578"/>
  <c r="I387" i="578"/>
  <c r="I386" i="578"/>
  <c r="I385" i="578"/>
  <c r="I384" i="578"/>
  <c r="I383" i="578"/>
  <c r="I382" i="578"/>
  <c r="I381" i="578"/>
  <c r="I380" i="578"/>
  <c r="I379" i="578"/>
  <c r="I378" i="578"/>
  <c r="I377" i="578"/>
  <c r="I376" i="578"/>
  <c r="I375" i="578"/>
  <c r="I374" i="578"/>
  <c r="I373" i="578"/>
  <c r="I372" i="578"/>
  <c r="I371" i="578"/>
  <c r="I370" i="578"/>
  <c r="I369" i="578"/>
  <c r="I368" i="578"/>
  <c r="I367" i="578"/>
  <c r="I366" i="578"/>
  <c r="I365" i="578"/>
  <c r="I364" i="578"/>
  <c r="I363" i="578"/>
  <c r="I362" i="578"/>
  <c r="I361" i="578"/>
  <c r="I360" i="578"/>
  <c r="I359" i="578"/>
  <c r="I358" i="578"/>
  <c r="I357" i="578"/>
  <c r="I356" i="578"/>
  <c r="I355" i="578"/>
  <c r="I354" i="578"/>
  <c r="I353" i="578"/>
  <c r="I352" i="578"/>
  <c r="I351" i="578"/>
  <c r="I350" i="578"/>
  <c r="I349" i="578"/>
  <c r="I348" i="578"/>
  <c r="I347" i="578"/>
  <c r="I346" i="578"/>
  <c r="I345" i="578"/>
  <c r="I344" i="578"/>
  <c r="I343" i="578"/>
  <c r="I342" i="578"/>
  <c r="I341" i="578"/>
  <c r="I340" i="578"/>
  <c r="I339" i="578"/>
  <c r="I338" i="578"/>
  <c r="I337" i="578"/>
  <c r="I336" i="578"/>
  <c r="I335" i="578"/>
  <c r="I334" i="578"/>
  <c r="I333" i="578"/>
  <c r="I332" i="578"/>
  <c r="I331" i="578"/>
  <c r="I330" i="578"/>
  <c r="I329" i="578"/>
  <c r="I328" i="578"/>
  <c r="I327" i="578"/>
  <c r="I326" i="578"/>
  <c r="I325" i="578"/>
  <c r="I324" i="578"/>
  <c r="I323" i="578"/>
  <c r="I322" i="578"/>
  <c r="I321" i="578"/>
  <c r="I320" i="578"/>
  <c r="I319" i="578"/>
  <c r="I318" i="578"/>
  <c r="I317" i="578"/>
  <c r="I316" i="578"/>
  <c r="I315" i="578"/>
  <c r="I314" i="578"/>
  <c r="I313" i="578"/>
  <c r="I312" i="578"/>
  <c r="I311" i="578"/>
  <c r="I310" i="578"/>
  <c r="I309" i="578"/>
  <c r="I308" i="578"/>
  <c r="I307" i="578"/>
  <c r="I306" i="578"/>
  <c r="I305" i="578"/>
  <c r="I304" i="578"/>
  <c r="I303" i="578"/>
  <c r="I302" i="578"/>
  <c r="I301" i="578"/>
  <c r="I300" i="578"/>
  <c r="I299" i="578"/>
  <c r="I298" i="578"/>
  <c r="I297" i="578"/>
  <c r="I296" i="578"/>
  <c r="I295" i="578"/>
  <c r="I294" i="578"/>
  <c r="I293" i="578"/>
  <c r="I292" i="578"/>
  <c r="I291" i="578"/>
  <c r="I290" i="578"/>
  <c r="I289" i="578"/>
  <c r="I288" i="578"/>
  <c r="I287" i="578"/>
  <c r="I286" i="578"/>
  <c r="I285" i="578"/>
  <c r="I284" i="578"/>
  <c r="I283" i="578"/>
  <c r="I282" i="578"/>
  <c r="I281" i="578"/>
  <c r="I280" i="578"/>
  <c r="I279" i="578"/>
  <c r="I278" i="578"/>
  <c r="I277" i="578"/>
  <c r="I276" i="578"/>
  <c r="I275" i="578"/>
  <c r="I274" i="578"/>
  <c r="I273" i="578"/>
  <c r="I272" i="578"/>
  <c r="I271" i="578"/>
  <c r="I270" i="578"/>
  <c r="I269" i="578"/>
  <c r="I268" i="578"/>
  <c r="I267" i="578"/>
  <c r="I266" i="578"/>
  <c r="I265" i="578"/>
  <c r="I264" i="578"/>
  <c r="I263" i="578"/>
  <c r="I262" i="578"/>
  <c r="I261" i="578"/>
  <c r="I260" i="578"/>
  <c r="I259" i="578"/>
  <c r="I258" i="578"/>
  <c r="I257" i="578"/>
  <c r="I256" i="578"/>
  <c r="I255" i="578"/>
  <c r="I254" i="578"/>
  <c r="I253" i="578"/>
  <c r="I252" i="578"/>
  <c r="I251" i="578"/>
  <c r="I250" i="578"/>
  <c r="I249" i="578"/>
  <c r="I248" i="578"/>
  <c r="I247" i="578"/>
  <c r="I246" i="578"/>
  <c r="I245" i="578"/>
  <c r="I244" i="578"/>
  <c r="I243" i="578"/>
  <c r="I242" i="578"/>
  <c r="I241" i="578"/>
  <c r="I240" i="578"/>
  <c r="I239" i="578"/>
  <c r="I238" i="578"/>
  <c r="I237" i="578"/>
  <c r="I236" i="578"/>
  <c r="I235" i="578"/>
  <c r="I234" i="578"/>
  <c r="I233" i="578"/>
  <c r="I232" i="578"/>
  <c r="I231" i="578"/>
  <c r="I230" i="578"/>
  <c r="I229" i="578"/>
  <c r="I228" i="578"/>
  <c r="I227" i="578"/>
  <c r="I226" i="578"/>
  <c r="I225" i="578"/>
  <c r="I224" i="578"/>
  <c r="I223" i="578"/>
  <c r="I222" i="578"/>
  <c r="I221" i="578"/>
  <c r="I220" i="578"/>
  <c r="I219" i="578"/>
  <c r="I218" i="578"/>
  <c r="I217" i="578"/>
  <c r="I216" i="578"/>
  <c r="I215" i="578"/>
  <c r="I214" i="578"/>
  <c r="I213" i="578"/>
  <c r="I212" i="578"/>
  <c r="I211" i="578"/>
  <c r="I210" i="578"/>
  <c r="I209" i="578"/>
  <c r="I208" i="578"/>
  <c r="I207" i="578"/>
  <c r="I206" i="578"/>
  <c r="I205" i="578"/>
  <c r="I204" i="578"/>
  <c r="I203" i="578"/>
  <c r="I202" i="578"/>
  <c r="I201" i="578"/>
  <c r="I200" i="578"/>
  <c r="I199" i="578"/>
  <c r="I198" i="578"/>
  <c r="I197" i="578"/>
  <c r="I196" i="578"/>
  <c r="I195" i="578"/>
  <c r="I194" i="578"/>
  <c r="I193" i="578"/>
  <c r="I192" i="578"/>
  <c r="I191" i="578"/>
  <c r="I190" i="578"/>
  <c r="I189" i="578"/>
  <c r="I188" i="578"/>
  <c r="I187" i="578"/>
  <c r="I186" i="578"/>
  <c r="I185" i="578"/>
  <c r="I184" i="578"/>
  <c r="I183" i="578"/>
  <c r="I182" i="578"/>
  <c r="I181" i="578"/>
  <c r="I180" i="578"/>
  <c r="I179" i="578"/>
  <c r="I178" i="578"/>
  <c r="I177" i="578"/>
  <c r="I176" i="578"/>
  <c r="I175" i="578"/>
  <c r="I174" i="578"/>
  <c r="I173" i="578"/>
  <c r="I172" i="578"/>
  <c r="I171" i="578"/>
  <c r="I170" i="578"/>
  <c r="I169" i="578"/>
  <c r="I168" i="578"/>
  <c r="I167" i="578"/>
  <c r="I166" i="578"/>
  <c r="I165" i="578"/>
  <c r="I164" i="578"/>
  <c r="I163" i="578"/>
  <c r="I162" i="578"/>
  <c r="I161" i="578"/>
  <c r="I160" i="578"/>
  <c r="I159" i="578"/>
  <c r="I158" i="578"/>
  <c r="I157" i="578"/>
  <c r="I156" i="578"/>
  <c r="I155" i="578"/>
  <c r="I154" i="578"/>
  <c r="I153" i="578"/>
  <c r="I152" i="578"/>
  <c r="I151" i="578"/>
  <c r="I150" i="578"/>
  <c r="I149" i="578"/>
  <c r="I148" i="578"/>
  <c r="I147" i="578"/>
  <c r="I146" i="578"/>
  <c r="I145" i="578"/>
  <c r="I144" i="578"/>
  <c r="I143" i="578"/>
  <c r="I142" i="578"/>
  <c r="I141" i="578"/>
  <c r="I140" i="578"/>
  <c r="I139" i="578"/>
  <c r="I138" i="578"/>
  <c r="I137" i="578"/>
  <c r="I136" i="578"/>
  <c r="I135" i="578"/>
  <c r="I134" i="578"/>
  <c r="I133" i="578"/>
  <c r="I132" i="578"/>
  <c r="I131" i="578"/>
  <c r="I130" i="578"/>
  <c r="I129" i="578"/>
  <c r="I128" i="578"/>
  <c r="I127" i="578"/>
  <c r="I126" i="578"/>
  <c r="I125" i="578"/>
  <c r="I124" i="578"/>
  <c r="I123" i="578"/>
  <c r="I122" i="578"/>
  <c r="I121" i="578"/>
  <c r="I120" i="578"/>
  <c r="I119" i="578"/>
  <c r="I118" i="578"/>
  <c r="I117" i="578"/>
  <c r="I116" i="578"/>
  <c r="I115" i="578"/>
  <c r="I114" i="578"/>
  <c r="I113" i="578"/>
  <c r="I112" i="578"/>
  <c r="I111" i="578"/>
  <c r="I110" i="578"/>
  <c r="I109" i="578"/>
  <c r="I108" i="578"/>
  <c r="I107" i="578"/>
  <c r="I106" i="578"/>
  <c r="I105" i="578"/>
  <c r="I104" i="578"/>
  <c r="I103" i="578"/>
  <c r="I102" i="578"/>
  <c r="I101" i="578"/>
  <c r="I100" i="578"/>
  <c r="I99" i="578"/>
  <c r="I98" i="578"/>
  <c r="I97" i="578"/>
  <c r="I96" i="578"/>
  <c r="I95" i="578"/>
  <c r="I94" i="578"/>
  <c r="I93" i="578"/>
  <c r="I92" i="578"/>
  <c r="I91" i="578"/>
  <c r="I90" i="578"/>
  <c r="I89" i="578"/>
  <c r="I88" i="578"/>
  <c r="I87" i="578"/>
  <c r="I86" i="578"/>
  <c r="I85" i="578"/>
  <c r="I84" i="578"/>
  <c r="I83" i="578"/>
  <c r="I82" i="578"/>
  <c r="I81" i="578"/>
  <c r="I80" i="578"/>
  <c r="I79" i="578"/>
  <c r="I78" i="578"/>
  <c r="I77" i="578"/>
  <c r="I76" i="578"/>
  <c r="I75" i="578"/>
  <c r="I74" i="578"/>
  <c r="I73" i="578"/>
  <c r="I72" i="578"/>
  <c r="I71" i="578"/>
  <c r="I70" i="578"/>
  <c r="I69" i="578"/>
  <c r="I68" i="578"/>
  <c r="I67" i="578"/>
  <c r="I66" i="578"/>
  <c r="I65" i="578"/>
  <c r="I64" i="578"/>
  <c r="I63" i="578"/>
  <c r="I62" i="578"/>
  <c r="I61" i="578"/>
  <c r="I60" i="578"/>
  <c r="I59" i="578"/>
  <c r="I58" i="578"/>
  <c r="I57" i="578"/>
  <c r="I56" i="578"/>
  <c r="I55" i="578"/>
  <c r="I54" i="578"/>
  <c r="I53" i="578"/>
  <c r="I52" i="578"/>
  <c r="I51" i="578"/>
  <c r="I50" i="578"/>
  <c r="I49" i="578"/>
  <c r="I48" i="578"/>
  <c r="I47" i="578"/>
  <c r="I46" i="578"/>
  <c r="I45" i="578"/>
  <c r="I44" i="578"/>
  <c r="I43" i="578"/>
  <c r="I42" i="578"/>
  <c r="I41" i="578"/>
  <c r="I40" i="578"/>
  <c r="I39" i="578"/>
  <c r="H27" i="578"/>
  <c r="H26" i="578"/>
  <c r="H25" i="578"/>
  <c r="H24" i="578"/>
  <c r="H23" i="578"/>
  <c r="H22" i="578"/>
  <c r="H21" i="578"/>
  <c r="H20" i="578"/>
  <c r="H19" i="578"/>
  <c r="H18" i="578"/>
  <c r="H17" i="578"/>
  <c r="H16" i="578"/>
  <c r="H15" i="578"/>
  <c r="H14" i="578"/>
  <c r="H13" i="578"/>
  <c r="H12" i="578"/>
  <c r="H11" i="578"/>
  <c r="H10" i="578"/>
  <c r="H9" i="578"/>
  <c r="H8" i="578"/>
  <c r="I8" i="578" s="1"/>
  <c r="D9" i="579" s="1"/>
  <c r="H7" i="578"/>
  <c r="I7" i="578" s="1"/>
  <c r="D8" i="579" s="1"/>
  <c r="H6" i="578"/>
  <c r="H5" i="578"/>
  <c r="I5" i="578" s="1"/>
  <c r="D6" i="579" s="1"/>
  <c r="H4" i="578"/>
  <c r="I4" i="578" s="1"/>
  <c r="D5" i="579" s="1"/>
  <c r="H3" i="578"/>
  <c r="I3" i="578" s="1"/>
  <c r="D4" i="579" s="1"/>
  <c r="E5" i="570"/>
  <c r="B5" i="576"/>
  <c r="E5" i="576"/>
  <c r="B6" i="576"/>
  <c r="E6" i="576"/>
  <c r="B7" i="576"/>
  <c r="E7" i="576"/>
  <c r="B8" i="576"/>
  <c r="E8" i="576"/>
  <c r="B9" i="576"/>
  <c r="E9" i="576"/>
  <c r="B10" i="576"/>
  <c r="E10" i="576"/>
  <c r="B11" i="576"/>
  <c r="E11" i="576"/>
  <c r="B12" i="576"/>
  <c r="D12" i="576"/>
  <c r="E12" i="576"/>
  <c r="B13" i="576"/>
  <c r="D13" i="576"/>
  <c r="E13" i="576"/>
  <c r="B14" i="576"/>
  <c r="D14" i="576"/>
  <c r="E14" i="576"/>
  <c r="B15" i="576"/>
  <c r="D15" i="576"/>
  <c r="E15" i="576"/>
  <c r="B16" i="576"/>
  <c r="D16" i="576"/>
  <c r="E16" i="576"/>
  <c r="B17" i="576"/>
  <c r="D17" i="576"/>
  <c r="E17" i="576"/>
  <c r="B18" i="576"/>
  <c r="D18" i="576"/>
  <c r="E18" i="576"/>
  <c r="B19" i="576"/>
  <c r="D19" i="576"/>
  <c r="E19" i="576"/>
  <c r="B20" i="576"/>
  <c r="D20" i="576"/>
  <c r="E20" i="576"/>
  <c r="B21" i="576"/>
  <c r="D21" i="576"/>
  <c r="E21" i="576"/>
  <c r="B22" i="576"/>
  <c r="D22" i="576"/>
  <c r="E22" i="576"/>
  <c r="B23" i="576"/>
  <c r="D23" i="576"/>
  <c r="E23" i="576"/>
  <c r="B24" i="576"/>
  <c r="D24" i="576"/>
  <c r="E24" i="576"/>
  <c r="B25" i="576"/>
  <c r="D25" i="576"/>
  <c r="E25" i="576"/>
  <c r="B26" i="576"/>
  <c r="D26" i="576"/>
  <c r="E26" i="576"/>
  <c r="B27" i="576"/>
  <c r="D27" i="576"/>
  <c r="E27" i="576"/>
  <c r="B28" i="576"/>
  <c r="D28" i="576"/>
  <c r="E28" i="576"/>
  <c r="B29" i="576"/>
  <c r="D29" i="576"/>
  <c r="E29" i="576"/>
  <c r="B30" i="576"/>
  <c r="D30" i="576"/>
  <c r="E30" i="576"/>
  <c r="B31" i="576"/>
  <c r="D31" i="576"/>
  <c r="E31" i="576"/>
  <c r="B32" i="576"/>
  <c r="D32" i="576"/>
  <c r="E32" i="576"/>
  <c r="B33" i="576"/>
  <c r="D33" i="576"/>
  <c r="E33" i="576"/>
  <c r="B34" i="576"/>
  <c r="D34" i="576"/>
  <c r="E34" i="576"/>
  <c r="B35" i="576"/>
  <c r="D35" i="576"/>
  <c r="E35" i="576"/>
  <c r="B36" i="576"/>
  <c r="D36" i="576"/>
  <c r="E36" i="576"/>
  <c r="B37" i="576"/>
  <c r="D37" i="576"/>
  <c r="E37" i="576"/>
  <c r="B38" i="576"/>
  <c r="D38" i="576"/>
  <c r="E38" i="576"/>
  <c r="B39" i="576"/>
  <c r="D39" i="576"/>
  <c r="E39" i="576"/>
  <c r="B40" i="576"/>
  <c r="D40" i="576"/>
  <c r="E40" i="576"/>
  <c r="B41" i="576"/>
  <c r="D41" i="576"/>
  <c r="E41" i="576"/>
  <c r="B42" i="576"/>
  <c r="D42" i="576"/>
  <c r="E42" i="576"/>
  <c r="B43" i="576"/>
  <c r="D43" i="576"/>
  <c r="E43" i="576"/>
  <c r="B44" i="576"/>
  <c r="D44" i="576"/>
  <c r="E44" i="576"/>
  <c r="B45" i="576"/>
  <c r="D45" i="576"/>
  <c r="E45" i="576"/>
  <c r="B46" i="576"/>
  <c r="D46" i="576"/>
  <c r="E46" i="576"/>
  <c r="B47" i="576"/>
  <c r="D47" i="576"/>
  <c r="E47" i="576"/>
  <c r="B48" i="576"/>
  <c r="D48" i="576"/>
  <c r="E48" i="576"/>
  <c r="B49" i="576"/>
  <c r="D49" i="576"/>
  <c r="E49" i="576"/>
  <c r="B50" i="576"/>
  <c r="D50" i="576"/>
  <c r="E50" i="576"/>
  <c r="B51" i="576"/>
  <c r="D51" i="576"/>
  <c r="E51" i="576"/>
  <c r="B52" i="576"/>
  <c r="D52" i="576"/>
  <c r="E52" i="576"/>
  <c r="B53" i="576"/>
  <c r="D53" i="576"/>
  <c r="E53" i="576"/>
  <c r="B54" i="576"/>
  <c r="D54" i="576"/>
  <c r="E54" i="576"/>
  <c r="B55" i="576"/>
  <c r="D55" i="576"/>
  <c r="E55" i="576"/>
  <c r="B56" i="576"/>
  <c r="D56" i="576"/>
  <c r="E56" i="576"/>
  <c r="B57" i="576"/>
  <c r="D57" i="576"/>
  <c r="E57" i="576"/>
  <c r="B58" i="576"/>
  <c r="D58" i="576"/>
  <c r="E58" i="576"/>
  <c r="B59" i="576"/>
  <c r="D59" i="576"/>
  <c r="E59" i="576"/>
  <c r="B60" i="576"/>
  <c r="D60" i="576"/>
  <c r="E60" i="576"/>
  <c r="B61" i="576"/>
  <c r="D61" i="576"/>
  <c r="E61" i="576"/>
  <c r="B62" i="576"/>
  <c r="D62" i="576"/>
  <c r="E62" i="576"/>
  <c r="B63" i="576"/>
  <c r="D63" i="576"/>
  <c r="E63" i="576"/>
  <c r="B64" i="576"/>
  <c r="D64" i="576"/>
  <c r="E64" i="576"/>
  <c r="B65" i="576"/>
  <c r="D65" i="576"/>
  <c r="E65" i="576"/>
  <c r="B66" i="576"/>
  <c r="D66" i="576"/>
  <c r="E66" i="576"/>
  <c r="B67" i="576"/>
  <c r="D67" i="576"/>
  <c r="E67" i="576"/>
  <c r="B68" i="576"/>
  <c r="D68" i="576"/>
  <c r="E68" i="576"/>
  <c r="B69" i="576"/>
  <c r="D69" i="576"/>
  <c r="E69" i="576"/>
  <c r="B70" i="576"/>
  <c r="D70" i="576"/>
  <c r="E70" i="576"/>
  <c r="B71" i="576"/>
  <c r="D71" i="576"/>
  <c r="E71" i="576"/>
  <c r="B72" i="576"/>
  <c r="D72" i="576"/>
  <c r="E72" i="576"/>
  <c r="B73" i="576"/>
  <c r="D73" i="576"/>
  <c r="E73" i="576"/>
  <c r="B74" i="576"/>
  <c r="D74" i="576"/>
  <c r="E74" i="576"/>
  <c r="B75" i="576"/>
  <c r="D75" i="576"/>
  <c r="E75" i="576"/>
  <c r="B76" i="576"/>
  <c r="D76" i="576"/>
  <c r="E76" i="576"/>
  <c r="B77" i="576"/>
  <c r="D77" i="576"/>
  <c r="E77" i="576"/>
  <c r="B78" i="576"/>
  <c r="D78" i="576"/>
  <c r="E78" i="576"/>
  <c r="B79" i="576"/>
  <c r="D79" i="576"/>
  <c r="E79" i="576"/>
  <c r="B80" i="576"/>
  <c r="D80" i="576"/>
  <c r="E80" i="576"/>
  <c r="B81" i="576"/>
  <c r="D81" i="576"/>
  <c r="E81" i="576"/>
  <c r="B82" i="576"/>
  <c r="D82" i="576"/>
  <c r="E82" i="576"/>
  <c r="B83" i="576"/>
  <c r="D83" i="576"/>
  <c r="E83" i="576"/>
  <c r="B84" i="576"/>
  <c r="D84" i="576"/>
  <c r="E84" i="576"/>
  <c r="B85" i="576"/>
  <c r="D85" i="576"/>
  <c r="E85" i="576"/>
  <c r="B86" i="576"/>
  <c r="D86" i="576"/>
  <c r="E86" i="576"/>
  <c r="B87" i="576"/>
  <c r="D87" i="576"/>
  <c r="E87" i="576"/>
  <c r="B88" i="576"/>
  <c r="D88" i="576"/>
  <c r="E88" i="576"/>
  <c r="B89" i="576"/>
  <c r="D89" i="576"/>
  <c r="E89" i="576"/>
  <c r="B90" i="576"/>
  <c r="D90" i="576"/>
  <c r="E90" i="576"/>
  <c r="B91" i="576"/>
  <c r="D91" i="576"/>
  <c r="E91" i="576"/>
  <c r="B92" i="576"/>
  <c r="D92" i="576"/>
  <c r="E92" i="576"/>
  <c r="B93" i="576"/>
  <c r="D93" i="576"/>
  <c r="E93" i="576"/>
  <c r="B94" i="576"/>
  <c r="D94" i="576"/>
  <c r="E94" i="576"/>
  <c r="B95" i="576"/>
  <c r="D95" i="576"/>
  <c r="E95" i="576"/>
  <c r="B96" i="576"/>
  <c r="D96" i="576"/>
  <c r="E96" i="576"/>
  <c r="B97" i="576"/>
  <c r="D97" i="576"/>
  <c r="E97" i="576"/>
  <c r="B98" i="576"/>
  <c r="D98" i="576"/>
  <c r="E98" i="576"/>
  <c r="B99" i="576"/>
  <c r="D99" i="576"/>
  <c r="E99" i="576"/>
  <c r="B100" i="576"/>
  <c r="D100" i="576"/>
  <c r="E100" i="576"/>
  <c r="B101" i="576"/>
  <c r="D101" i="576"/>
  <c r="E101" i="576"/>
  <c r="B102" i="576"/>
  <c r="D102" i="576"/>
  <c r="E102" i="576"/>
  <c r="B103" i="576"/>
  <c r="D103" i="576"/>
  <c r="E103" i="576"/>
  <c r="B104" i="576"/>
  <c r="D104" i="576"/>
  <c r="E104" i="576"/>
  <c r="B105" i="576"/>
  <c r="D105" i="576"/>
  <c r="E105" i="576"/>
  <c r="B106" i="576"/>
  <c r="D106" i="576"/>
  <c r="E106" i="576"/>
  <c r="B107" i="576"/>
  <c r="D107" i="576"/>
  <c r="E107" i="576"/>
  <c r="B108" i="576"/>
  <c r="D108" i="576"/>
  <c r="E108" i="576"/>
  <c r="B109" i="576"/>
  <c r="D109" i="576"/>
  <c r="E109" i="576"/>
  <c r="B110" i="576"/>
  <c r="D110" i="576"/>
  <c r="E110" i="576"/>
  <c r="B111" i="576"/>
  <c r="D111" i="576"/>
  <c r="E111" i="576"/>
  <c r="B112" i="576"/>
  <c r="D112" i="576"/>
  <c r="E112" i="576"/>
  <c r="B113" i="576"/>
  <c r="D113" i="576"/>
  <c r="E113" i="576"/>
  <c r="B114" i="576"/>
  <c r="D114" i="576"/>
  <c r="E114" i="576"/>
  <c r="B115" i="576"/>
  <c r="D115" i="576"/>
  <c r="E115" i="576"/>
  <c r="B116" i="576"/>
  <c r="D116" i="576"/>
  <c r="E116" i="576"/>
  <c r="B117" i="576"/>
  <c r="D117" i="576"/>
  <c r="E117" i="576"/>
  <c r="B118" i="576"/>
  <c r="D118" i="576"/>
  <c r="E118" i="576"/>
  <c r="B119" i="576"/>
  <c r="D119" i="576"/>
  <c r="E119" i="576"/>
  <c r="B120" i="576"/>
  <c r="D120" i="576"/>
  <c r="E120" i="576"/>
  <c r="B121" i="576"/>
  <c r="D121" i="576"/>
  <c r="E121" i="576"/>
  <c r="B122" i="576"/>
  <c r="D122" i="576"/>
  <c r="E122" i="576"/>
  <c r="B123" i="576"/>
  <c r="D123" i="576"/>
  <c r="E123" i="576"/>
  <c r="B124" i="576"/>
  <c r="D124" i="576"/>
  <c r="E124" i="576"/>
  <c r="B125" i="576"/>
  <c r="D125" i="576"/>
  <c r="E125" i="576"/>
  <c r="B126" i="576"/>
  <c r="D126" i="576"/>
  <c r="E126" i="576"/>
  <c r="B127" i="576"/>
  <c r="D127" i="576"/>
  <c r="E127" i="576"/>
  <c r="B128" i="576"/>
  <c r="D128" i="576"/>
  <c r="E128" i="576"/>
  <c r="B129" i="576"/>
  <c r="D129" i="576"/>
  <c r="E129" i="576"/>
  <c r="B130" i="576"/>
  <c r="D130" i="576"/>
  <c r="E130" i="576"/>
  <c r="B131" i="576"/>
  <c r="D131" i="576"/>
  <c r="E131" i="576"/>
  <c r="B132" i="576"/>
  <c r="D132" i="576"/>
  <c r="E132" i="576"/>
  <c r="B133" i="576"/>
  <c r="D133" i="576"/>
  <c r="E133" i="576"/>
  <c r="B134" i="576"/>
  <c r="D134" i="576"/>
  <c r="E134" i="576"/>
  <c r="B135" i="576"/>
  <c r="D135" i="576"/>
  <c r="E135" i="576"/>
  <c r="B136" i="576"/>
  <c r="D136" i="576"/>
  <c r="E136" i="576"/>
  <c r="B137" i="576"/>
  <c r="D137" i="576"/>
  <c r="E137" i="576"/>
  <c r="B138" i="576"/>
  <c r="D138" i="576"/>
  <c r="E138" i="576"/>
  <c r="B139" i="576"/>
  <c r="D139" i="576"/>
  <c r="E139" i="576"/>
  <c r="B140" i="576"/>
  <c r="D140" i="576"/>
  <c r="E140" i="576"/>
  <c r="B141" i="576"/>
  <c r="D141" i="576"/>
  <c r="E141" i="576"/>
  <c r="B142" i="576"/>
  <c r="D142" i="576"/>
  <c r="E142" i="576"/>
  <c r="B143" i="576"/>
  <c r="D143" i="576"/>
  <c r="E143" i="576"/>
  <c r="B144" i="576"/>
  <c r="D144" i="576"/>
  <c r="E144" i="576"/>
  <c r="B145" i="576"/>
  <c r="D145" i="576"/>
  <c r="E145" i="576"/>
  <c r="B146" i="576"/>
  <c r="D146" i="576"/>
  <c r="E146" i="576"/>
  <c r="B147" i="576"/>
  <c r="D147" i="576"/>
  <c r="E147" i="576"/>
  <c r="B148" i="576"/>
  <c r="D148" i="576"/>
  <c r="E148" i="576"/>
  <c r="B149" i="576"/>
  <c r="D149" i="576"/>
  <c r="E149" i="576"/>
  <c r="B150" i="576"/>
  <c r="D150" i="576"/>
  <c r="E150" i="576"/>
  <c r="B151" i="576"/>
  <c r="D151" i="576"/>
  <c r="E151" i="576"/>
  <c r="B152" i="576"/>
  <c r="D152" i="576"/>
  <c r="E152" i="576"/>
  <c r="B153" i="576"/>
  <c r="D153" i="576"/>
  <c r="E153" i="576"/>
  <c r="B154" i="576"/>
  <c r="D154" i="576"/>
  <c r="E154" i="576"/>
  <c r="B155" i="576"/>
  <c r="D155" i="576"/>
  <c r="E155" i="576"/>
  <c r="B156" i="576"/>
  <c r="D156" i="576"/>
  <c r="E156" i="576"/>
  <c r="B157" i="576"/>
  <c r="D157" i="576"/>
  <c r="E157" i="576"/>
  <c r="B158" i="576"/>
  <c r="D158" i="576"/>
  <c r="E158" i="576"/>
  <c r="B159" i="576"/>
  <c r="D159" i="576"/>
  <c r="E159" i="576"/>
  <c r="B160" i="576"/>
  <c r="D160" i="576"/>
  <c r="E160" i="576"/>
  <c r="B161" i="576"/>
  <c r="D161" i="576"/>
  <c r="E161" i="576"/>
  <c r="B162" i="576"/>
  <c r="D162" i="576"/>
  <c r="E162" i="576"/>
  <c r="B163" i="576"/>
  <c r="D163" i="576"/>
  <c r="E163" i="576"/>
  <c r="B164" i="576"/>
  <c r="D164" i="576"/>
  <c r="E164" i="576"/>
  <c r="B165" i="576"/>
  <c r="D165" i="576"/>
  <c r="E165" i="576"/>
  <c r="B166" i="576"/>
  <c r="D166" i="576"/>
  <c r="E166" i="576"/>
  <c r="B167" i="576"/>
  <c r="D167" i="576"/>
  <c r="E167" i="576"/>
  <c r="B168" i="576"/>
  <c r="D168" i="576"/>
  <c r="E168" i="576"/>
  <c r="B169" i="576"/>
  <c r="D169" i="576"/>
  <c r="E169" i="576"/>
  <c r="B170" i="576"/>
  <c r="D170" i="576"/>
  <c r="E170" i="576"/>
  <c r="B171" i="576"/>
  <c r="D171" i="576"/>
  <c r="E171" i="576"/>
  <c r="B172" i="576"/>
  <c r="D172" i="576"/>
  <c r="E172" i="576"/>
  <c r="B173" i="576"/>
  <c r="D173" i="576"/>
  <c r="E173" i="576"/>
  <c r="B174" i="576"/>
  <c r="D174" i="576"/>
  <c r="E174" i="576"/>
  <c r="B175" i="576"/>
  <c r="D175" i="576"/>
  <c r="E175" i="576"/>
  <c r="B176" i="576"/>
  <c r="D176" i="576"/>
  <c r="E176" i="576"/>
  <c r="B177" i="576"/>
  <c r="D177" i="576"/>
  <c r="E177" i="576"/>
  <c r="B178" i="576"/>
  <c r="D178" i="576"/>
  <c r="E178" i="576"/>
  <c r="B179" i="576"/>
  <c r="D179" i="576"/>
  <c r="E179" i="576"/>
  <c r="B180" i="576"/>
  <c r="D180" i="576"/>
  <c r="E180" i="576"/>
  <c r="B181" i="576"/>
  <c r="D181" i="576"/>
  <c r="E181" i="576"/>
  <c r="B182" i="576"/>
  <c r="D182" i="576"/>
  <c r="E182" i="576"/>
  <c r="B183" i="576"/>
  <c r="D183" i="576"/>
  <c r="E183" i="576"/>
  <c r="B184" i="576"/>
  <c r="D184" i="576"/>
  <c r="E184" i="576"/>
  <c r="B185" i="576"/>
  <c r="D185" i="576"/>
  <c r="E185" i="576"/>
  <c r="B186" i="576"/>
  <c r="D186" i="576"/>
  <c r="E186" i="576"/>
  <c r="B187" i="576"/>
  <c r="D187" i="576"/>
  <c r="E187" i="576"/>
  <c r="B188" i="576"/>
  <c r="D188" i="576"/>
  <c r="E188" i="576"/>
  <c r="B189" i="576"/>
  <c r="D189" i="576"/>
  <c r="E189" i="576"/>
  <c r="B190" i="576"/>
  <c r="D190" i="576"/>
  <c r="E190" i="576"/>
  <c r="B191" i="576"/>
  <c r="D191" i="576"/>
  <c r="E191" i="576"/>
  <c r="B192" i="576"/>
  <c r="D192" i="576"/>
  <c r="E192" i="576"/>
  <c r="B193" i="576"/>
  <c r="D193" i="576"/>
  <c r="E193" i="576"/>
  <c r="B194" i="576"/>
  <c r="D194" i="576"/>
  <c r="E194" i="576"/>
  <c r="B195" i="576"/>
  <c r="D195" i="576"/>
  <c r="E195" i="576"/>
  <c r="B196" i="576"/>
  <c r="D196" i="576"/>
  <c r="E196" i="576"/>
  <c r="B197" i="576"/>
  <c r="D197" i="576"/>
  <c r="E197" i="576"/>
  <c r="B198" i="576"/>
  <c r="D198" i="576"/>
  <c r="E198" i="576"/>
  <c r="B199" i="576"/>
  <c r="D199" i="576"/>
  <c r="E199" i="576"/>
  <c r="B200" i="576"/>
  <c r="D200" i="576"/>
  <c r="E200" i="576"/>
  <c r="B201" i="576"/>
  <c r="D201" i="576"/>
  <c r="E201" i="576"/>
  <c r="B202" i="576"/>
  <c r="D202" i="576"/>
  <c r="E202" i="576"/>
  <c r="B203" i="576"/>
  <c r="D203" i="576"/>
  <c r="E203" i="576"/>
  <c r="B204" i="576"/>
  <c r="D204" i="576"/>
  <c r="E204" i="576"/>
  <c r="B205" i="576"/>
  <c r="D205" i="576"/>
  <c r="E205" i="576"/>
  <c r="B206" i="576"/>
  <c r="D206" i="576"/>
  <c r="E206" i="576"/>
  <c r="B207" i="576"/>
  <c r="D207" i="576"/>
  <c r="E207" i="576"/>
  <c r="B208" i="576"/>
  <c r="D208" i="576"/>
  <c r="E208" i="576"/>
  <c r="B209" i="576"/>
  <c r="D209" i="576"/>
  <c r="E209" i="576"/>
  <c r="B210" i="576"/>
  <c r="D210" i="576"/>
  <c r="E210" i="576"/>
  <c r="E4" i="576"/>
  <c r="B4" i="576"/>
  <c r="A5" i="576"/>
  <c r="A6" i="576" s="1"/>
  <c r="A7" i="576" s="1"/>
  <c r="A8" i="576" s="1"/>
  <c r="A9" i="576" s="1"/>
  <c r="A10" i="576" s="1"/>
  <c r="A11" i="576" s="1"/>
  <c r="A12" i="576" s="1"/>
  <c r="A13" i="576" s="1"/>
  <c r="A14" i="576" s="1"/>
  <c r="A15" i="576" s="1"/>
  <c r="A16" i="576" s="1"/>
  <c r="A17" i="576" s="1"/>
  <c r="A18" i="576" s="1"/>
  <c r="A19" i="576" s="1"/>
  <c r="A20" i="576" s="1"/>
  <c r="A21" i="576" s="1"/>
  <c r="A22" i="576" s="1"/>
  <c r="A23" i="576" s="1"/>
  <c r="A24" i="576" s="1"/>
  <c r="A25" i="576" s="1"/>
  <c r="A26" i="576" s="1"/>
  <c r="A27" i="576" s="1"/>
  <c r="A28" i="576" s="1"/>
  <c r="A29" i="576" s="1"/>
  <c r="A30" i="576" s="1"/>
  <c r="A31" i="576" s="1"/>
  <c r="A32" i="576" s="1"/>
  <c r="A33" i="576" s="1"/>
  <c r="A34" i="576" s="1"/>
  <c r="A35" i="576" s="1"/>
  <c r="A36" i="576" s="1"/>
  <c r="A37" i="576" s="1"/>
  <c r="A38" i="576" s="1"/>
  <c r="A39" i="576" s="1"/>
  <c r="A40" i="576" s="1"/>
  <c r="A41" i="576" s="1"/>
  <c r="A42" i="576" s="1"/>
  <c r="A43" i="576" s="1"/>
  <c r="A44" i="576" s="1"/>
  <c r="A45" i="576" s="1"/>
  <c r="A46" i="576" s="1"/>
  <c r="A47" i="576" s="1"/>
  <c r="A48" i="576" s="1"/>
  <c r="A49" i="576" s="1"/>
  <c r="A50" i="576" s="1"/>
  <c r="A51" i="576" s="1"/>
  <c r="A52" i="576" s="1"/>
  <c r="A53" i="576" s="1"/>
  <c r="A54" i="576" s="1"/>
  <c r="A55" i="576" s="1"/>
  <c r="A56" i="576" s="1"/>
  <c r="A57" i="576" s="1"/>
  <c r="A58" i="576" s="1"/>
  <c r="A59" i="576" s="1"/>
  <c r="A60" i="576" s="1"/>
  <c r="A61" i="576" s="1"/>
  <c r="A62" i="576" s="1"/>
  <c r="A63" i="576" s="1"/>
  <c r="A64" i="576" s="1"/>
  <c r="A65" i="576" s="1"/>
  <c r="A66" i="576" s="1"/>
  <c r="A67" i="576" s="1"/>
  <c r="A68" i="576" s="1"/>
  <c r="A69" i="576" s="1"/>
  <c r="A70" i="576" s="1"/>
  <c r="A71" i="576" s="1"/>
  <c r="A72" i="576" s="1"/>
  <c r="A73" i="576" s="1"/>
  <c r="A74" i="576" s="1"/>
  <c r="A75" i="576" s="1"/>
  <c r="A76" i="576" s="1"/>
  <c r="A77" i="576" s="1"/>
  <c r="A78" i="576" s="1"/>
  <c r="A79" i="576" s="1"/>
  <c r="A80" i="576" s="1"/>
  <c r="A81" i="576" s="1"/>
  <c r="A82" i="576" s="1"/>
  <c r="A83" i="576" s="1"/>
  <c r="A84" i="576" s="1"/>
  <c r="A85" i="576" s="1"/>
  <c r="A86" i="576" s="1"/>
  <c r="A87" i="576" s="1"/>
  <c r="A88" i="576" s="1"/>
  <c r="A89" i="576" s="1"/>
  <c r="A90" i="576" s="1"/>
  <c r="A91" i="576" s="1"/>
  <c r="A92" i="576" s="1"/>
  <c r="A93" i="576" s="1"/>
  <c r="A94" i="576" s="1"/>
  <c r="A95" i="576" s="1"/>
  <c r="A96" i="576" s="1"/>
  <c r="A97" i="576" s="1"/>
  <c r="A98" i="576" s="1"/>
  <c r="A99" i="576" s="1"/>
  <c r="A100" i="576" s="1"/>
  <c r="A101" i="576" s="1"/>
  <c r="A102" i="576" s="1"/>
  <c r="A103" i="576" s="1"/>
  <c r="A104" i="576" s="1"/>
  <c r="A105" i="576" s="1"/>
  <c r="A106" i="576" s="1"/>
  <c r="A107" i="576" s="1"/>
  <c r="A108" i="576" s="1"/>
  <c r="A109" i="576" s="1"/>
  <c r="A110" i="576" s="1"/>
  <c r="A111" i="576" s="1"/>
  <c r="A112" i="576" s="1"/>
  <c r="A113" i="576" s="1"/>
  <c r="A114" i="576" s="1"/>
  <c r="A115" i="576" s="1"/>
  <c r="A116" i="576" s="1"/>
  <c r="A117" i="576" s="1"/>
  <c r="A118" i="576" s="1"/>
  <c r="A119" i="576" s="1"/>
  <c r="A120" i="576" s="1"/>
  <c r="A121" i="576" s="1"/>
  <c r="A122" i="576" s="1"/>
  <c r="A123" i="576" s="1"/>
  <c r="A124" i="576" s="1"/>
  <c r="A125" i="576" s="1"/>
  <c r="A126" i="576" s="1"/>
  <c r="A127" i="576" s="1"/>
  <c r="A128" i="576" s="1"/>
  <c r="A129" i="576" s="1"/>
  <c r="A130" i="576" s="1"/>
  <c r="A131" i="576" s="1"/>
  <c r="A132" i="576" s="1"/>
  <c r="A133" i="576" s="1"/>
  <c r="A134" i="576" s="1"/>
  <c r="A135" i="576" s="1"/>
  <c r="A136" i="576" s="1"/>
  <c r="A137" i="576" s="1"/>
  <c r="A138" i="576" s="1"/>
  <c r="A139" i="576" s="1"/>
  <c r="A140" i="576" s="1"/>
  <c r="A141" i="576" s="1"/>
  <c r="A142" i="576" s="1"/>
  <c r="A143" i="576" s="1"/>
  <c r="A144" i="576" s="1"/>
  <c r="A145" i="576" s="1"/>
  <c r="A146" i="576" s="1"/>
  <c r="A147" i="576" s="1"/>
  <c r="A148" i="576" s="1"/>
  <c r="A149" i="576" s="1"/>
  <c r="A150" i="576" s="1"/>
  <c r="A151" i="576" s="1"/>
  <c r="A152" i="576" s="1"/>
  <c r="A153" i="576" s="1"/>
  <c r="A154" i="576" s="1"/>
  <c r="A155" i="576" s="1"/>
  <c r="A156" i="576" s="1"/>
  <c r="A157" i="576" s="1"/>
  <c r="A158" i="576" s="1"/>
  <c r="A159" i="576" s="1"/>
  <c r="A160" i="576" s="1"/>
  <c r="A161" i="576" s="1"/>
  <c r="A162" i="576" s="1"/>
  <c r="A163" i="576" s="1"/>
  <c r="A164" i="576" s="1"/>
  <c r="A165" i="576" s="1"/>
  <c r="A166" i="576" s="1"/>
  <c r="A167" i="576" s="1"/>
  <c r="A168" i="576" s="1"/>
  <c r="A169" i="576" s="1"/>
  <c r="A170" i="576" s="1"/>
  <c r="A171" i="576" s="1"/>
  <c r="A172" i="576" s="1"/>
  <c r="A173" i="576" s="1"/>
  <c r="A174" i="576" s="1"/>
  <c r="A175" i="576" s="1"/>
  <c r="A176" i="576" s="1"/>
  <c r="A177" i="576" s="1"/>
  <c r="A178" i="576" s="1"/>
  <c r="A179" i="576" s="1"/>
  <c r="A180" i="576" s="1"/>
  <c r="A181" i="576" s="1"/>
  <c r="A182" i="576" s="1"/>
  <c r="A183" i="576" s="1"/>
  <c r="A184" i="576" s="1"/>
  <c r="A185" i="576" s="1"/>
  <c r="A186" i="576" s="1"/>
  <c r="A187" i="576" s="1"/>
  <c r="A188" i="576" s="1"/>
  <c r="A189" i="576" s="1"/>
  <c r="A190" i="576" s="1"/>
  <c r="A191" i="576" s="1"/>
  <c r="A192" i="576" s="1"/>
  <c r="A193" i="576" s="1"/>
  <c r="A194" i="576" s="1"/>
  <c r="A195" i="576" s="1"/>
  <c r="A196" i="576" s="1"/>
  <c r="A197" i="576" s="1"/>
  <c r="A198" i="576" s="1"/>
  <c r="A199" i="576" s="1"/>
  <c r="A200" i="576" s="1"/>
  <c r="A201" i="576" s="1"/>
  <c r="A202" i="576" s="1"/>
  <c r="A203" i="576" s="1"/>
  <c r="A204" i="576" s="1"/>
  <c r="A205" i="576" s="1"/>
  <c r="A206" i="576" s="1"/>
  <c r="A207" i="576" s="1"/>
  <c r="A208" i="576" s="1"/>
  <c r="A209" i="576" s="1"/>
  <c r="A210" i="576" s="1"/>
  <c r="I11" i="575"/>
  <c r="I12" i="575"/>
  <c r="I13" i="575"/>
  <c r="I14" i="575"/>
  <c r="I15" i="575"/>
  <c r="I16" i="575"/>
  <c r="I17" i="575"/>
  <c r="I18" i="575"/>
  <c r="I19" i="575"/>
  <c r="I20" i="575"/>
  <c r="I21" i="575"/>
  <c r="I22" i="575"/>
  <c r="I23" i="575"/>
  <c r="I24" i="575"/>
  <c r="I25" i="575"/>
  <c r="I26" i="575"/>
  <c r="I27" i="575"/>
  <c r="I28" i="575"/>
  <c r="I29" i="575"/>
  <c r="I30" i="575"/>
  <c r="I31" i="575"/>
  <c r="I32" i="575"/>
  <c r="I33" i="575"/>
  <c r="I34" i="575"/>
  <c r="I35" i="575"/>
  <c r="I36" i="575"/>
  <c r="I37" i="575"/>
  <c r="I38" i="575"/>
  <c r="I39" i="575"/>
  <c r="I40" i="575"/>
  <c r="I41" i="575"/>
  <c r="I42" i="575"/>
  <c r="I43" i="575"/>
  <c r="I44" i="575"/>
  <c r="I45" i="575"/>
  <c r="I46" i="575"/>
  <c r="I47" i="575"/>
  <c r="I48" i="575"/>
  <c r="I49" i="575"/>
  <c r="I50" i="575"/>
  <c r="I51" i="575"/>
  <c r="I52" i="575"/>
  <c r="I53" i="575"/>
  <c r="I54" i="575"/>
  <c r="I55" i="575"/>
  <c r="I56" i="575"/>
  <c r="I57" i="575"/>
  <c r="I58" i="575"/>
  <c r="I59" i="575"/>
  <c r="I60" i="575"/>
  <c r="I61" i="575"/>
  <c r="I62" i="575"/>
  <c r="I63" i="575"/>
  <c r="I64" i="575"/>
  <c r="I65" i="575"/>
  <c r="I66" i="575"/>
  <c r="I67" i="575"/>
  <c r="I68" i="575"/>
  <c r="I69" i="575"/>
  <c r="I70" i="575"/>
  <c r="I71" i="575"/>
  <c r="I72" i="575"/>
  <c r="I73" i="575"/>
  <c r="I74" i="575"/>
  <c r="I75" i="575"/>
  <c r="I76" i="575"/>
  <c r="I77" i="575"/>
  <c r="I78" i="575"/>
  <c r="I79" i="575"/>
  <c r="I80" i="575"/>
  <c r="I81" i="575"/>
  <c r="I82" i="575"/>
  <c r="I83" i="575"/>
  <c r="I84" i="575"/>
  <c r="I85" i="575"/>
  <c r="I86" i="575"/>
  <c r="I87" i="575"/>
  <c r="I88" i="575"/>
  <c r="I89" i="575"/>
  <c r="I90" i="575"/>
  <c r="I91" i="575"/>
  <c r="I92" i="575"/>
  <c r="I93" i="575"/>
  <c r="I94" i="575"/>
  <c r="I95" i="575"/>
  <c r="I96" i="575"/>
  <c r="I97" i="575"/>
  <c r="I98" i="575"/>
  <c r="I99" i="575"/>
  <c r="I100" i="575"/>
  <c r="I101" i="575"/>
  <c r="I102" i="575"/>
  <c r="I103" i="575"/>
  <c r="I104" i="575"/>
  <c r="I105" i="575"/>
  <c r="I106" i="575"/>
  <c r="I107" i="575"/>
  <c r="I108" i="575"/>
  <c r="I109" i="575"/>
  <c r="I110" i="575"/>
  <c r="I111" i="575"/>
  <c r="I112" i="575"/>
  <c r="I113" i="575"/>
  <c r="I114" i="575"/>
  <c r="I115" i="575"/>
  <c r="I116" i="575"/>
  <c r="I117" i="575"/>
  <c r="I118" i="575"/>
  <c r="I119" i="575"/>
  <c r="I120" i="575"/>
  <c r="I121" i="575"/>
  <c r="I122" i="575"/>
  <c r="I123" i="575"/>
  <c r="I124" i="575"/>
  <c r="I125" i="575"/>
  <c r="I126" i="575"/>
  <c r="I127" i="575"/>
  <c r="I128" i="575"/>
  <c r="I129" i="575"/>
  <c r="I130" i="575"/>
  <c r="I131" i="575"/>
  <c r="I132" i="575"/>
  <c r="I133" i="575"/>
  <c r="I134" i="575"/>
  <c r="I135" i="575"/>
  <c r="I136" i="575"/>
  <c r="I137" i="575"/>
  <c r="I138" i="575"/>
  <c r="I139" i="575"/>
  <c r="I140" i="575"/>
  <c r="I141" i="575"/>
  <c r="I142" i="575"/>
  <c r="I143" i="575"/>
  <c r="I144" i="575"/>
  <c r="I145" i="575"/>
  <c r="I146" i="575"/>
  <c r="I147" i="575"/>
  <c r="I148" i="575"/>
  <c r="I149" i="575"/>
  <c r="I150" i="575"/>
  <c r="I151" i="575"/>
  <c r="I152" i="575"/>
  <c r="I153" i="575"/>
  <c r="I154" i="575"/>
  <c r="I155" i="575"/>
  <c r="I156" i="575"/>
  <c r="I157" i="575"/>
  <c r="I158" i="575"/>
  <c r="I159" i="575"/>
  <c r="I160" i="575"/>
  <c r="I161" i="575"/>
  <c r="I162" i="575"/>
  <c r="I163" i="575"/>
  <c r="I164" i="575"/>
  <c r="I165" i="575"/>
  <c r="I166" i="575"/>
  <c r="I167" i="575"/>
  <c r="I168" i="575"/>
  <c r="I169" i="575"/>
  <c r="I170" i="575"/>
  <c r="I171" i="575"/>
  <c r="I172" i="575"/>
  <c r="I173" i="575"/>
  <c r="I174" i="575"/>
  <c r="I175" i="575"/>
  <c r="I176" i="575"/>
  <c r="I177" i="575"/>
  <c r="I178" i="575"/>
  <c r="I179" i="575"/>
  <c r="I180" i="575"/>
  <c r="I181" i="575"/>
  <c r="I182" i="575"/>
  <c r="I183" i="575"/>
  <c r="I184" i="575"/>
  <c r="I185" i="575"/>
  <c r="I186" i="575"/>
  <c r="I187" i="575"/>
  <c r="I188" i="575"/>
  <c r="I189" i="575"/>
  <c r="I190" i="575"/>
  <c r="I191" i="575"/>
  <c r="I192" i="575"/>
  <c r="I193" i="575"/>
  <c r="I194" i="575"/>
  <c r="I195" i="575"/>
  <c r="I196" i="575"/>
  <c r="I197" i="575"/>
  <c r="I198" i="575"/>
  <c r="I199" i="575"/>
  <c r="I200" i="575"/>
  <c r="I201" i="575"/>
  <c r="I202" i="575"/>
  <c r="I203" i="575"/>
  <c r="I204" i="575"/>
  <c r="I205" i="575"/>
  <c r="I206" i="575"/>
  <c r="I207" i="575"/>
  <c r="I208" i="575"/>
  <c r="I209" i="575"/>
  <c r="I210" i="575"/>
  <c r="I211" i="575"/>
  <c r="I212" i="575"/>
  <c r="I213" i="575"/>
  <c r="I214" i="575"/>
  <c r="I215" i="575"/>
  <c r="I216" i="575"/>
  <c r="I217" i="575"/>
  <c r="I218" i="575"/>
  <c r="I219" i="575"/>
  <c r="I220" i="575"/>
  <c r="I221" i="575"/>
  <c r="I222" i="575"/>
  <c r="I223" i="575"/>
  <c r="I224" i="575"/>
  <c r="I225" i="575"/>
  <c r="I226" i="575"/>
  <c r="I227" i="575"/>
  <c r="I228" i="575"/>
  <c r="I229" i="575"/>
  <c r="I230" i="575"/>
  <c r="I231" i="575"/>
  <c r="I232" i="575"/>
  <c r="I233" i="575"/>
  <c r="I234" i="575"/>
  <c r="I235" i="575"/>
  <c r="I236" i="575"/>
  <c r="I237" i="575"/>
  <c r="I238" i="575"/>
  <c r="I239" i="575"/>
  <c r="I240" i="575"/>
  <c r="I241" i="575"/>
  <c r="I460" i="575"/>
  <c r="I459" i="575"/>
  <c r="I458" i="575"/>
  <c r="I457" i="575"/>
  <c r="I456" i="575"/>
  <c r="I455" i="575"/>
  <c r="I454" i="575"/>
  <c r="I453" i="575"/>
  <c r="I452" i="575"/>
  <c r="I451" i="575"/>
  <c r="I450" i="575"/>
  <c r="I449" i="575"/>
  <c r="I448" i="575"/>
  <c r="I447" i="575"/>
  <c r="I446" i="575"/>
  <c r="I445" i="575"/>
  <c r="I444" i="575"/>
  <c r="I443" i="575"/>
  <c r="I442" i="575"/>
  <c r="I441" i="575"/>
  <c r="I440" i="575"/>
  <c r="I439" i="575"/>
  <c r="I438" i="575"/>
  <c r="I437" i="575"/>
  <c r="I436" i="575"/>
  <c r="I435" i="575"/>
  <c r="I434" i="575"/>
  <c r="I433" i="575"/>
  <c r="I432" i="575"/>
  <c r="I431" i="575"/>
  <c r="I430" i="575"/>
  <c r="I429" i="575"/>
  <c r="I428" i="575"/>
  <c r="I427" i="575"/>
  <c r="I426" i="575"/>
  <c r="I425" i="575"/>
  <c r="I424" i="575"/>
  <c r="I423" i="575"/>
  <c r="I422" i="575"/>
  <c r="I421" i="575"/>
  <c r="I420" i="575"/>
  <c r="I419" i="575"/>
  <c r="I418" i="575"/>
  <c r="I417" i="575"/>
  <c r="I416" i="575"/>
  <c r="I415" i="575"/>
  <c r="I414" i="575"/>
  <c r="I413" i="575"/>
  <c r="I412" i="575"/>
  <c r="I411" i="575"/>
  <c r="I410" i="575"/>
  <c r="I409" i="575"/>
  <c r="I408" i="575"/>
  <c r="I407" i="575"/>
  <c r="I406" i="575"/>
  <c r="I405" i="575"/>
  <c r="I404" i="575"/>
  <c r="I403" i="575"/>
  <c r="I402" i="575"/>
  <c r="I401" i="575"/>
  <c r="I400" i="575"/>
  <c r="I399" i="575"/>
  <c r="I398" i="575"/>
  <c r="I397" i="575"/>
  <c r="I396" i="575"/>
  <c r="I395" i="575"/>
  <c r="I394" i="575"/>
  <c r="I393" i="575"/>
  <c r="I392" i="575"/>
  <c r="I391" i="575"/>
  <c r="I390" i="575"/>
  <c r="I389" i="575"/>
  <c r="I388" i="575"/>
  <c r="I387" i="575"/>
  <c r="I386" i="575"/>
  <c r="I385" i="575"/>
  <c r="I384" i="575"/>
  <c r="I383" i="575"/>
  <c r="I382" i="575"/>
  <c r="I381" i="575"/>
  <c r="I380" i="575"/>
  <c r="I379" i="575"/>
  <c r="I378" i="575"/>
  <c r="I377" i="575"/>
  <c r="I376" i="575"/>
  <c r="I375" i="575"/>
  <c r="I374" i="575"/>
  <c r="I373" i="575"/>
  <c r="I372" i="575"/>
  <c r="I371" i="575"/>
  <c r="I370" i="575"/>
  <c r="I369" i="575"/>
  <c r="I368" i="575"/>
  <c r="I367" i="575"/>
  <c r="I366" i="575"/>
  <c r="I365" i="575"/>
  <c r="I364" i="575"/>
  <c r="I363" i="575"/>
  <c r="I362" i="575"/>
  <c r="I361" i="575"/>
  <c r="I360" i="575"/>
  <c r="I359" i="575"/>
  <c r="I358" i="575"/>
  <c r="I357" i="575"/>
  <c r="I356" i="575"/>
  <c r="I355" i="575"/>
  <c r="I354" i="575"/>
  <c r="I353" i="575"/>
  <c r="I352" i="575"/>
  <c r="I351" i="575"/>
  <c r="I350" i="575"/>
  <c r="I349" i="575"/>
  <c r="I348" i="575"/>
  <c r="I347" i="575"/>
  <c r="I346" i="575"/>
  <c r="I345" i="575"/>
  <c r="I344" i="575"/>
  <c r="I343" i="575"/>
  <c r="I342" i="575"/>
  <c r="I341" i="575"/>
  <c r="I340" i="575"/>
  <c r="I339" i="575"/>
  <c r="I338" i="575"/>
  <c r="I337" i="575"/>
  <c r="I336" i="575"/>
  <c r="I335" i="575"/>
  <c r="I334" i="575"/>
  <c r="I333" i="575"/>
  <c r="I332" i="575"/>
  <c r="I331" i="575"/>
  <c r="I330" i="575"/>
  <c r="I329" i="575"/>
  <c r="I328" i="575"/>
  <c r="I327" i="575"/>
  <c r="I326" i="575"/>
  <c r="I325" i="575"/>
  <c r="I324" i="575"/>
  <c r="I323" i="575"/>
  <c r="I322" i="575"/>
  <c r="I321" i="575"/>
  <c r="I320" i="575"/>
  <c r="I319" i="575"/>
  <c r="I318" i="575"/>
  <c r="I317" i="575"/>
  <c r="I316" i="575"/>
  <c r="I315" i="575"/>
  <c r="I314" i="575"/>
  <c r="I313" i="575"/>
  <c r="I312" i="575"/>
  <c r="I311" i="575"/>
  <c r="I310" i="575"/>
  <c r="I309" i="575"/>
  <c r="I308" i="575"/>
  <c r="I307" i="575"/>
  <c r="I306" i="575"/>
  <c r="I305" i="575"/>
  <c r="I304" i="575"/>
  <c r="I303" i="575"/>
  <c r="I302" i="575"/>
  <c r="I301" i="575"/>
  <c r="I300" i="575"/>
  <c r="I299" i="575"/>
  <c r="I298" i="575"/>
  <c r="I297" i="575"/>
  <c r="I296" i="575"/>
  <c r="I295" i="575"/>
  <c r="I294" i="575"/>
  <c r="I293" i="575"/>
  <c r="I292" i="575"/>
  <c r="I291" i="575"/>
  <c r="I290" i="575"/>
  <c r="I289" i="575"/>
  <c r="I288" i="575"/>
  <c r="I287" i="575"/>
  <c r="I286" i="575"/>
  <c r="I285" i="575"/>
  <c r="I284" i="575"/>
  <c r="I283" i="575"/>
  <c r="I282" i="575"/>
  <c r="I281" i="575"/>
  <c r="I280" i="575"/>
  <c r="I279" i="575"/>
  <c r="I278" i="575"/>
  <c r="I277" i="575"/>
  <c r="I276" i="575"/>
  <c r="I275" i="575"/>
  <c r="I274" i="575"/>
  <c r="I273" i="575"/>
  <c r="I272" i="575"/>
  <c r="I271" i="575"/>
  <c r="I270" i="575"/>
  <c r="I269" i="575"/>
  <c r="I268" i="575"/>
  <c r="I267" i="575"/>
  <c r="I266" i="575"/>
  <c r="I265" i="575"/>
  <c r="I264" i="575"/>
  <c r="I263" i="575"/>
  <c r="I262" i="575"/>
  <c r="I261" i="575"/>
  <c r="I260" i="575"/>
  <c r="I259" i="575"/>
  <c r="I258" i="575"/>
  <c r="I257" i="575"/>
  <c r="I256" i="575"/>
  <c r="I255" i="575"/>
  <c r="I254" i="575"/>
  <c r="I253" i="575"/>
  <c r="I252" i="575"/>
  <c r="I251" i="575"/>
  <c r="I250" i="575"/>
  <c r="I249" i="575"/>
  <c r="I248" i="575"/>
  <c r="I247" i="575"/>
  <c r="I246" i="575"/>
  <c r="I245" i="575"/>
  <c r="I244" i="575"/>
  <c r="I243" i="575"/>
  <c r="I242" i="575"/>
  <c r="H27" i="575"/>
  <c r="H26" i="575"/>
  <c r="H25" i="575"/>
  <c r="H24" i="575"/>
  <c r="H23" i="575"/>
  <c r="H22" i="575"/>
  <c r="H21" i="575"/>
  <c r="H20" i="575"/>
  <c r="H19" i="575"/>
  <c r="H18" i="575"/>
  <c r="H17" i="575"/>
  <c r="H16" i="575"/>
  <c r="H15" i="575"/>
  <c r="H14" i="575"/>
  <c r="H13" i="575"/>
  <c r="H12" i="575"/>
  <c r="H11" i="575"/>
  <c r="H10" i="575"/>
  <c r="I10" i="575" s="1"/>
  <c r="D11" i="576" s="1"/>
  <c r="H9" i="575"/>
  <c r="I9" i="575" s="1"/>
  <c r="D10" i="576" s="1"/>
  <c r="H8" i="575"/>
  <c r="I8" i="575" s="1"/>
  <c r="D9" i="576" s="1"/>
  <c r="H7" i="575"/>
  <c r="I7" i="575" s="1"/>
  <c r="D8" i="576" s="1"/>
  <c r="H6" i="575"/>
  <c r="I6" i="575" s="1"/>
  <c r="D7" i="576" s="1"/>
  <c r="H5" i="575"/>
  <c r="I5" i="575" s="1"/>
  <c r="D6" i="576" s="1"/>
  <c r="H4" i="575"/>
  <c r="I4" i="575" s="1"/>
  <c r="D5" i="576" s="1"/>
  <c r="H3" i="575"/>
  <c r="I3" i="575" s="1"/>
  <c r="D4" i="576" s="1"/>
  <c r="B6" i="570"/>
  <c r="E6" i="570"/>
  <c r="G6" i="570"/>
  <c r="B7" i="570"/>
  <c r="E7" i="570"/>
  <c r="G7" i="570"/>
  <c r="B8" i="570"/>
  <c r="E8" i="570"/>
  <c r="G8" i="570"/>
  <c r="B9" i="570"/>
  <c r="E9" i="570"/>
  <c r="G9" i="570"/>
  <c r="B10" i="570"/>
  <c r="E10" i="570"/>
  <c r="G10" i="570"/>
  <c r="B11" i="570"/>
  <c r="E11" i="570"/>
  <c r="G11" i="570"/>
  <c r="B12" i="570"/>
  <c r="E12" i="570"/>
  <c r="G12" i="570"/>
  <c r="B13" i="570"/>
  <c r="E13" i="570"/>
  <c r="G13" i="570"/>
  <c r="B14" i="570"/>
  <c r="E14" i="570"/>
  <c r="G14" i="570"/>
  <c r="B15" i="570"/>
  <c r="E15" i="570"/>
  <c r="G15" i="570"/>
  <c r="B16" i="570"/>
  <c r="E16" i="570"/>
  <c r="G16" i="570"/>
  <c r="B17" i="570"/>
  <c r="E17" i="570"/>
  <c r="G17" i="570"/>
  <c r="B18" i="570"/>
  <c r="E18" i="570"/>
  <c r="G18" i="570"/>
  <c r="B19" i="570"/>
  <c r="E19" i="570"/>
  <c r="G19" i="570"/>
  <c r="B20" i="570"/>
  <c r="E20" i="570"/>
  <c r="G20" i="570"/>
  <c r="B21" i="570"/>
  <c r="E21" i="570"/>
  <c r="G21" i="570"/>
  <c r="B22" i="570"/>
  <c r="E22" i="570"/>
  <c r="G22" i="570"/>
  <c r="B23" i="570"/>
  <c r="E23" i="570"/>
  <c r="G23" i="570"/>
  <c r="B24" i="570"/>
  <c r="E24" i="570"/>
  <c r="G24" i="570"/>
  <c r="B25" i="570"/>
  <c r="E25" i="570"/>
  <c r="G25" i="570"/>
  <c r="B26" i="570"/>
  <c r="E26" i="570"/>
  <c r="G26" i="570"/>
  <c r="B27" i="570"/>
  <c r="E27" i="570"/>
  <c r="G27" i="570"/>
  <c r="B28" i="570"/>
  <c r="E28" i="570"/>
  <c r="G28" i="570"/>
  <c r="B29" i="570"/>
  <c r="E29" i="570"/>
  <c r="G29" i="570"/>
  <c r="B30" i="570"/>
  <c r="E30" i="570"/>
  <c r="G30" i="570"/>
  <c r="B31" i="570"/>
  <c r="E31" i="570"/>
  <c r="G31" i="570"/>
  <c r="B32" i="570"/>
  <c r="D32" i="570"/>
  <c r="E32" i="570"/>
  <c r="G32" i="570"/>
  <c r="B33" i="570"/>
  <c r="E33" i="570"/>
  <c r="G33" i="570"/>
  <c r="B34" i="570"/>
  <c r="E34" i="570"/>
  <c r="G34" i="570"/>
  <c r="B35" i="570"/>
  <c r="D35" i="570"/>
  <c r="E35" i="570"/>
  <c r="G35" i="570"/>
  <c r="B36" i="570"/>
  <c r="D36" i="570"/>
  <c r="E36" i="570"/>
  <c r="G36" i="570"/>
  <c r="B37" i="570"/>
  <c r="E37" i="570"/>
  <c r="G37" i="570"/>
  <c r="B38" i="570"/>
  <c r="E38" i="570"/>
  <c r="G38" i="570"/>
  <c r="B39" i="570"/>
  <c r="E39" i="570"/>
  <c r="G39" i="570"/>
  <c r="B40" i="570"/>
  <c r="D40" i="570"/>
  <c r="E40" i="570"/>
  <c r="G40" i="570"/>
  <c r="B41" i="570"/>
  <c r="D41" i="570"/>
  <c r="E41" i="570"/>
  <c r="G41" i="570"/>
  <c r="B42" i="570"/>
  <c r="E42" i="570"/>
  <c r="G42" i="570"/>
  <c r="B43" i="570"/>
  <c r="E43" i="570"/>
  <c r="G43" i="570"/>
  <c r="B44" i="570"/>
  <c r="D44" i="570"/>
  <c r="E44" i="570"/>
  <c r="G44" i="570"/>
  <c r="B45" i="570"/>
  <c r="E45" i="570"/>
  <c r="G45" i="570"/>
  <c r="B46" i="570"/>
  <c r="D46" i="570"/>
  <c r="E46" i="570"/>
  <c r="G46" i="570"/>
  <c r="B47" i="570"/>
  <c r="D47" i="570"/>
  <c r="E47" i="570"/>
  <c r="G47" i="570"/>
  <c r="B48" i="570"/>
  <c r="D48" i="570"/>
  <c r="E48" i="570"/>
  <c r="G48" i="570"/>
  <c r="B49" i="570"/>
  <c r="E49" i="570"/>
  <c r="G49" i="570"/>
  <c r="B50" i="570"/>
  <c r="E50" i="570"/>
  <c r="G50" i="570"/>
  <c r="B51" i="570"/>
  <c r="E51" i="570"/>
  <c r="G51" i="570"/>
  <c r="B52" i="570"/>
  <c r="D52" i="570"/>
  <c r="E52" i="570"/>
  <c r="G52" i="570"/>
  <c r="B53" i="570"/>
  <c r="E53" i="570"/>
  <c r="G53" i="570"/>
  <c r="B54" i="570"/>
  <c r="E54" i="570"/>
  <c r="G54" i="570"/>
  <c r="B55" i="570"/>
  <c r="E55" i="570"/>
  <c r="G55" i="570"/>
  <c r="B56" i="570"/>
  <c r="D56" i="570"/>
  <c r="E56" i="570"/>
  <c r="G56" i="570"/>
  <c r="B57" i="570"/>
  <c r="E57" i="570"/>
  <c r="G57" i="570"/>
  <c r="B58" i="570"/>
  <c r="D58" i="570"/>
  <c r="E58" i="570"/>
  <c r="G58" i="570"/>
  <c r="B59" i="570"/>
  <c r="D59" i="570"/>
  <c r="E59" i="570"/>
  <c r="G59" i="570"/>
  <c r="B60" i="570"/>
  <c r="D60" i="570"/>
  <c r="E60" i="570"/>
  <c r="G60" i="570"/>
  <c r="B61" i="570"/>
  <c r="E61" i="570"/>
  <c r="G61" i="570"/>
  <c r="B62" i="570"/>
  <c r="D62" i="570"/>
  <c r="E62" i="570"/>
  <c r="G62" i="570"/>
  <c r="B63" i="570"/>
  <c r="E63" i="570"/>
  <c r="G63" i="570"/>
  <c r="B64" i="570"/>
  <c r="D64" i="570"/>
  <c r="E64" i="570"/>
  <c r="G64" i="570"/>
  <c r="B65" i="570"/>
  <c r="E65" i="570"/>
  <c r="G65" i="570"/>
  <c r="B66" i="570"/>
  <c r="E66" i="570"/>
  <c r="G66" i="570"/>
  <c r="B67" i="570"/>
  <c r="E67" i="570"/>
  <c r="G67" i="570"/>
  <c r="B68" i="570"/>
  <c r="D68" i="570"/>
  <c r="E68" i="570"/>
  <c r="G68" i="570"/>
  <c r="B69" i="570"/>
  <c r="E69" i="570"/>
  <c r="G69" i="570"/>
  <c r="B70" i="570"/>
  <c r="D70" i="570"/>
  <c r="E70" i="570"/>
  <c r="G70" i="570"/>
  <c r="B71" i="570"/>
  <c r="D71" i="570"/>
  <c r="E71" i="570"/>
  <c r="G71" i="570"/>
  <c r="B72" i="570"/>
  <c r="D72" i="570"/>
  <c r="E72" i="570"/>
  <c r="G72" i="570"/>
  <c r="B73" i="570"/>
  <c r="E73" i="570"/>
  <c r="G73" i="570"/>
  <c r="B74" i="570"/>
  <c r="D74" i="570"/>
  <c r="E74" i="570"/>
  <c r="G74" i="570"/>
  <c r="B75" i="570"/>
  <c r="E75" i="570"/>
  <c r="G75" i="570"/>
  <c r="B76" i="570"/>
  <c r="D76" i="570"/>
  <c r="E76" i="570"/>
  <c r="G76" i="570"/>
  <c r="B77" i="570"/>
  <c r="D77" i="570"/>
  <c r="E77" i="570"/>
  <c r="G77" i="570"/>
  <c r="B78" i="570"/>
  <c r="E78" i="570"/>
  <c r="G78" i="570"/>
  <c r="B79" i="570"/>
  <c r="E79" i="570"/>
  <c r="G79" i="570"/>
  <c r="B80" i="570"/>
  <c r="D80" i="570"/>
  <c r="E80" i="570"/>
  <c r="G80" i="570"/>
  <c r="B81" i="570"/>
  <c r="D81" i="570"/>
  <c r="E81" i="570"/>
  <c r="G81" i="570"/>
  <c r="B82" i="570"/>
  <c r="D82" i="570"/>
  <c r="E82" i="570"/>
  <c r="G82" i="570"/>
  <c r="B83" i="570"/>
  <c r="D83" i="570"/>
  <c r="E83" i="570"/>
  <c r="G83" i="570"/>
  <c r="B84" i="570"/>
  <c r="D84" i="570"/>
  <c r="E84" i="570"/>
  <c r="G84" i="570"/>
  <c r="B85" i="570"/>
  <c r="D85" i="570"/>
  <c r="E85" i="570"/>
  <c r="G85" i="570"/>
  <c r="B86" i="570"/>
  <c r="D86" i="570"/>
  <c r="E86" i="570"/>
  <c r="G86" i="570"/>
  <c r="B87" i="570"/>
  <c r="D87" i="570"/>
  <c r="E87" i="570"/>
  <c r="G87" i="570"/>
  <c r="B88" i="570"/>
  <c r="D88" i="570"/>
  <c r="E88" i="570"/>
  <c r="G88" i="570"/>
  <c r="B89" i="570"/>
  <c r="D89" i="570"/>
  <c r="E89" i="570"/>
  <c r="G89" i="570"/>
  <c r="B90" i="570"/>
  <c r="D90" i="570"/>
  <c r="E90" i="570"/>
  <c r="G90" i="570"/>
  <c r="B91" i="570"/>
  <c r="D91" i="570"/>
  <c r="E91" i="570"/>
  <c r="G91" i="570"/>
  <c r="B92" i="570"/>
  <c r="D92" i="570"/>
  <c r="E92" i="570"/>
  <c r="G92" i="570"/>
  <c r="B93" i="570"/>
  <c r="D93" i="570"/>
  <c r="E93" i="570"/>
  <c r="G93" i="570"/>
  <c r="B94" i="570"/>
  <c r="D94" i="570"/>
  <c r="E94" i="570"/>
  <c r="G94" i="570"/>
  <c r="B95" i="570"/>
  <c r="D95" i="570"/>
  <c r="E95" i="570"/>
  <c r="G95" i="570"/>
  <c r="B96" i="570"/>
  <c r="D96" i="570"/>
  <c r="E96" i="570"/>
  <c r="G96" i="570"/>
  <c r="B97" i="570"/>
  <c r="D97" i="570"/>
  <c r="E97" i="570"/>
  <c r="G97" i="570"/>
  <c r="B98" i="570"/>
  <c r="D98" i="570"/>
  <c r="E98" i="570"/>
  <c r="G98" i="570"/>
  <c r="B99" i="570"/>
  <c r="D99" i="570"/>
  <c r="E99" i="570"/>
  <c r="G99" i="570"/>
  <c r="B100" i="570"/>
  <c r="D100" i="570"/>
  <c r="E100" i="570"/>
  <c r="G100" i="570"/>
  <c r="B101" i="570"/>
  <c r="D101" i="570"/>
  <c r="E101" i="570"/>
  <c r="G101" i="570"/>
  <c r="B102" i="570"/>
  <c r="D102" i="570"/>
  <c r="E102" i="570"/>
  <c r="G102" i="570"/>
  <c r="B103" i="570"/>
  <c r="D103" i="570"/>
  <c r="E103" i="570"/>
  <c r="G103" i="570"/>
  <c r="B104" i="570"/>
  <c r="D104" i="570"/>
  <c r="E104" i="570"/>
  <c r="G104" i="570"/>
  <c r="B105" i="570"/>
  <c r="D105" i="570"/>
  <c r="E105" i="570"/>
  <c r="G105" i="570"/>
  <c r="B106" i="570"/>
  <c r="D106" i="570"/>
  <c r="E106" i="570"/>
  <c r="G106" i="570"/>
  <c r="B107" i="570"/>
  <c r="D107" i="570"/>
  <c r="E107" i="570"/>
  <c r="G107" i="570"/>
  <c r="B108" i="570"/>
  <c r="D108" i="570"/>
  <c r="E108" i="570"/>
  <c r="G108" i="570"/>
  <c r="B109" i="570"/>
  <c r="D109" i="570"/>
  <c r="E109" i="570"/>
  <c r="G109" i="570"/>
  <c r="B110" i="570"/>
  <c r="D110" i="570"/>
  <c r="E110" i="570"/>
  <c r="G110" i="570"/>
  <c r="B111" i="570"/>
  <c r="D111" i="570"/>
  <c r="E111" i="570"/>
  <c r="G111" i="570"/>
  <c r="B112" i="570"/>
  <c r="D112" i="570"/>
  <c r="E112" i="570"/>
  <c r="G112" i="570"/>
  <c r="B113" i="570"/>
  <c r="D113" i="570"/>
  <c r="E113" i="570"/>
  <c r="G113" i="570"/>
  <c r="B114" i="570"/>
  <c r="D114" i="570"/>
  <c r="E114" i="570"/>
  <c r="G114" i="570"/>
  <c r="B115" i="570"/>
  <c r="D115" i="570"/>
  <c r="E115" i="570"/>
  <c r="G115" i="570"/>
  <c r="B116" i="570"/>
  <c r="D116" i="570"/>
  <c r="E116" i="570"/>
  <c r="G116" i="570"/>
  <c r="B117" i="570"/>
  <c r="D117" i="570"/>
  <c r="E117" i="570"/>
  <c r="G117" i="570"/>
  <c r="B118" i="570"/>
  <c r="D118" i="570"/>
  <c r="E118" i="570"/>
  <c r="G118" i="570"/>
  <c r="B119" i="570"/>
  <c r="D119" i="570"/>
  <c r="E119" i="570"/>
  <c r="G119" i="570"/>
  <c r="B120" i="570"/>
  <c r="D120" i="570"/>
  <c r="E120" i="570"/>
  <c r="G120" i="570"/>
  <c r="B121" i="570"/>
  <c r="D121" i="570"/>
  <c r="E121" i="570"/>
  <c r="G121" i="570"/>
  <c r="B122" i="570"/>
  <c r="D122" i="570"/>
  <c r="E122" i="570"/>
  <c r="G122" i="570"/>
  <c r="B123" i="570"/>
  <c r="D123" i="570"/>
  <c r="E123" i="570"/>
  <c r="G123" i="570"/>
  <c r="B124" i="570"/>
  <c r="D124" i="570"/>
  <c r="E124" i="570"/>
  <c r="G124" i="570"/>
  <c r="B125" i="570"/>
  <c r="D125" i="570"/>
  <c r="E125" i="570"/>
  <c r="G125" i="570"/>
  <c r="B126" i="570"/>
  <c r="D126" i="570"/>
  <c r="E126" i="570"/>
  <c r="G126" i="570"/>
  <c r="B127" i="570"/>
  <c r="D127" i="570"/>
  <c r="E127" i="570"/>
  <c r="G127" i="570"/>
  <c r="B128" i="570"/>
  <c r="D128" i="570"/>
  <c r="E128" i="570"/>
  <c r="G128" i="570"/>
  <c r="B129" i="570"/>
  <c r="D129" i="570"/>
  <c r="E129" i="570"/>
  <c r="G129" i="570"/>
  <c r="B130" i="570"/>
  <c r="D130" i="570"/>
  <c r="E130" i="570"/>
  <c r="G130" i="570"/>
  <c r="B131" i="570"/>
  <c r="D131" i="570"/>
  <c r="E131" i="570"/>
  <c r="G131" i="570"/>
  <c r="B132" i="570"/>
  <c r="D132" i="570"/>
  <c r="E132" i="570"/>
  <c r="G132" i="570"/>
  <c r="B133" i="570"/>
  <c r="D133" i="570"/>
  <c r="E133" i="570"/>
  <c r="G133" i="570"/>
  <c r="B134" i="570"/>
  <c r="D134" i="570"/>
  <c r="E134" i="570"/>
  <c r="G134" i="570"/>
  <c r="B135" i="570"/>
  <c r="D135" i="570"/>
  <c r="E135" i="570"/>
  <c r="G135" i="570"/>
  <c r="B136" i="570"/>
  <c r="D136" i="570"/>
  <c r="E136" i="570"/>
  <c r="G136" i="570"/>
  <c r="B137" i="570"/>
  <c r="D137" i="570"/>
  <c r="E137" i="570"/>
  <c r="G137" i="570"/>
  <c r="B138" i="570"/>
  <c r="D138" i="570"/>
  <c r="E138" i="570"/>
  <c r="G138" i="570"/>
  <c r="B139" i="570"/>
  <c r="D139" i="570"/>
  <c r="E139" i="570"/>
  <c r="G139" i="570"/>
  <c r="B140" i="570"/>
  <c r="D140" i="570"/>
  <c r="E140" i="570"/>
  <c r="G140" i="570"/>
  <c r="B141" i="570"/>
  <c r="D141" i="570"/>
  <c r="E141" i="570"/>
  <c r="G141" i="570"/>
  <c r="B142" i="570"/>
  <c r="D142" i="570"/>
  <c r="E142" i="570"/>
  <c r="G142" i="570"/>
  <c r="B143" i="570"/>
  <c r="D143" i="570"/>
  <c r="E143" i="570"/>
  <c r="G143" i="570"/>
  <c r="B144" i="570"/>
  <c r="D144" i="570"/>
  <c r="E144" i="570"/>
  <c r="G144" i="570"/>
  <c r="B145" i="570"/>
  <c r="D145" i="570"/>
  <c r="E145" i="570"/>
  <c r="G145" i="570"/>
  <c r="B146" i="570"/>
  <c r="D146" i="570"/>
  <c r="E146" i="570"/>
  <c r="G146" i="570"/>
  <c r="B147" i="570"/>
  <c r="D147" i="570"/>
  <c r="E147" i="570"/>
  <c r="G147" i="570"/>
  <c r="B148" i="570"/>
  <c r="D148" i="570"/>
  <c r="E148" i="570"/>
  <c r="G148" i="570"/>
  <c r="B149" i="570"/>
  <c r="D149" i="570"/>
  <c r="E149" i="570"/>
  <c r="G149" i="570"/>
  <c r="B150" i="570"/>
  <c r="D150" i="570"/>
  <c r="E150" i="570"/>
  <c r="G150" i="570"/>
  <c r="B151" i="570"/>
  <c r="D151" i="570"/>
  <c r="E151" i="570"/>
  <c r="G151" i="570"/>
  <c r="B152" i="570"/>
  <c r="D152" i="570"/>
  <c r="E152" i="570"/>
  <c r="G152" i="570"/>
  <c r="B153" i="570"/>
  <c r="D153" i="570"/>
  <c r="E153" i="570"/>
  <c r="G153" i="570"/>
  <c r="B154" i="570"/>
  <c r="D154" i="570"/>
  <c r="E154" i="570"/>
  <c r="G154" i="570"/>
  <c r="B155" i="570"/>
  <c r="D155" i="570"/>
  <c r="E155" i="570"/>
  <c r="G155" i="570"/>
  <c r="B156" i="570"/>
  <c r="D156" i="570"/>
  <c r="E156" i="570"/>
  <c r="G156" i="570"/>
  <c r="B157" i="570"/>
  <c r="D157" i="570"/>
  <c r="E157" i="570"/>
  <c r="G157" i="570"/>
  <c r="B158" i="570"/>
  <c r="D158" i="570"/>
  <c r="E158" i="570"/>
  <c r="G158" i="570"/>
  <c r="B159" i="570"/>
  <c r="D159" i="570"/>
  <c r="E159" i="570"/>
  <c r="G159" i="570"/>
  <c r="B160" i="570"/>
  <c r="D160" i="570"/>
  <c r="E160" i="570"/>
  <c r="G160" i="570"/>
  <c r="B161" i="570"/>
  <c r="D161" i="570"/>
  <c r="E161" i="570"/>
  <c r="G161" i="570"/>
  <c r="B162" i="570"/>
  <c r="D162" i="570"/>
  <c r="E162" i="570"/>
  <c r="G162" i="570"/>
  <c r="B163" i="570"/>
  <c r="D163" i="570"/>
  <c r="E163" i="570"/>
  <c r="G163" i="570"/>
  <c r="B164" i="570"/>
  <c r="D164" i="570"/>
  <c r="E164" i="570"/>
  <c r="G164" i="570"/>
  <c r="B165" i="570"/>
  <c r="D165" i="570"/>
  <c r="E165" i="570"/>
  <c r="G165" i="570"/>
  <c r="B166" i="570"/>
  <c r="D166" i="570"/>
  <c r="E166" i="570"/>
  <c r="G166" i="570"/>
  <c r="B167" i="570"/>
  <c r="D167" i="570"/>
  <c r="E167" i="570"/>
  <c r="G167" i="570"/>
  <c r="B168" i="570"/>
  <c r="D168" i="570"/>
  <c r="E168" i="570"/>
  <c r="G168" i="570"/>
  <c r="B169" i="570"/>
  <c r="D169" i="570"/>
  <c r="E169" i="570"/>
  <c r="G169" i="570"/>
  <c r="B170" i="570"/>
  <c r="D170" i="570"/>
  <c r="E170" i="570"/>
  <c r="G170" i="570"/>
  <c r="B171" i="570"/>
  <c r="D171" i="570"/>
  <c r="E171" i="570"/>
  <c r="G171" i="570"/>
  <c r="B172" i="570"/>
  <c r="D172" i="570"/>
  <c r="E172" i="570"/>
  <c r="G172" i="570"/>
  <c r="B173" i="570"/>
  <c r="D173" i="570"/>
  <c r="E173" i="570"/>
  <c r="G173" i="570"/>
  <c r="B174" i="570"/>
  <c r="D174" i="570"/>
  <c r="E174" i="570"/>
  <c r="G174" i="570"/>
  <c r="B175" i="570"/>
  <c r="D175" i="570"/>
  <c r="E175" i="570"/>
  <c r="G175" i="570"/>
  <c r="B176" i="570"/>
  <c r="D176" i="570"/>
  <c r="E176" i="570"/>
  <c r="G176" i="570"/>
  <c r="B177" i="570"/>
  <c r="D177" i="570"/>
  <c r="E177" i="570"/>
  <c r="G177" i="570"/>
  <c r="B178" i="570"/>
  <c r="D178" i="570"/>
  <c r="E178" i="570"/>
  <c r="G178" i="570"/>
  <c r="B179" i="570"/>
  <c r="D179" i="570"/>
  <c r="E179" i="570"/>
  <c r="G179" i="570"/>
  <c r="B180" i="570"/>
  <c r="D180" i="570"/>
  <c r="E180" i="570"/>
  <c r="G180" i="570"/>
  <c r="B181" i="570"/>
  <c r="D181" i="570"/>
  <c r="E181" i="570"/>
  <c r="G181" i="570"/>
  <c r="B182" i="570"/>
  <c r="D182" i="570"/>
  <c r="E182" i="570"/>
  <c r="G182" i="570"/>
  <c r="B183" i="570"/>
  <c r="D183" i="570"/>
  <c r="E183" i="570"/>
  <c r="G183" i="570"/>
  <c r="B184" i="570"/>
  <c r="D184" i="570"/>
  <c r="E184" i="570"/>
  <c r="G184" i="570"/>
  <c r="B185" i="570"/>
  <c r="D185" i="570"/>
  <c r="E185" i="570"/>
  <c r="G185" i="570"/>
  <c r="B186" i="570"/>
  <c r="D186" i="570"/>
  <c r="E186" i="570"/>
  <c r="G186" i="570"/>
  <c r="B187" i="570"/>
  <c r="D187" i="570"/>
  <c r="E187" i="570"/>
  <c r="G187" i="570"/>
  <c r="B188" i="570"/>
  <c r="D188" i="570"/>
  <c r="E188" i="570"/>
  <c r="G188" i="570"/>
  <c r="B189" i="570"/>
  <c r="D189" i="570"/>
  <c r="E189" i="570"/>
  <c r="G189" i="570"/>
  <c r="B190" i="570"/>
  <c r="D190" i="570"/>
  <c r="E190" i="570"/>
  <c r="G190" i="570"/>
  <c r="B191" i="570"/>
  <c r="D191" i="570"/>
  <c r="E191" i="570"/>
  <c r="G191" i="570"/>
  <c r="B192" i="570"/>
  <c r="D192" i="570"/>
  <c r="E192" i="570"/>
  <c r="G192" i="570"/>
  <c r="B193" i="570"/>
  <c r="D193" i="570"/>
  <c r="E193" i="570"/>
  <c r="G193" i="570"/>
  <c r="B194" i="570"/>
  <c r="D194" i="570"/>
  <c r="E194" i="570"/>
  <c r="G194" i="570"/>
  <c r="B195" i="570"/>
  <c r="D195" i="570"/>
  <c r="E195" i="570"/>
  <c r="G195" i="570"/>
  <c r="B196" i="570"/>
  <c r="D196" i="570"/>
  <c r="E196" i="570"/>
  <c r="G196" i="570"/>
  <c r="B197" i="570"/>
  <c r="D197" i="570"/>
  <c r="E197" i="570"/>
  <c r="G197" i="570"/>
  <c r="B198" i="570"/>
  <c r="D198" i="570"/>
  <c r="E198" i="570"/>
  <c r="G198" i="570"/>
  <c r="B199" i="570"/>
  <c r="D199" i="570"/>
  <c r="E199" i="570"/>
  <c r="G199" i="570"/>
  <c r="B200" i="570"/>
  <c r="D200" i="570"/>
  <c r="E200" i="570"/>
  <c r="G200" i="570"/>
  <c r="B201" i="570"/>
  <c r="D201" i="570"/>
  <c r="E201" i="570"/>
  <c r="G201" i="570"/>
  <c r="B202" i="570"/>
  <c r="D202" i="570"/>
  <c r="E202" i="570"/>
  <c r="G202" i="570"/>
  <c r="B203" i="570"/>
  <c r="D203" i="570"/>
  <c r="E203" i="570"/>
  <c r="G203" i="570"/>
  <c r="B204" i="570"/>
  <c r="D204" i="570"/>
  <c r="E204" i="570"/>
  <c r="G204" i="570"/>
  <c r="B205" i="570"/>
  <c r="D205" i="570"/>
  <c r="E205" i="570"/>
  <c r="G205" i="570"/>
  <c r="B206" i="570"/>
  <c r="D206" i="570"/>
  <c r="E206" i="570"/>
  <c r="G206" i="570"/>
  <c r="B207" i="570"/>
  <c r="D207" i="570"/>
  <c r="E207" i="570"/>
  <c r="G207" i="570"/>
  <c r="B208" i="570"/>
  <c r="D208" i="570"/>
  <c r="E208" i="570"/>
  <c r="G208" i="570"/>
  <c r="B209" i="570"/>
  <c r="D209" i="570"/>
  <c r="E209" i="570"/>
  <c r="G209" i="570"/>
  <c r="B210" i="570"/>
  <c r="D210" i="570"/>
  <c r="E210" i="570"/>
  <c r="G210" i="570"/>
  <c r="B211" i="570"/>
  <c r="D211" i="570"/>
  <c r="E211" i="570"/>
  <c r="G211" i="570"/>
  <c r="G5" i="570"/>
  <c r="B5" i="570"/>
  <c r="A6" i="570"/>
  <c r="A7" i="570" s="1"/>
  <c r="A8" i="570" s="1"/>
  <c r="A9" i="570" s="1"/>
  <c r="A10" i="570" s="1"/>
  <c r="A11" i="570" s="1"/>
  <c r="A12" i="570" s="1"/>
  <c r="A13" i="570" s="1"/>
  <c r="A14" i="570" s="1"/>
  <c r="A15" i="570" s="1"/>
  <c r="A16" i="570" s="1"/>
  <c r="A17" i="570" s="1"/>
  <c r="A18" i="570" s="1"/>
  <c r="A19" i="570" s="1"/>
  <c r="A20" i="570" s="1"/>
  <c r="A21" i="570" s="1"/>
  <c r="A22" i="570" s="1"/>
  <c r="A23" i="570" s="1"/>
  <c r="A24" i="570" s="1"/>
  <c r="A25" i="570" s="1"/>
  <c r="A26" i="570" s="1"/>
  <c r="A27" i="570" s="1"/>
  <c r="A28" i="570" s="1"/>
  <c r="A29" i="570" s="1"/>
  <c r="A30" i="570" s="1"/>
  <c r="A31" i="570" s="1"/>
  <c r="A32" i="570" s="1"/>
  <c r="A33" i="570" s="1"/>
  <c r="A34" i="570" s="1"/>
  <c r="A35" i="570" s="1"/>
  <c r="A36" i="570" s="1"/>
  <c r="A37" i="570" s="1"/>
  <c r="A38" i="570" s="1"/>
  <c r="A39" i="570" s="1"/>
  <c r="A40" i="570" s="1"/>
  <c r="A41" i="570" s="1"/>
  <c r="A42" i="570" s="1"/>
  <c r="A43" i="570" s="1"/>
  <c r="A44" i="570" s="1"/>
  <c r="A45" i="570" s="1"/>
  <c r="A46" i="570" s="1"/>
  <c r="A47" i="570" s="1"/>
  <c r="A48" i="570" s="1"/>
  <c r="A49" i="570" s="1"/>
  <c r="A50" i="570" s="1"/>
  <c r="A51" i="570" s="1"/>
  <c r="A52" i="570" s="1"/>
  <c r="A53" i="570" s="1"/>
  <c r="A54" i="570" s="1"/>
  <c r="A55" i="570" s="1"/>
  <c r="A56" i="570" s="1"/>
  <c r="A57" i="570" s="1"/>
  <c r="A58" i="570" s="1"/>
  <c r="A59" i="570" s="1"/>
  <c r="A60" i="570" s="1"/>
  <c r="A61" i="570" s="1"/>
  <c r="A62" i="570" s="1"/>
  <c r="A63" i="570" s="1"/>
  <c r="A64" i="570" s="1"/>
  <c r="A65" i="570" s="1"/>
  <c r="A66" i="570" s="1"/>
  <c r="A67" i="570" s="1"/>
  <c r="A68" i="570" s="1"/>
  <c r="A69" i="570" s="1"/>
  <c r="A70" i="570" s="1"/>
  <c r="A71" i="570" s="1"/>
  <c r="A72" i="570" s="1"/>
  <c r="A73" i="570" s="1"/>
  <c r="A74" i="570" s="1"/>
  <c r="A75" i="570" s="1"/>
  <c r="A76" i="570" s="1"/>
  <c r="A77" i="570" s="1"/>
  <c r="A78" i="570" s="1"/>
  <c r="A79" i="570" s="1"/>
  <c r="A80" i="570" s="1"/>
  <c r="A81" i="570" s="1"/>
  <c r="A82" i="570" s="1"/>
  <c r="A83" i="570" s="1"/>
  <c r="A84" i="570" s="1"/>
  <c r="A85" i="570" s="1"/>
  <c r="A86" i="570" s="1"/>
  <c r="A87" i="570" s="1"/>
  <c r="A88" i="570" s="1"/>
  <c r="A89" i="570" s="1"/>
  <c r="A90" i="570" s="1"/>
  <c r="A91" i="570" s="1"/>
  <c r="A92" i="570" s="1"/>
  <c r="A93" i="570" s="1"/>
  <c r="A94" i="570" s="1"/>
  <c r="A95" i="570" s="1"/>
  <c r="A96" i="570" s="1"/>
  <c r="A97" i="570" s="1"/>
  <c r="A98" i="570" s="1"/>
  <c r="A99" i="570" s="1"/>
  <c r="A100" i="570" s="1"/>
  <c r="A101" i="570" s="1"/>
  <c r="A102" i="570" s="1"/>
  <c r="A103" i="570" s="1"/>
  <c r="A104" i="570" s="1"/>
  <c r="A105" i="570" s="1"/>
  <c r="A106" i="570" s="1"/>
  <c r="A107" i="570" s="1"/>
  <c r="A108" i="570" s="1"/>
  <c r="A109" i="570" s="1"/>
  <c r="A110" i="570" s="1"/>
  <c r="A111" i="570" s="1"/>
  <c r="A112" i="570" s="1"/>
  <c r="A113" i="570" s="1"/>
  <c r="A114" i="570" s="1"/>
  <c r="A115" i="570" s="1"/>
  <c r="A116" i="570" s="1"/>
  <c r="A117" i="570" s="1"/>
  <c r="A118" i="570" s="1"/>
  <c r="A119" i="570" s="1"/>
  <c r="A120" i="570" s="1"/>
  <c r="A121" i="570" s="1"/>
  <c r="A122" i="570" s="1"/>
  <c r="A123" i="570" s="1"/>
  <c r="A124" i="570" s="1"/>
  <c r="A125" i="570" s="1"/>
  <c r="A126" i="570" s="1"/>
  <c r="A127" i="570" s="1"/>
  <c r="A128" i="570" s="1"/>
  <c r="A129" i="570" s="1"/>
  <c r="A130" i="570" s="1"/>
  <c r="A131" i="570" s="1"/>
  <c r="A132" i="570" s="1"/>
  <c r="A133" i="570" s="1"/>
  <c r="A134" i="570" s="1"/>
  <c r="A135" i="570" s="1"/>
  <c r="A136" i="570" s="1"/>
  <c r="A137" i="570" s="1"/>
  <c r="A138" i="570" s="1"/>
  <c r="A139" i="570" s="1"/>
  <c r="A140" i="570" s="1"/>
  <c r="A141" i="570" s="1"/>
  <c r="A142" i="570" s="1"/>
  <c r="A143" i="570" s="1"/>
  <c r="A144" i="570" s="1"/>
  <c r="A145" i="570" s="1"/>
  <c r="A146" i="570" s="1"/>
  <c r="A147" i="570" s="1"/>
  <c r="A148" i="570" s="1"/>
  <c r="A149" i="570" s="1"/>
  <c r="A150" i="570" s="1"/>
  <c r="A151" i="570" s="1"/>
  <c r="A152" i="570" s="1"/>
  <c r="A153" i="570" s="1"/>
  <c r="A154" i="570" s="1"/>
  <c r="A155" i="570" s="1"/>
  <c r="A156" i="570" s="1"/>
  <c r="A157" i="570" s="1"/>
  <c r="A158" i="570" s="1"/>
  <c r="A159" i="570" s="1"/>
  <c r="A160" i="570" s="1"/>
  <c r="A161" i="570" s="1"/>
  <c r="A162" i="570" s="1"/>
  <c r="A163" i="570" s="1"/>
  <c r="A164" i="570" s="1"/>
  <c r="A165" i="570" s="1"/>
  <c r="A166" i="570" s="1"/>
  <c r="A167" i="570" s="1"/>
  <c r="A168" i="570" s="1"/>
  <c r="A169" i="570" s="1"/>
  <c r="A170" i="570" s="1"/>
  <c r="A171" i="570" s="1"/>
  <c r="A172" i="570" s="1"/>
  <c r="A173" i="570" s="1"/>
  <c r="A174" i="570" s="1"/>
  <c r="A175" i="570" s="1"/>
  <c r="A176" i="570" s="1"/>
  <c r="A177" i="570" s="1"/>
  <c r="A178" i="570" s="1"/>
  <c r="A179" i="570" s="1"/>
  <c r="A180" i="570" s="1"/>
  <c r="A181" i="570" s="1"/>
  <c r="A182" i="570" s="1"/>
  <c r="A183" i="570" s="1"/>
  <c r="A184" i="570" s="1"/>
  <c r="A185" i="570" s="1"/>
  <c r="A186" i="570" s="1"/>
  <c r="A187" i="570" s="1"/>
  <c r="A188" i="570" s="1"/>
  <c r="A189" i="570" s="1"/>
  <c r="A190" i="570" s="1"/>
  <c r="A191" i="570" s="1"/>
  <c r="A192" i="570" s="1"/>
  <c r="A193" i="570" s="1"/>
  <c r="A194" i="570" s="1"/>
  <c r="A195" i="570" s="1"/>
  <c r="A196" i="570" s="1"/>
  <c r="A197" i="570" s="1"/>
  <c r="A198" i="570" s="1"/>
  <c r="A199" i="570" s="1"/>
  <c r="A200" i="570" s="1"/>
  <c r="A201" i="570" s="1"/>
  <c r="A202" i="570" s="1"/>
  <c r="A203" i="570" s="1"/>
  <c r="A204" i="570" s="1"/>
  <c r="A205" i="570" s="1"/>
  <c r="A206" i="570" s="1"/>
  <c r="A207" i="570" s="1"/>
  <c r="A208" i="570" s="1"/>
  <c r="A209" i="570" s="1"/>
  <c r="A210" i="570" s="1"/>
  <c r="A211" i="570" s="1"/>
  <c r="I78" i="569"/>
  <c r="I79" i="569"/>
  <c r="I80" i="569"/>
  <c r="I81" i="569"/>
  <c r="I82" i="569"/>
  <c r="I83" i="569"/>
  <c r="I84" i="569"/>
  <c r="I85" i="569"/>
  <c r="I86" i="569"/>
  <c r="I87" i="569"/>
  <c r="I88" i="569"/>
  <c r="I89" i="569"/>
  <c r="I90" i="569"/>
  <c r="I91" i="569"/>
  <c r="I92" i="569"/>
  <c r="I93" i="569"/>
  <c r="I94" i="569"/>
  <c r="I95" i="569"/>
  <c r="I96" i="569"/>
  <c r="I97" i="569"/>
  <c r="I98" i="569"/>
  <c r="I99" i="569"/>
  <c r="I100" i="569"/>
  <c r="I101" i="569"/>
  <c r="I102" i="569"/>
  <c r="I103" i="569"/>
  <c r="I104" i="569"/>
  <c r="I105" i="569"/>
  <c r="I106" i="569"/>
  <c r="I107" i="569"/>
  <c r="I108" i="569"/>
  <c r="I109" i="569"/>
  <c r="I110" i="569"/>
  <c r="I111" i="569"/>
  <c r="I112" i="569"/>
  <c r="I113" i="569"/>
  <c r="I114" i="569"/>
  <c r="I115" i="569"/>
  <c r="I116" i="569"/>
  <c r="I117" i="569"/>
  <c r="I118" i="569"/>
  <c r="I119" i="569"/>
  <c r="I120" i="569"/>
  <c r="I121" i="569"/>
  <c r="I122" i="569"/>
  <c r="I123" i="569"/>
  <c r="I124" i="569"/>
  <c r="I125" i="569"/>
  <c r="I126" i="569"/>
  <c r="I127" i="569"/>
  <c r="I128" i="569"/>
  <c r="I129" i="569"/>
  <c r="I130" i="569"/>
  <c r="I131" i="569"/>
  <c r="I132" i="569"/>
  <c r="I133" i="569"/>
  <c r="I134" i="569"/>
  <c r="I135" i="569"/>
  <c r="I136" i="569"/>
  <c r="I137" i="569"/>
  <c r="I138" i="569"/>
  <c r="I139" i="569"/>
  <c r="I140" i="569"/>
  <c r="I141" i="569"/>
  <c r="I142" i="569"/>
  <c r="I143" i="569"/>
  <c r="I144" i="569"/>
  <c r="I145" i="569"/>
  <c r="I146" i="569"/>
  <c r="I147" i="569"/>
  <c r="I148" i="569"/>
  <c r="I149" i="569"/>
  <c r="I150" i="569"/>
  <c r="I151" i="569"/>
  <c r="I152" i="569"/>
  <c r="I153" i="569"/>
  <c r="I154" i="569"/>
  <c r="I155" i="569"/>
  <c r="I156" i="569"/>
  <c r="I157" i="569"/>
  <c r="I158" i="569"/>
  <c r="I159" i="569"/>
  <c r="I160" i="569"/>
  <c r="I161" i="569"/>
  <c r="I162" i="569"/>
  <c r="I163" i="569"/>
  <c r="I164" i="569"/>
  <c r="I165" i="569"/>
  <c r="I166" i="569"/>
  <c r="I167" i="569"/>
  <c r="I168" i="569"/>
  <c r="I169" i="569"/>
  <c r="I170" i="569"/>
  <c r="I171" i="569"/>
  <c r="I172" i="569"/>
  <c r="I173" i="569"/>
  <c r="I174" i="569"/>
  <c r="I175" i="569"/>
  <c r="I176" i="569"/>
  <c r="I177" i="569"/>
  <c r="I178" i="569"/>
  <c r="I179" i="569"/>
  <c r="I180" i="569"/>
  <c r="I181" i="569"/>
  <c r="I182" i="569"/>
  <c r="I183" i="569"/>
  <c r="I184" i="569"/>
  <c r="I185" i="569"/>
  <c r="I186" i="569"/>
  <c r="I187" i="569"/>
  <c r="I188" i="569"/>
  <c r="I189" i="569"/>
  <c r="I190" i="569"/>
  <c r="I191" i="569"/>
  <c r="I192" i="569"/>
  <c r="I193" i="569"/>
  <c r="I194" i="569"/>
  <c r="I195" i="569"/>
  <c r="I196" i="569"/>
  <c r="I197" i="569"/>
  <c r="I198" i="569"/>
  <c r="I199" i="569"/>
  <c r="I200" i="569"/>
  <c r="I201" i="569"/>
  <c r="I202" i="569"/>
  <c r="I203" i="569"/>
  <c r="I204" i="569"/>
  <c r="I205" i="569"/>
  <c r="I206" i="569"/>
  <c r="I207" i="569"/>
  <c r="I208" i="569"/>
  <c r="I209" i="569"/>
  <c r="I210" i="569"/>
  <c r="I211" i="569"/>
  <c r="I212" i="569"/>
  <c r="I213" i="569"/>
  <c r="I214" i="569"/>
  <c r="I215" i="569"/>
  <c r="I216" i="569"/>
  <c r="I217" i="569"/>
  <c r="I218" i="569"/>
  <c r="I219" i="569"/>
  <c r="I220" i="569"/>
  <c r="I221" i="569"/>
  <c r="I222" i="569"/>
  <c r="I223" i="569"/>
  <c r="I224" i="569"/>
  <c r="I225" i="569"/>
  <c r="I226" i="569"/>
  <c r="I227" i="569"/>
  <c r="I228" i="569"/>
  <c r="I229" i="569"/>
  <c r="I230" i="569"/>
  <c r="I231" i="569"/>
  <c r="I232" i="569"/>
  <c r="I233" i="569"/>
  <c r="I234" i="569"/>
  <c r="I235" i="569"/>
  <c r="I236" i="569"/>
  <c r="I237" i="569"/>
  <c r="I238" i="569"/>
  <c r="I239" i="569"/>
  <c r="I240" i="569"/>
  <c r="I241" i="569"/>
  <c r="I242" i="569"/>
  <c r="I243" i="569"/>
  <c r="I244" i="569"/>
  <c r="I245" i="569"/>
  <c r="I246" i="569"/>
  <c r="I247" i="569"/>
  <c r="I248" i="569"/>
  <c r="I249" i="569"/>
  <c r="I250" i="569"/>
  <c r="I251" i="569"/>
  <c r="I252" i="569"/>
  <c r="I253" i="569"/>
  <c r="I254" i="569"/>
  <c r="I255" i="569"/>
  <c r="I256" i="569"/>
  <c r="I257" i="569"/>
  <c r="I258" i="569"/>
  <c r="I259" i="569"/>
  <c r="I260" i="569"/>
  <c r="I261" i="569"/>
  <c r="I262" i="569"/>
  <c r="I263" i="569"/>
  <c r="I264" i="569"/>
  <c r="I265" i="569"/>
  <c r="I266" i="569"/>
  <c r="I267" i="569"/>
  <c r="I268" i="569"/>
  <c r="I269" i="569"/>
  <c r="I270" i="569"/>
  <c r="I271" i="569"/>
  <c r="I272" i="569"/>
  <c r="I273" i="569"/>
  <c r="I274" i="569"/>
  <c r="I275" i="569"/>
  <c r="I276" i="569"/>
  <c r="I277" i="569"/>
  <c r="I278" i="569"/>
  <c r="I279" i="569"/>
  <c r="I280" i="569"/>
  <c r="I281" i="569"/>
  <c r="I282" i="569"/>
  <c r="I283" i="569"/>
  <c r="I284" i="569"/>
  <c r="I285" i="569"/>
  <c r="I286" i="569"/>
  <c r="I287" i="569"/>
  <c r="I288" i="569"/>
  <c r="I289" i="569"/>
  <c r="I290" i="569"/>
  <c r="I291" i="569"/>
  <c r="I292" i="569"/>
  <c r="I293" i="569"/>
  <c r="I294" i="569"/>
  <c r="I295" i="569"/>
  <c r="I296" i="569"/>
  <c r="I297" i="569"/>
  <c r="I298" i="569"/>
  <c r="I299" i="569"/>
  <c r="I300" i="569"/>
  <c r="I301" i="569"/>
  <c r="I302" i="569"/>
  <c r="I303" i="569"/>
  <c r="I304" i="569"/>
  <c r="I305" i="569"/>
  <c r="I306" i="569"/>
  <c r="I307" i="569"/>
  <c r="I308" i="569"/>
  <c r="I309" i="569"/>
  <c r="I310" i="569"/>
  <c r="I311" i="569"/>
  <c r="I312" i="569"/>
  <c r="I313" i="569"/>
  <c r="I314" i="569"/>
  <c r="I315" i="569"/>
  <c r="I316" i="569"/>
  <c r="I317" i="569"/>
  <c r="I318" i="569"/>
  <c r="I319" i="569"/>
  <c r="I320" i="569"/>
  <c r="I321" i="569"/>
  <c r="I322" i="569"/>
  <c r="I323" i="569"/>
  <c r="I324" i="569"/>
  <c r="I325" i="569"/>
  <c r="I326" i="569"/>
  <c r="I327" i="569"/>
  <c r="I328" i="569"/>
  <c r="I329" i="569"/>
  <c r="I330" i="569"/>
  <c r="I331" i="569"/>
  <c r="I332" i="569"/>
  <c r="I333" i="569"/>
  <c r="I334" i="569"/>
  <c r="I335" i="569"/>
  <c r="I336" i="569"/>
  <c r="I337" i="569"/>
  <c r="I338" i="569"/>
  <c r="I339" i="569"/>
  <c r="I340" i="569"/>
  <c r="I341" i="569"/>
  <c r="I342" i="569"/>
  <c r="I343" i="569"/>
  <c r="I344" i="569"/>
  <c r="I345" i="569"/>
  <c r="I346" i="569"/>
  <c r="I347" i="569"/>
  <c r="I348" i="569"/>
  <c r="I349" i="569"/>
  <c r="I350" i="569"/>
  <c r="I351" i="569"/>
  <c r="I352" i="569"/>
  <c r="I353" i="569"/>
  <c r="I354" i="569"/>
  <c r="I355" i="569"/>
  <c r="I356" i="569"/>
  <c r="I357" i="569"/>
  <c r="I358" i="569"/>
  <c r="I359" i="569"/>
  <c r="I360" i="569"/>
  <c r="I361" i="569"/>
  <c r="I362" i="569"/>
  <c r="I363" i="569"/>
  <c r="I364" i="569"/>
  <c r="I365" i="569"/>
  <c r="I366" i="569"/>
  <c r="I367" i="569"/>
  <c r="I368" i="569"/>
  <c r="I369" i="569"/>
  <c r="I370" i="569"/>
  <c r="I371" i="569"/>
  <c r="I372" i="569"/>
  <c r="I373" i="569"/>
  <c r="I374" i="569"/>
  <c r="I375" i="569"/>
  <c r="I376" i="569"/>
  <c r="I377" i="569"/>
  <c r="I378" i="569"/>
  <c r="I379" i="569"/>
  <c r="I380" i="569"/>
  <c r="I381" i="569"/>
  <c r="I382" i="569"/>
  <c r="I383" i="569"/>
  <c r="I384" i="569"/>
  <c r="I385" i="569"/>
  <c r="I386" i="569"/>
  <c r="I387" i="569"/>
  <c r="I388" i="569"/>
  <c r="I389" i="569"/>
  <c r="I390" i="569"/>
  <c r="I391" i="569"/>
  <c r="I392" i="569"/>
  <c r="I393" i="569"/>
  <c r="I394" i="569"/>
  <c r="I395" i="569"/>
  <c r="I396" i="569"/>
  <c r="I397" i="569"/>
  <c r="I398" i="569"/>
  <c r="I399" i="569"/>
  <c r="I400" i="569"/>
  <c r="I401" i="569"/>
  <c r="I402" i="569"/>
  <c r="I403" i="569"/>
  <c r="I404" i="569"/>
  <c r="I405" i="569"/>
  <c r="I406" i="569"/>
  <c r="I407" i="569"/>
  <c r="I408" i="569"/>
  <c r="I409" i="569"/>
  <c r="I410" i="569"/>
  <c r="I411" i="569"/>
  <c r="I412" i="569"/>
  <c r="I413" i="569"/>
  <c r="I414" i="569"/>
  <c r="I415" i="569"/>
  <c r="I416" i="569"/>
  <c r="I417" i="569"/>
  <c r="I418" i="569"/>
  <c r="I419" i="569"/>
  <c r="I420" i="569"/>
  <c r="I421" i="569"/>
  <c r="I422" i="569"/>
  <c r="I423" i="569"/>
  <c r="I424" i="569"/>
  <c r="I425" i="569"/>
  <c r="I426" i="569"/>
  <c r="I427" i="569"/>
  <c r="I428" i="569"/>
  <c r="I429" i="569"/>
  <c r="I430" i="569"/>
  <c r="I431" i="569"/>
  <c r="I432" i="569"/>
  <c r="I433" i="569"/>
  <c r="I434" i="569"/>
  <c r="I435" i="569"/>
  <c r="I436" i="569"/>
  <c r="I437" i="569"/>
  <c r="I438" i="569"/>
  <c r="I439" i="569"/>
  <c r="I440" i="569"/>
  <c r="I441" i="569"/>
  <c r="I442" i="569"/>
  <c r="I443" i="569"/>
  <c r="I444" i="569"/>
  <c r="I445" i="569"/>
  <c r="I446" i="569"/>
  <c r="I447" i="569"/>
  <c r="I448" i="569"/>
  <c r="I449" i="569"/>
  <c r="I450" i="569"/>
  <c r="I451" i="569"/>
  <c r="I452" i="569"/>
  <c r="I453" i="569"/>
  <c r="I454" i="569"/>
  <c r="I455" i="569"/>
  <c r="I456" i="569"/>
  <c r="I457" i="569"/>
  <c r="I458" i="569"/>
  <c r="I459" i="569"/>
  <c r="I460" i="569"/>
  <c r="D31" i="567"/>
  <c r="F4" i="568"/>
  <c r="F5" i="568"/>
  <c r="D32" i="567" s="1"/>
  <c r="F6" i="568"/>
  <c r="D33" i="567" s="1"/>
  <c r="F7" i="568"/>
  <c r="F8" i="568"/>
  <c r="F9" i="568"/>
  <c r="F10" i="568"/>
  <c r="F11" i="568"/>
  <c r="F12" i="568"/>
  <c r="F13" i="568"/>
  <c r="F14" i="568"/>
  <c r="F15" i="568"/>
  <c r="F16" i="568"/>
  <c r="F17" i="568"/>
  <c r="F18" i="568"/>
  <c r="F19" i="568"/>
  <c r="F20" i="568"/>
  <c r="F21" i="568"/>
  <c r="F22" i="568"/>
  <c r="F23" i="568"/>
  <c r="F24" i="568"/>
  <c r="F25" i="568"/>
  <c r="F26" i="568"/>
  <c r="F27" i="568"/>
  <c r="F28" i="568"/>
  <c r="F29" i="568"/>
  <c r="F30" i="568"/>
  <c r="F31" i="568"/>
  <c r="F32" i="568"/>
  <c r="F33" i="568"/>
  <c r="F34" i="568"/>
  <c r="F35" i="568"/>
  <c r="F36" i="568"/>
  <c r="F37" i="568"/>
  <c r="F38" i="568"/>
  <c r="F39" i="568"/>
  <c r="F40" i="568"/>
  <c r="F3" i="568"/>
  <c r="D30" i="567" s="1"/>
  <c r="G4" i="565"/>
  <c r="D27" i="552" s="1"/>
  <c r="G5" i="565"/>
  <c r="D28" i="552" s="1"/>
  <c r="G6" i="565"/>
  <c r="G7" i="565"/>
  <c r="D30" i="552" s="1"/>
  <c r="G8" i="565"/>
  <c r="D31" i="552" s="1"/>
  <c r="G9" i="565"/>
  <c r="D32" i="552" s="1"/>
  <c r="G10" i="565"/>
  <c r="D33" i="552" s="1"/>
  <c r="G11" i="565"/>
  <c r="D34" i="552" s="1"/>
  <c r="G12" i="565"/>
  <c r="D35" i="552" s="1"/>
  <c r="G13" i="565"/>
  <c r="D36" i="552" s="1"/>
  <c r="G14" i="565"/>
  <c r="D37" i="552" s="1"/>
  <c r="G15" i="565"/>
  <c r="G16" i="565"/>
  <c r="G17" i="565"/>
  <c r="G18" i="565"/>
  <c r="G19" i="565"/>
  <c r="G20" i="565"/>
  <c r="G21" i="565"/>
  <c r="G22" i="565"/>
  <c r="G23" i="565"/>
  <c r="G24" i="565"/>
  <c r="G25" i="565"/>
  <c r="G26" i="565"/>
  <c r="G27" i="565"/>
  <c r="G28" i="565"/>
  <c r="G29" i="565"/>
  <c r="G30" i="565"/>
  <c r="G31" i="565"/>
  <c r="G32" i="565"/>
  <c r="G33" i="565"/>
  <c r="G34" i="565"/>
  <c r="G35" i="565"/>
  <c r="G36" i="565"/>
  <c r="G37" i="565"/>
  <c r="G38" i="565"/>
  <c r="G39" i="565"/>
  <c r="G40" i="565"/>
  <c r="G41" i="565"/>
  <c r="G42" i="565"/>
  <c r="G43" i="565"/>
  <c r="G44" i="565"/>
  <c r="G45" i="565"/>
  <c r="G46" i="565"/>
  <c r="G47" i="565"/>
  <c r="G48" i="565"/>
  <c r="G49" i="565"/>
  <c r="G50" i="565"/>
  <c r="G51" i="565"/>
  <c r="G52" i="565"/>
  <c r="G53" i="565"/>
  <c r="G54" i="565"/>
  <c r="G55" i="565"/>
  <c r="G56" i="565"/>
  <c r="G57" i="565"/>
  <c r="G58" i="565"/>
  <c r="G59" i="565"/>
  <c r="G60" i="565"/>
  <c r="G61" i="565"/>
  <c r="G62" i="565"/>
  <c r="G63" i="565"/>
  <c r="G64" i="565"/>
  <c r="G65" i="565"/>
  <c r="G66" i="565"/>
  <c r="G67" i="565"/>
  <c r="G68" i="565"/>
  <c r="G69" i="565"/>
  <c r="G70" i="565"/>
  <c r="G71" i="565"/>
  <c r="G72" i="565"/>
  <c r="G73" i="565"/>
  <c r="G74" i="565"/>
  <c r="G75" i="565"/>
  <c r="G76" i="565"/>
  <c r="G77" i="565"/>
  <c r="G78" i="565"/>
  <c r="G79" i="565"/>
  <c r="G80" i="565"/>
  <c r="G81" i="565"/>
  <c r="G82" i="565"/>
  <c r="G83" i="565"/>
  <c r="G84" i="565"/>
  <c r="G85" i="565"/>
  <c r="G86" i="565"/>
  <c r="G87" i="565"/>
  <c r="G88" i="565"/>
  <c r="G89" i="565"/>
  <c r="G90" i="565"/>
  <c r="G91" i="565"/>
  <c r="G92" i="565"/>
  <c r="G93" i="565"/>
  <c r="G94" i="565"/>
  <c r="G95" i="565"/>
  <c r="G96" i="565"/>
  <c r="G97" i="565"/>
  <c r="G98" i="565"/>
  <c r="G99" i="565"/>
  <c r="G100" i="565"/>
  <c r="G101" i="565"/>
  <c r="G102" i="565"/>
  <c r="G103" i="565"/>
  <c r="G104" i="565"/>
  <c r="G105" i="565"/>
  <c r="G106" i="565"/>
  <c r="G107" i="565"/>
  <c r="G108" i="565"/>
  <c r="G109" i="565"/>
  <c r="G110" i="565"/>
  <c r="G111" i="565"/>
  <c r="G112" i="565"/>
  <c r="G113" i="565"/>
  <c r="G114" i="565"/>
  <c r="G115" i="565"/>
  <c r="G116" i="565"/>
  <c r="G117" i="565"/>
  <c r="G118" i="565"/>
  <c r="G119" i="565"/>
  <c r="G120" i="565"/>
  <c r="G121" i="565"/>
  <c r="G122" i="565"/>
  <c r="G123" i="565"/>
  <c r="G124" i="565"/>
  <c r="G125" i="565"/>
  <c r="G126" i="565"/>
  <c r="G127" i="565"/>
  <c r="G128" i="565"/>
  <c r="G129" i="565"/>
  <c r="G130" i="565"/>
  <c r="G3" i="565"/>
  <c r="D26" i="552" s="1"/>
  <c r="H4" i="569"/>
  <c r="H5" i="569"/>
  <c r="I5" i="569" s="1"/>
  <c r="D7" i="570" s="1"/>
  <c r="H6" i="569"/>
  <c r="H7" i="569"/>
  <c r="I7" i="569" s="1"/>
  <c r="H8" i="569"/>
  <c r="I8" i="569" s="1"/>
  <c r="H9" i="569"/>
  <c r="I9" i="569" s="1"/>
  <c r="H10" i="569"/>
  <c r="I10" i="569" s="1"/>
  <c r="D12" i="570" s="1"/>
  <c r="H11" i="569"/>
  <c r="I11" i="569" s="1"/>
  <c r="H12" i="569"/>
  <c r="I12" i="569" s="1"/>
  <c r="H13" i="569"/>
  <c r="I13" i="569" s="1"/>
  <c r="H14" i="569"/>
  <c r="I14" i="569" s="1"/>
  <c r="D16" i="570" s="1"/>
  <c r="H15" i="569"/>
  <c r="I15" i="569" s="1"/>
  <c r="H16" i="569"/>
  <c r="H17" i="569"/>
  <c r="I17" i="569" s="1"/>
  <c r="D19" i="570" s="1"/>
  <c r="H18" i="569"/>
  <c r="H19" i="569"/>
  <c r="I19" i="569" s="1"/>
  <c r="H20" i="569"/>
  <c r="I20" i="569" s="1"/>
  <c r="H21" i="569"/>
  <c r="I21" i="569" s="1"/>
  <c r="H22" i="569"/>
  <c r="I22" i="569" s="1"/>
  <c r="D24" i="570" s="1"/>
  <c r="H23" i="569"/>
  <c r="I23" i="569" s="1"/>
  <c r="H24" i="569"/>
  <c r="I24" i="569" s="1"/>
  <c r="H25" i="569"/>
  <c r="I25" i="569" s="1"/>
  <c r="H26" i="569"/>
  <c r="I26" i="569" s="1"/>
  <c r="D28" i="570" s="1"/>
  <c r="H27" i="569"/>
  <c r="I27" i="569" s="1"/>
  <c r="H3" i="569"/>
  <c r="I3" i="569" s="1"/>
  <c r="D5" i="570" s="1"/>
  <c r="E33" i="567"/>
  <c r="E32" i="567"/>
  <c r="E31" i="567"/>
  <c r="E30" i="567"/>
  <c r="A31" i="567"/>
  <c r="A32" i="567" s="1"/>
  <c r="A33" i="567" s="1"/>
  <c r="E27" i="552"/>
  <c r="E28" i="552"/>
  <c r="E29" i="552"/>
  <c r="E30" i="552"/>
  <c r="E31" i="552"/>
  <c r="E32" i="552"/>
  <c r="E26" i="552"/>
  <c r="A27" i="552"/>
  <c r="A28" i="552" s="1"/>
  <c r="A29" i="552" s="1"/>
  <c r="A30" i="552" s="1"/>
  <c r="A31" i="552" s="1"/>
  <c r="A32" i="552" s="1"/>
  <c r="A33" i="552" s="1"/>
  <c r="A34" i="552" s="1"/>
  <c r="A35" i="552" s="1"/>
  <c r="A36" i="552" s="1"/>
  <c r="A37" i="552" s="1"/>
  <c r="A38" i="552" s="1"/>
  <c r="A39" i="552" s="1"/>
  <c r="A40" i="552" s="1"/>
  <c r="A41" i="552" s="1"/>
  <c r="A42" i="552" s="1"/>
  <c r="A43" i="552" s="1"/>
  <c r="A44" i="552" s="1"/>
  <c r="A45" i="552" s="1"/>
  <c r="A46" i="552" s="1"/>
  <c r="A47" i="552" s="1"/>
  <c r="A48" i="552" s="1"/>
  <c r="A49" i="552" s="1"/>
  <c r="A50" i="552" s="1"/>
  <c r="A51" i="552" s="1"/>
  <c r="A52" i="552" s="1"/>
  <c r="A53" i="552" s="1"/>
  <c r="A54" i="552" s="1"/>
  <c r="A55" i="552" s="1"/>
  <c r="A56" i="552" s="1"/>
  <c r="A57" i="552" s="1"/>
  <c r="A58" i="552" s="1"/>
  <c r="A59" i="552" s="1"/>
  <c r="A60" i="552" s="1"/>
  <c r="A61" i="552" s="1"/>
  <c r="A62" i="552" s="1"/>
  <c r="A63" i="552" s="1"/>
  <c r="A64" i="552" s="1"/>
  <c r="A65" i="552" s="1"/>
  <c r="A66" i="552" s="1"/>
  <c r="A67" i="552" s="1"/>
  <c r="A68" i="552" s="1"/>
  <c r="A69" i="552" s="1"/>
  <c r="A70" i="552" s="1"/>
  <c r="A71" i="552" s="1"/>
  <c r="A72" i="552" s="1"/>
  <c r="A73" i="552" s="1"/>
  <c r="A74" i="552" s="1"/>
  <c r="D29" i="570" l="1"/>
  <c r="D17" i="570"/>
  <c r="D27" i="570"/>
  <c r="D15" i="570"/>
  <c r="D26" i="570"/>
  <c r="D14" i="570"/>
  <c r="D23" i="570"/>
  <c r="D11" i="570"/>
  <c r="I18" i="569"/>
  <c r="D20" i="570" s="1"/>
  <c r="I6" i="569"/>
  <c r="D8" i="570" s="1"/>
  <c r="D22" i="570"/>
  <c r="D10" i="570"/>
  <c r="D21" i="570"/>
  <c r="D9" i="570"/>
  <c r="I16" i="569"/>
  <c r="D18" i="570" s="1"/>
  <c r="I4" i="569"/>
  <c r="D6" i="570" s="1"/>
  <c r="D25" i="570"/>
  <c r="D13" i="570"/>
</calcChain>
</file>

<file path=xl/comments1.xml><?xml version="1.0" encoding="utf-8"?>
<comments xmlns="http://schemas.openxmlformats.org/spreadsheetml/2006/main">
  <authors>
    <author>admin</author>
  </authors>
  <commentList>
    <comment ref="C15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29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C63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Проверьте единицы измерения.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26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C6" authorId="0" shapeId="0">
      <text>
        <r>
          <rPr>
            <sz val="9"/>
            <color indexed="81"/>
            <rFont val="Tahoma"/>
            <family val="2"/>
            <charset val="204"/>
          </rPr>
          <t>Отсутствует ГОСТ на бетон</t>
        </r>
      </text>
    </comment>
  </commentList>
</comments>
</file>

<file path=xl/connections.xml><?xml version="1.0" encoding="utf-8"?>
<connections xmlns="http://schemas.openxmlformats.org/spreadsheetml/2006/main">
  <connection id="1" name="АР_спец Ведомость демонтажа полов" type="6" refreshedVersion="6" background="1" saveData="1">
    <textPr codePage="65001" sourceFile="\\192.168.20.2\текущие проекты\Таганрог\Проект\В работе\Отдел АРХ\Корпус 4\Спецификации\import\АР_спец Ведомость демонтажа полов.txt" decimal="," thousands=" ">
      <textFields count="4">
        <textField/>
        <textField/>
        <textField/>
        <textField/>
      </textFields>
    </textPr>
  </connection>
  <connection id="2" name="АР_спец Ведомость демонтажа стен" type="6" refreshedVersion="6" background="1" saveData="1">
    <textPr codePage="65001" sourceFile="\\192.168.20.2\текущие проекты\Таганрог\Проект\В работе\Отдел АРХ\Корпус 4\Спецификации\import\АР_спец Ведомость демонтажа стен.txt" decimal="," thousands=" ">
      <textFields count="4">
        <textField/>
        <textField/>
        <textField/>
        <textField/>
      </textFields>
    </textPr>
  </connection>
  <connection id="3" name="АР_спец_АБ Ведомость демонтажа оконных и дверных заполнений" type="6" refreshedVersion="6" background="1" saveData="1">
    <textPr codePage="65001" sourceFile="\\192.168.20.2\текущие проекты\Таганрог\Проект\В работе\Отдел АРХ\Корпус 4\Спецификации\import\АР_спец_АБ Ведомость демонтажа оконных и дверных заполнений.txt" decimal="," thousands=" ">
      <textFields count="6">
        <textField/>
        <textField/>
        <textField/>
        <textField/>
        <textField/>
        <textField/>
      </textFields>
    </textPr>
  </connection>
  <connection id="4" name="АР_спец_АБ Ведомость закладываемых проёмов" type="6" refreshedVersion="6" background="1" saveData="1">
    <textPr codePage="65001" sourceFile="\\192.168.20.2\текущие проекты\Таганрог\Проект\В работе\Отдел АРХ\Корпус 4\Спецификации\import\АР_спец_АБ Ведомость закладываемых проёмов.txt" decimal="," thousands=" ">
      <textFields count="6">
        <textField/>
        <textField/>
        <textField/>
        <textField/>
        <textField/>
        <textField/>
      </textFields>
    </textPr>
  </connection>
  <connection id="5" name="АР_спец_АБ Ведомость устраиваемых проёмов" type="6" refreshedVersion="6" background="1" saveData="1">
    <textPr codePage="65001" sourceFile="\\192.168.20.2\текущие проекты\Таганрог\Проект\В работе\Отдел АРХ\Корпус 4\Спецификации\import\АР_спец_АБ Ведомость устраиваемых проёмов.txt" decimal="," thousands=" 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<sst xmlns="http://schemas.openxmlformats.org/spreadsheetml/2006/main" count="3968" uniqueCount="2582">
  <si>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</si>
  <si>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</si>
  <si>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</si>
  <si>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</si>
  <si>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</si>
  <si>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</si>
  <si>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</si>
  <si>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</si>
  <si>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</si>
  <si>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</si>
  <si>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</si>
  <si>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</si>
  <si>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</si>
  <si>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</si>
  <si>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</si>
  <si>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</si>
  <si>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</si>
  <si>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</si>
  <si>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</si>
  <si>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</si>
  <si>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</si>
  <si>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</si>
  <si>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</si>
  <si>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</si>
  <si>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</si>
  <si>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</si>
  <si>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</si>
  <si>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</si>
  <si>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</si>
  <si>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</si>
  <si>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</si>
  <si>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</si>
  <si>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</si>
  <si>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</si>
  <si>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</si>
  <si>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</si>
  <si>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</si>
  <si>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</si>
  <si>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</si>
  <si>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</si>
  <si>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</si>
  <si>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</si>
  <si>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</si>
  <si>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</si>
  <si>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</si>
  <si>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</si>
  <si>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</si>
  <si>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</si>
  <si>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</si>
  <si>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</si>
  <si>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</si>
  <si>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</si>
  <si>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</si>
  <si>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</si>
  <si>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</si>
  <si>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</si>
  <si>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</si>
  <si>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</si>
  <si>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</si>
  <si>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</si>
  <si>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</si>
  <si>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</si>
  <si>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</si>
  <si>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</si>
  <si>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</si>
  <si>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</si>
  <si>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</si>
  <si>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</si>
  <si>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</si>
  <si>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</si>
  <si>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</si>
  <si>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</si>
  <si>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</si>
  <si>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</si>
  <si>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</si>
  <si>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</si>
  <si>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</si>
  <si>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</si>
  <si>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</si>
  <si>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</si>
  <si>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</si>
  <si>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</si>
  <si>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</si>
  <si>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</si>
  <si>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</si>
  <si>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</si>
  <si>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</si>
  <si>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</si>
  <si>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</si>
  <si>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</si>
  <si>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</si>
  <si>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</si>
  <si>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</si>
  <si>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</si>
  <si>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</si>
  <si>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</si>
  <si>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</si>
  <si>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</si>
  <si>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</si>
  <si>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</si>
  <si>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</si>
  <si>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</si>
  <si>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</si>
  <si>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</si>
  <si>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</si>
  <si>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</si>
  <si>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</si>
  <si>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</si>
  <si>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</si>
  <si>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</si>
  <si>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</si>
  <si>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</si>
  <si>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</si>
  <si>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</si>
  <si>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</si>
  <si>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</si>
  <si>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</si>
  <si>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</si>
  <si>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</si>
  <si>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</si>
  <si>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</si>
  <si>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</si>
  <si>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</si>
  <si>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</si>
  <si>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</si>
  <si>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</si>
  <si>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</si>
  <si>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</si>
  <si>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</si>
  <si>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</si>
  <si>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</si>
  <si>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</si>
  <si>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</si>
  <si>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</si>
  <si>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</si>
  <si>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</si>
  <si>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</si>
  <si>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</si>
  <si>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</si>
  <si>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</si>
  <si>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</si>
  <si>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</si>
  <si>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</si>
  <si>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</si>
  <si>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</si>
  <si>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</si>
  <si>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</si>
  <si>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</si>
  <si>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</si>
  <si>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</si>
  <si>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</si>
  <si>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</si>
  <si>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</si>
  <si>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</si>
  <si>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</si>
  <si>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</si>
  <si>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</si>
  <si>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</si>
  <si>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</si>
  <si>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</si>
  <si>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</si>
  <si>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</si>
  <si>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</si>
  <si>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</si>
  <si>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</si>
  <si>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</si>
  <si>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</si>
  <si>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</si>
  <si>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</si>
  <si>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</si>
  <si>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</si>
  <si>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</si>
  <si>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</si>
  <si>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</si>
  <si>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</si>
  <si>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</si>
  <si>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</si>
  <si>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</si>
  <si>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</si>
  <si>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</si>
  <si>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</si>
  <si>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</si>
  <si>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</si>
  <si>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</si>
  <si>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</si>
  <si>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</si>
  <si>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</si>
  <si>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</si>
  <si>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</si>
  <si>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</si>
  <si>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</si>
  <si>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</si>
  <si>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</si>
  <si>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</si>
  <si>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</si>
  <si>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</si>
  <si>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</si>
  <si>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</si>
  <si>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</si>
  <si>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</si>
  <si>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</si>
  <si>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</si>
  <si>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</si>
  <si>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</si>
  <si>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</si>
  <si>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</si>
  <si>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</si>
  <si>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</si>
  <si>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</si>
  <si>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</si>
  <si>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</si>
  <si>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</si>
  <si>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</si>
  <si>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</si>
  <si>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</si>
  <si>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</si>
  <si>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</si>
  <si>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</si>
  <si>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</si>
  <si>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</si>
  <si>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</si>
  <si>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</si>
  <si>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</si>
  <si>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</si>
  <si>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</si>
  <si>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</si>
  <si>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</si>
  <si>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</si>
  <si>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</si>
  <si>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</si>
  <si>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</si>
  <si>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</si>
  <si>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</si>
  <si>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</si>
  <si>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</si>
  <si>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</si>
  <si>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</si>
  <si>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</si>
  <si>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</si>
  <si>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</si>
  <si>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</si>
  <si>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</si>
  <si>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</si>
  <si>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</si>
  <si>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</si>
  <si>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</si>
  <si>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</si>
  <si>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</si>
  <si>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</si>
  <si>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</si>
  <si>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</si>
  <si>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</si>
  <si>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</si>
  <si>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</si>
  <si>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</si>
  <si>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</si>
  <si>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</si>
  <si>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</si>
  <si>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</si>
  <si>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</si>
  <si>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</si>
  <si>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</si>
  <si>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</si>
  <si>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</si>
  <si>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</si>
  <si>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</si>
  <si>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</si>
  <si>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</si>
  <si>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</si>
  <si>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</si>
  <si>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</si>
  <si>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</si>
  <si>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</si>
  <si>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</si>
  <si>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</si>
  <si>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</si>
  <si>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</si>
  <si>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</si>
  <si>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</si>
  <si>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</si>
  <si>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</si>
  <si>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</si>
  <si>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</si>
  <si>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</si>
  <si>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</si>
  <si>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</si>
  <si>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</si>
  <si>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</si>
  <si>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</si>
  <si>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</si>
  <si>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</si>
  <si>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</si>
  <si>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</si>
  <si>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</si>
  <si>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</si>
  <si>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</si>
  <si>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</si>
  <si>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</si>
  <si>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</si>
  <si>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</si>
  <si>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</si>
  <si>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</si>
  <si>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</si>
  <si>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</si>
  <si>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</si>
  <si>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</si>
  <si>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</si>
  <si>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</si>
  <si>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</si>
  <si>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</si>
  <si>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</si>
  <si>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</si>
  <si>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</si>
  <si>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</si>
  <si>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</si>
  <si>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</si>
  <si>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</si>
  <si>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</si>
  <si>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</si>
  <si>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</si>
  <si>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</si>
  <si>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</si>
  <si>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</si>
  <si>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</si>
  <si>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</si>
  <si>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</si>
  <si>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</si>
  <si>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</si>
  <si>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</si>
  <si>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</si>
  <si>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</si>
  <si>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</si>
  <si>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</si>
  <si>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</si>
  <si>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</si>
  <si>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</si>
  <si>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</si>
  <si>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</si>
  <si>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</si>
  <si>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</si>
  <si>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</si>
  <si>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</si>
  <si>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</si>
  <si>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</si>
  <si>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</si>
  <si>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</si>
  <si>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</si>
  <si>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</si>
  <si>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</si>
  <si>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</si>
  <si>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</si>
  <si>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</si>
  <si>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</si>
  <si>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</si>
  <si>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</si>
  <si>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</si>
  <si>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</si>
  <si>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</si>
  <si>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</si>
  <si>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</si>
  <si>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</si>
  <si>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</si>
  <si>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</si>
  <si>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</si>
  <si>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</si>
  <si>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</si>
  <si>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</si>
  <si>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</si>
  <si>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</si>
  <si>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</si>
  <si>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</si>
  <si>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</si>
  <si>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</si>
  <si>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</si>
  <si>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</si>
  <si>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</si>
  <si>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</si>
  <si>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</si>
  <si>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</si>
  <si>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</si>
  <si>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</si>
  <si>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</si>
  <si>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</si>
  <si>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</si>
  <si>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</si>
  <si>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</si>
  <si>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</si>
  <si>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</si>
  <si>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</si>
  <si>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</si>
  <si>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</si>
  <si>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</si>
  <si>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</si>
  <si>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</si>
  <si>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</si>
  <si>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</si>
  <si>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</si>
  <si>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</si>
  <si>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</si>
  <si>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</si>
  <si>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</si>
  <si>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</si>
  <si>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</si>
  <si>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</si>
  <si>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</si>
  <si>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</si>
  <si>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</si>
  <si>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</si>
  <si>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</si>
  <si>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</si>
  <si>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</si>
  <si>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</si>
  <si>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</si>
  <si>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</si>
  <si>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</si>
  <si>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</si>
  <si>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</si>
  <si>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</si>
  <si>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</si>
  <si>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</si>
  <si>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</si>
  <si>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</si>
  <si>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</si>
  <si>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</si>
  <si>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</si>
  <si>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</si>
  <si>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</si>
  <si>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</si>
  <si>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</si>
  <si>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</si>
  <si>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</si>
  <si>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</si>
  <si>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</si>
  <si>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</si>
  <si>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</si>
  <si>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</si>
  <si>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</si>
  <si>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</si>
  <si>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</si>
  <si>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</si>
  <si>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</si>
  <si>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</si>
  <si>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</si>
  <si>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</si>
  <si>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</si>
  <si>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</si>
  <si>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</si>
  <si>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</si>
  <si>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</si>
  <si>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</si>
  <si>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</si>
  <si>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</si>
  <si>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</si>
  <si>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</si>
  <si>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</si>
  <si>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</si>
  <si>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</si>
  <si>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</si>
  <si>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</si>
  <si>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</si>
  <si>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</si>
  <si>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</si>
  <si>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</si>
  <si>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</si>
  <si>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</si>
  <si>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</si>
  <si>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</si>
  <si>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</si>
  <si>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</si>
  <si>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</si>
  <si>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</si>
  <si>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</si>
  <si>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</si>
  <si>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</si>
  <si>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</si>
  <si>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</si>
  <si>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</si>
  <si>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</si>
  <si>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</si>
  <si>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</si>
  <si>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</si>
  <si>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</si>
  <si>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</si>
  <si>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</si>
  <si>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</si>
  <si>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</si>
  <si>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</si>
  <si>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</si>
  <si>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</si>
  <si>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</si>
  <si>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</si>
  <si>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</si>
  <si>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</si>
  <si>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</si>
  <si>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</si>
  <si>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</si>
  <si>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</si>
  <si>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</si>
  <si>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</si>
  <si>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</si>
  <si>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</si>
  <si>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</si>
  <si>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</si>
  <si>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</si>
  <si>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</si>
  <si>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</si>
  <si>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</si>
  <si>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</si>
  <si>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</si>
  <si>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</si>
  <si>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</si>
  <si>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</si>
  <si>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</si>
  <si>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</si>
  <si>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</si>
  <si>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</si>
  <si>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</si>
  <si>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</si>
  <si>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</si>
  <si>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</si>
  <si>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</si>
  <si>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</si>
  <si>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</si>
  <si>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</si>
  <si>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</si>
  <si>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</si>
  <si>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</si>
  <si>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</si>
  <si>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</si>
  <si>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</si>
  <si>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</si>
  <si>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</si>
  <si>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</si>
  <si>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</si>
  <si>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</si>
  <si>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</si>
  <si>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</si>
  <si>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</si>
  <si>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</si>
  <si>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</si>
  <si>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</si>
  <si>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</si>
  <si>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</si>
  <si>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</si>
  <si>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</si>
  <si>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</si>
  <si>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</si>
  <si>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</si>
  <si>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</si>
  <si>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</si>
  <si>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</si>
  <si>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</si>
  <si>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</si>
  <si>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</si>
  <si>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</si>
  <si>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</si>
  <si>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</si>
  <si>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</si>
  <si>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</si>
  <si>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</si>
  <si>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</si>
  <si>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</si>
  <si>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</si>
  <si>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</si>
  <si>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</si>
  <si>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</si>
  <si>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</si>
  <si>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</si>
  <si>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</si>
  <si>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</si>
  <si>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</si>
  <si>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</si>
  <si>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</si>
  <si>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</si>
  <si>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</si>
  <si>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</si>
  <si>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</si>
  <si>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</si>
  <si>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</si>
  <si>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</si>
  <si>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</si>
  <si>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</si>
  <si>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</si>
  <si>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</si>
  <si>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</si>
  <si>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</si>
  <si>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</si>
  <si>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</si>
  <si>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</si>
  <si>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</si>
  <si>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</si>
  <si>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</si>
  <si>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</si>
  <si>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</si>
  <si>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</si>
  <si>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</si>
  <si>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</si>
  <si>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</si>
  <si>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</si>
  <si>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</si>
  <si>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</si>
  <si>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</si>
  <si>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</si>
  <si>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</si>
  <si>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</si>
  <si>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</si>
  <si>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</si>
  <si>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</si>
  <si>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</si>
  <si>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</si>
  <si>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</si>
  <si>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</si>
  <si>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</si>
  <si>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</si>
  <si>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</si>
  <si>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</si>
  <si>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</si>
  <si>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</si>
  <si>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</si>
  <si>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</si>
  <si>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</si>
  <si>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</si>
  <si>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</si>
  <si>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</si>
  <si>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</si>
  <si>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</si>
  <si>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</si>
  <si>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</si>
  <si>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</si>
  <si>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</si>
  <si>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</si>
  <si>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</si>
  <si>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</si>
  <si>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</si>
  <si>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</si>
  <si>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</si>
  <si>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</si>
  <si>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</si>
  <si>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</si>
  <si>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</si>
  <si>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</si>
  <si>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</si>
  <si>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</si>
  <si>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</si>
  <si>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</si>
  <si>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</si>
  <si>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</si>
  <si>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</si>
  <si>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</si>
  <si>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</si>
  <si>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</si>
  <si>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</si>
  <si>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</si>
  <si>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</si>
  <si>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</si>
  <si>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</si>
  <si>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</si>
  <si>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</si>
  <si>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</si>
  <si>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</si>
  <si>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</si>
  <si>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</si>
  <si>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</si>
  <si>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</si>
  <si>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</si>
  <si>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</si>
  <si>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</si>
  <si>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</si>
  <si>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</si>
  <si>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</si>
  <si>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</si>
  <si>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</si>
  <si>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</si>
  <si>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</si>
  <si>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</si>
  <si>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</si>
  <si>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</si>
  <si>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</si>
  <si>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</si>
  <si>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</si>
  <si>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</si>
  <si>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</si>
  <si>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</si>
  <si>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</si>
  <si>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</si>
  <si>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</si>
  <si>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</si>
  <si>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</si>
  <si>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</si>
  <si>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</si>
  <si>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</si>
  <si>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</si>
  <si>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</si>
  <si>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</si>
  <si>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</si>
  <si>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</si>
  <si>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</si>
  <si>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</si>
  <si>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</si>
  <si>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</si>
  <si>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</si>
  <si>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</si>
  <si>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</si>
  <si>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</si>
  <si>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</si>
  <si>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</si>
  <si>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</si>
  <si>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</si>
  <si>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</si>
  <si>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</si>
  <si>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</si>
  <si>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</si>
  <si>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</si>
  <si>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</si>
  <si>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</si>
  <si>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</si>
  <si>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</si>
  <si>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</si>
  <si>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</si>
  <si>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</si>
  <si>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</si>
  <si>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</si>
  <si>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</si>
  <si>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</si>
  <si>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</si>
  <si>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</si>
  <si>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</si>
  <si>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</si>
  <si>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</si>
  <si>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</si>
  <si>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</si>
  <si>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</si>
  <si>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</si>
  <si>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</si>
  <si>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</si>
  <si>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</si>
  <si>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</si>
  <si>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</si>
  <si>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</si>
  <si>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</si>
  <si>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</si>
  <si>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</si>
  <si>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</si>
  <si>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</si>
  <si>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</si>
  <si>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</si>
  <si>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</si>
  <si>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</si>
  <si>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</si>
  <si>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</si>
  <si>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</si>
  <si>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</si>
  <si>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</si>
  <si>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</si>
  <si>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</si>
  <si>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</si>
  <si>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</si>
  <si>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</si>
  <si>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</si>
  <si>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</si>
  <si>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</si>
  <si>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</si>
  <si>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</si>
  <si>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</si>
  <si>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</si>
  <si>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</si>
  <si>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</si>
  <si>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</si>
  <si>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</si>
  <si>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</si>
  <si>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</si>
  <si>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</si>
  <si>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</si>
  <si>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</si>
  <si>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</si>
  <si>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</si>
  <si>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</si>
  <si>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</si>
  <si>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</si>
  <si>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</si>
  <si>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</si>
  <si>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</si>
  <si>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</si>
  <si>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</si>
  <si>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</si>
  <si>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</si>
  <si>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</si>
  <si>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</si>
  <si>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</si>
  <si>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</si>
  <si>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</si>
  <si>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</si>
  <si>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</si>
  <si>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</si>
  <si>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</si>
  <si>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</si>
  <si>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</si>
  <si>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</si>
  <si>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</si>
  <si>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</si>
  <si>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</si>
  <si>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</si>
  <si>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</si>
  <si>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</si>
  <si>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</si>
  <si>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</si>
  <si>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</si>
  <si>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</si>
  <si>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</si>
  <si>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</si>
  <si>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</si>
  <si>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</si>
  <si>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</si>
  <si>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</si>
  <si>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</si>
  <si>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</si>
  <si>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</si>
  <si>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</si>
  <si>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</si>
  <si>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</si>
  <si>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</si>
  <si>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</si>
  <si>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</si>
  <si>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</si>
  <si>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</si>
  <si>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</si>
  <si>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</si>
  <si>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</si>
  <si>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</si>
  <si>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</si>
  <si>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</si>
  <si>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</si>
  <si>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</si>
  <si>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</si>
  <si>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</si>
  <si>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</si>
  <si>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</si>
  <si>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</si>
  <si>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</si>
  <si>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</si>
  <si>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</si>
  <si>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</si>
  <si>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</si>
  <si>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</si>
  <si>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</si>
  <si>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</si>
  <si>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</si>
  <si>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</si>
  <si>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</si>
  <si>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</si>
  <si>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</si>
  <si>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</si>
  <si>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</si>
  <si>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</si>
  <si>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</si>
  <si>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</si>
  <si>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</si>
  <si>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</si>
  <si>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</si>
  <si>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</si>
  <si>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</si>
  <si>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</si>
  <si>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</si>
  <si>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</si>
  <si>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</si>
  <si>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</si>
  <si>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</si>
  <si>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</si>
  <si>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</si>
  <si>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</si>
  <si>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</si>
  <si>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</si>
  <si>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</si>
  <si>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</si>
  <si>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</si>
  <si>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</si>
  <si>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</si>
  <si>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</si>
  <si>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</si>
  <si>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</si>
  <si>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</si>
  <si>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</si>
  <si>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</si>
  <si>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</si>
  <si>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</si>
  <si>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</si>
  <si>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</si>
  <si>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</si>
  <si>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</si>
  <si>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</si>
  <si>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</si>
  <si>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</si>
  <si>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</si>
  <si>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</si>
  <si>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</si>
  <si>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</si>
  <si>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</si>
  <si>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</si>
  <si>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</si>
  <si>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</si>
  <si>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</si>
  <si>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</si>
  <si>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</si>
  <si>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</si>
  <si>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</si>
  <si>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</si>
  <si>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</si>
  <si>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</si>
  <si>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</si>
  <si>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</si>
  <si>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</si>
  <si>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</si>
  <si>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</si>
  <si>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</si>
  <si>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</si>
  <si>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</si>
  <si>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</si>
  <si>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</si>
  <si>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</si>
  <si>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</si>
  <si>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</si>
  <si>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</si>
  <si>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</si>
  <si>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</si>
  <si>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</si>
  <si>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</si>
  <si>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</si>
  <si>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</si>
  <si>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</si>
  <si>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</si>
  <si>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</si>
  <si>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</si>
  <si>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</si>
  <si>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</si>
  <si>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</si>
  <si>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</si>
  <si>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</si>
  <si>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</si>
  <si>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</si>
  <si>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</si>
  <si>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</si>
  <si>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</si>
  <si>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</si>
  <si>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</si>
  <si>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</si>
  <si>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</si>
  <si>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</si>
  <si>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</si>
  <si>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</si>
  <si>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</si>
  <si>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</si>
  <si>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</si>
  <si>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</si>
  <si>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</si>
  <si>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</si>
  <si>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</si>
  <si>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</si>
  <si>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</si>
  <si>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</si>
  <si>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</si>
  <si>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</si>
  <si>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</si>
  <si>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</si>
  <si>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</si>
  <si>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</si>
  <si>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</si>
  <si>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</si>
  <si>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</si>
  <si>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</si>
  <si>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</si>
  <si>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</si>
  <si>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</si>
  <si>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</si>
  <si>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</si>
  <si>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</si>
  <si>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</si>
  <si>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</si>
  <si>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</si>
  <si>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</si>
  <si>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</si>
  <si>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</si>
  <si>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</si>
  <si>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</si>
  <si>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</si>
  <si>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</si>
  <si>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</si>
  <si>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</si>
  <si>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</si>
  <si>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</si>
  <si>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</si>
  <si>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</si>
  <si>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</si>
  <si>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</si>
  <si>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</si>
  <si>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</si>
  <si>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</si>
  <si>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</si>
  <si>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</si>
  <si>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</si>
  <si>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</si>
  <si>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</si>
  <si>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</si>
  <si>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</si>
  <si>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</si>
  <si>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</si>
  <si>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</si>
  <si>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</si>
  <si>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</si>
  <si>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</si>
  <si>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</si>
  <si>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</si>
  <si>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</si>
  <si>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</si>
  <si>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</si>
  <si>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</si>
  <si>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</si>
  <si>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</si>
  <si>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</si>
  <si>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</si>
  <si>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</si>
  <si>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</si>
  <si>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</si>
  <si>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</si>
  <si>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</si>
  <si>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</si>
  <si>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</si>
  <si>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</si>
  <si>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</si>
  <si>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</si>
  <si>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</si>
  <si>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</si>
  <si>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</si>
  <si>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</si>
  <si>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</si>
  <si>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</si>
  <si>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</si>
  <si>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</si>
  <si>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</si>
  <si>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</si>
  <si>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</si>
  <si>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</si>
  <si>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</si>
  <si>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</si>
  <si>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</si>
  <si>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</si>
  <si>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</si>
  <si>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</si>
  <si>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</si>
  <si>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</si>
  <si>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</si>
  <si>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</si>
  <si>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</si>
  <si>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</si>
  <si>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</si>
  <si>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</si>
  <si>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</si>
  <si>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</si>
  <si>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</si>
  <si>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</si>
  <si>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</si>
  <si>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</si>
  <si>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</si>
  <si>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</si>
  <si>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</si>
  <si>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</si>
  <si>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</si>
  <si>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</si>
  <si>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</si>
  <si>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</si>
  <si>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</si>
  <si>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</si>
  <si>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</si>
  <si>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</si>
  <si>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</si>
  <si>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</si>
  <si>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</si>
  <si>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</si>
  <si>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</si>
  <si>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</si>
  <si>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</si>
  <si>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</si>
  <si>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</si>
  <si>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</si>
  <si>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</si>
  <si>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</si>
  <si>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</si>
  <si>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</si>
  <si>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</si>
  <si>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</si>
  <si>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</si>
  <si>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</si>
  <si>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</si>
  <si>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</si>
  <si>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</si>
  <si>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</si>
  <si>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</si>
  <si>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</si>
  <si>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</si>
  <si>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</si>
  <si>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</si>
  <si>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</si>
  <si>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</si>
  <si>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</si>
  <si>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</si>
  <si>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</si>
  <si>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</si>
  <si>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</si>
  <si>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</si>
  <si>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</si>
  <si>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</si>
  <si>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</si>
  <si>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</si>
  <si>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</si>
  <si>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</si>
  <si>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</si>
  <si>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</si>
  <si>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</si>
  <si>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</si>
  <si>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</si>
  <si>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</si>
  <si>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</si>
  <si>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</si>
  <si>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</si>
  <si>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</si>
  <si>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</si>
  <si>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</si>
  <si>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</si>
  <si>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</si>
  <si>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</si>
  <si>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</si>
  <si>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</si>
  <si>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</si>
  <si>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</si>
  <si>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</si>
  <si>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</si>
  <si>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</si>
  <si>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</si>
  <si>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</si>
  <si>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</si>
  <si>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</si>
  <si>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</si>
  <si>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</si>
  <si>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</si>
  <si>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</si>
  <si>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</si>
  <si>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</si>
  <si>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</si>
  <si>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</si>
  <si>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</si>
  <si>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</si>
  <si>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</si>
  <si>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</si>
  <si>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</si>
  <si>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</si>
  <si>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</si>
  <si>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</si>
  <si>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</si>
  <si>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</si>
  <si>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</si>
  <si>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</si>
  <si>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</si>
  <si>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</si>
  <si>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</si>
  <si>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</si>
  <si>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</si>
  <si>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</si>
  <si>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</si>
  <si>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</si>
  <si>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</si>
  <si>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</si>
  <si>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</si>
  <si>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</si>
  <si>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</si>
  <si>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</si>
  <si>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</si>
  <si>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</si>
  <si>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</si>
  <si>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</si>
  <si>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</si>
  <si>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</si>
  <si>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</si>
  <si>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</si>
  <si>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</si>
  <si>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</si>
  <si>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</si>
  <si>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</si>
  <si>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</si>
  <si>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</si>
  <si>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</si>
  <si>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</si>
  <si>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</si>
  <si>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</si>
  <si>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</si>
  <si>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</si>
  <si>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</si>
  <si>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</si>
  <si>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</si>
  <si>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</si>
  <si>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</si>
  <si>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</si>
  <si>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</si>
  <si>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</si>
  <si>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</si>
  <si>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</si>
  <si>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</si>
  <si>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</si>
  <si>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</si>
  <si>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</si>
  <si>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</si>
  <si>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</si>
  <si>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</si>
  <si>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</si>
  <si>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</si>
  <si>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</si>
  <si>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</si>
  <si>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</si>
  <si>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</si>
  <si>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</si>
  <si>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</si>
  <si>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</si>
  <si>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</si>
  <si>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</si>
  <si>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</si>
  <si>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</si>
  <si>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</si>
  <si>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</si>
  <si>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</si>
  <si>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</si>
  <si>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</si>
  <si>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</si>
  <si>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</si>
  <si>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</si>
  <si>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</si>
  <si>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</si>
  <si>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</si>
  <si>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</si>
  <si>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</si>
  <si>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</si>
  <si>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</si>
  <si>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</si>
  <si>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</si>
  <si>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</si>
  <si>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</si>
  <si>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</si>
  <si>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</si>
  <si>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</si>
  <si>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</si>
  <si>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</si>
  <si>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</si>
  <si>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</si>
  <si>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</si>
  <si>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</si>
  <si>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</si>
  <si>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</si>
  <si>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</si>
  <si>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</si>
  <si>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</si>
  <si>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</si>
  <si>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</si>
  <si>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</si>
  <si>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</si>
  <si>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</si>
  <si>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</si>
  <si>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</si>
  <si>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</si>
  <si>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</si>
  <si>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</si>
  <si>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</si>
  <si>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</si>
  <si>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</si>
  <si>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</si>
  <si>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</si>
  <si>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</si>
  <si>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</si>
  <si>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</si>
  <si>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</si>
  <si>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</si>
  <si>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</si>
  <si>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</si>
  <si>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</si>
  <si>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</si>
  <si>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</si>
  <si>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</si>
  <si>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</si>
  <si>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</si>
  <si>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</si>
  <si>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</si>
  <si>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</si>
  <si>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</si>
  <si>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</si>
  <si>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</si>
  <si>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</si>
  <si>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</si>
  <si>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</si>
  <si>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</si>
  <si>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</si>
  <si>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</si>
  <si>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</si>
  <si>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</si>
  <si>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</si>
  <si>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</si>
  <si>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</si>
  <si>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</si>
  <si>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</si>
  <si>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</si>
  <si>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</si>
  <si>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</si>
  <si>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</si>
  <si>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</si>
  <si>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</si>
  <si>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</si>
  <si>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</si>
  <si>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</si>
  <si>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</si>
  <si>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</si>
  <si>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</si>
  <si>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</si>
  <si>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</si>
  <si>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</si>
  <si>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</si>
  <si>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</si>
  <si>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</si>
  <si>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</si>
  <si>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</si>
  <si>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</si>
  <si>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</si>
  <si>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</si>
  <si>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</si>
  <si>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</si>
  <si>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</si>
  <si>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</si>
  <si>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</si>
  <si>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</si>
  <si>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</si>
  <si>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</si>
  <si>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</si>
  <si>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</si>
  <si>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</si>
  <si>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</si>
  <si>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</si>
  <si>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</si>
  <si>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</si>
  <si>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</si>
  <si>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</si>
  <si>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</si>
  <si>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</si>
  <si>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</si>
  <si>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</si>
  <si>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</si>
  <si>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</si>
  <si>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</si>
  <si>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</si>
  <si>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</si>
  <si>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</si>
  <si>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</si>
  <si>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</si>
  <si>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</si>
  <si>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</si>
  <si>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</si>
  <si>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</si>
  <si>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</si>
  <si>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</si>
  <si>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</si>
  <si>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</si>
  <si>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</si>
  <si>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</si>
  <si>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</si>
  <si>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</si>
  <si>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</si>
  <si>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</si>
  <si>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</si>
  <si>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</si>
  <si>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</si>
  <si>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</si>
  <si>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</si>
  <si>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</si>
  <si>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</si>
  <si>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</si>
  <si>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</si>
  <si>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</si>
  <si>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</si>
  <si>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</si>
  <si>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</si>
  <si>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</si>
  <si>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</si>
  <si>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</si>
  <si>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</si>
  <si>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</si>
  <si>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</si>
  <si>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</si>
  <si>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</si>
  <si>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</si>
  <si>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</si>
  <si>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</si>
  <si>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</si>
  <si>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</si>
  <si>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</si>
  <si>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</si>
  <si>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</si>
  <si>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</si>
  <si>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</si>
  <si>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</si>
  <si>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</si>
  <si>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</si>
  <si>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</si>
  <si>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</si>
  <si>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</si>
  <si>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</si>
  <si>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</si>
  <si>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</si>
  <si>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</si>
  <si>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</si>
  <si>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</si>
  <si>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</si>
  <si>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</si>
  <si>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</si>
  <si>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</si>
  <si>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</si>
  <si>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</si>
  <si>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</si>
  <si>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</si>
  <si>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</si>
  <si>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</si>
  <si>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</si>
  <si>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</si>
  <si>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</si>
  <si>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</si>
  <si>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</si>
  <si>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</si>
  <si>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</si>
  <si>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</si>
  <si>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</si>
  <si>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</si>
  <si>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</si>
  <si>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</si>
  <si>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</si>
  <si>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</si>
  <si>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</si>
  <si>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</si>
  <si>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</si>
  <si>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</si>
  <si>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</si>
  <si>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</si>
  <si>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</si>
  <si>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</si>
  <si>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</si>
  <si>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</si>
  <si>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</si>
  <si>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</si>
  <si>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</si>
  <si>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</si>
  <si>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</si>
  <si>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</si>
  <si>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</si>
  <si>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</si>
  <si>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</si>
  <si>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</si>
  <si>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</si>
  <si>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</si>
  <si>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</si>
  <si>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</si>
  <si>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</si>
  <si>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</si>
  <si>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</si>
  <si>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</si>
  <si>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</si>
  <si>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</si>
  <si>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</si>
  <si>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</si>
  <si>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</si>
  <si>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</si>
  <si>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</si>
  <si>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</si>
  <si>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</si>
  <si>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</si>
  <si>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</si>
  <si>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</si>
  <si>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</si>
  <si>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</si>
  <si>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</si>
  <si>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</si>
  <si>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</si>
  <si>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</si>
  <si>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</si>
  <si>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</si>
  <si>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</si>
  <si>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</si>
  <si>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</si>
  <si>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</si>
  <si>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</si>
  <si>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</si>
  <si>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</si>
  <si>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</si>
  <si>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</si>
  <si>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</si>
  <si>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</si>
  <si>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</si>
  <si>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</si>
  <si>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</si>
  <si>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</si>
  <si>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</si>
  <si>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</si>
  <si>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</si>
  <si>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</si>
  <si>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</si>
  <si>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</si>
  <si>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</si>
  <si>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</si>
  <si>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</si>
  <si>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</si>
  <si>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</si>
  <si>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</si>
  <si>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</si>
  <si>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</si>
  <si>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</si>
  <si>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</si>
  <si>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</si>
  <si>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</si>
  <si>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</si>
  <si>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</si>
  <si>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</si>
  <si>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</si>
  <si>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</si>
  <si>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</si>
  <si>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</si>
  <si>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</si>
  <si>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</si>
  <si>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</si>
  <si>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</si>
  <si>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</si>
  <si>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</si>
  <si>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</si>
  <si>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</si>
  <si>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</si>
  <si>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</si>
  <si>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</si>
  <si>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</si>
  <si>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</si>
  <si>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</si>
  <si>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</si>
  <si>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</si>
  <si>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</si>
  <si>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</si>
  <si>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</si>
  <si>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</si>
  <si>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</si>
  <si>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</si>
  <si>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</si>
  <si>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</si>
  <si>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</si>
  <si>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</si>
  <si>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</si>
  <si>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</si>
  <si>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</si>
  <si>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</si>
  <si>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</si>
  <si>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</si>
  <si>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</si>
  <si>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</si>
  <si>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</si>
  <si>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</si>
  <si>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</si>
  <si>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</si>
  <si>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</si>
  <si>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</si>
  <si>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</si>
  <si>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</si>
  <si>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</si>
  <si>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</si>
  <si>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</si>
  <si>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</si>
  <si>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</si>
  <si>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</si>
  <si>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</si>
  <si>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</si>
  <si>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</si>
  <si>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</si>
  <si>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</si>
  <si>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</si>
  <si>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</si>
  <si>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</si>
  <si>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</si>
  <si>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</si>
  <si>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</si>
  <si>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</si>
  <si>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</si>
  <si>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</si>
  <si>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</si>
  <si>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</si>
  <si>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</si>
  <si>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</si>
  <si>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</si>
  <si>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</si>
  <si>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</si>
  <si>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</si>
  <si>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</si>
  <si>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</si>
  <si>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</si>
  <si>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</si>
  <si>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</si>
  <si>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</si>
  <si>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</si>
  <si>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</si>
  <si>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</si>
  <si>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</si>
  <si>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</si>
  <si>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</si>
  <si>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</si>
  <si>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</si>
  <si>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</si>
  <si>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</si>
  <si>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</si>
  <si>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</si>
  <si>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</si>
  <si>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</si>
  <si>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</si>
  <si>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</si>
  <si>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</si>
  <si>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</si>
  <si>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</si>
  <si>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</si>
  <si>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</si>
  <si>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</si>
  <si>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</si>
  <si>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</si>
  <si>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</si>
  <si>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</si>
  <si>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</si>
  <si>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</si>
  <si>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</si>
  <si>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</si>
  <si>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</si>
  <si>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</si>
  <si>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</si>
  <si>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</si>
  <si>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</si>
  <si>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</si>
  <si>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</si>
  <si>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</si>
  <si>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</si>
  <si>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</si>
  <si>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</si>
  <si>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</si>
  <si>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</si>
  <si>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</si>
  <si>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</si>
  <si>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</si>
  <si>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</si>
  <si>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</si>
  <si>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</si>
  <si>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</si>
  <si>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</si>
  <si>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</si>
  <si>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</si>
  <si>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</si>
  <si>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</si>
  <si>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</si>
  <si>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</si>
  <si>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</si>
  <si>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</si>
  <si>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</si>
  <si>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</si>
  <si>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</si>
  <si>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</si>
  <si>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</si>
  <si>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</si>
  <si>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</si>
  <si>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</si>
  <si>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</si>
  <si>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</si>
  <si>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</si>
  <si>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</si>
  <si>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</si>
  <si>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</si>
  <si>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</si>
  <si>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</si>
  <si>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</si>
  <si>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</si>
  <si>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</si>
  <si>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</si>
  <si>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</si>
  <si>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</si>
  <si>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</si>
  <si>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</si>
  <si>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</si>
  <si>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</si>
  <si>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</si>
  <si>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</si>
  <si>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</si>
  <si>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</si>
  <si>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</si>
  <si>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</si>
  <si>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</si>
  <si>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</si>
  <si>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</si>
  <si>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</si>
  <si>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</si>
  <si>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</si>
  <si>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</si>
  <si>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</si>
  <si>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</si>
  <si>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</si>
  <si>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</si>
  <si>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</si>
  <si>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</si>
  <si>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</si>
  <si>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</si>
  <si>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</si>
  <si>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</si>
  <si>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</si>
  <si>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</si>
  <si>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</si>
  <si>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</si>
  <si>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</si>
  <si>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</si>
  <si>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</si>
  <si>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</si>
  <si>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</si>
  <si>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</si>
  <si>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</si>
  <si>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</si>
  <si>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</si>
  <si>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</si>
  <si>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</si>
  <si>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</si>
  <si>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</si>
  <si>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</si>
  <si>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</si>
  <si>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</si>
  <si>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</si>
  <si>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</si>
  <si>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</si>
  <si>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</si>
  <si>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</si>
  <si>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</si>
  <si>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</si>
  <si>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</si>
  <si>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</si>
  <si>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</si>
  <si>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</si>
  <si>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</si>
  <si>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</si>
  <si>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</si>
  <si>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</si>
  <si>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</si>
  <si>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</si>
  <si>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</si>
  <si>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</si>
  <si>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</si>
  <si>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</si>
  <si>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</si>
  <si>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</si>
  <si>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</si>
  <si>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</si>
  <si>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</si>
  <si>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</si>
  <si>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</si>
  <si>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</si>
  <si>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</si>
  <si>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</si>
  <si>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</si>
  <si>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</si>
  <si>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</si>
  <si>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</si>
  <si>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</si>
  <si>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</si>
  <si>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</si>
  <si>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</si>
  <si>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</si>
  <si>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</si>
  <si>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</si>
  <si>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</si>
  <si>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</si>
  <si>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</si>
  <si>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</si>
  <si>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</si>
  <si>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</si>
  <si>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</si>
  <si>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</si>
  <si>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</si>
  <si>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</si>
  <si>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</si>
  <si>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</si>
  <si>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</si>
  <si>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</si>
  <si>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</si>
  <si>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</si>
  <si>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</si>
  <si>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</si>
  <si>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</si>
  <si>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</si>
  <si>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</si>
  <si>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</si>
  <si>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</si>
  <si>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</si>
  <si>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</si>
  <si>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</si>
  <si>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</si>
  <si>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</si>
  <si>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</si>
  <si>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</si>
  <si>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</si>
  <si>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</si>
  <si>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</si>
  <si>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</si>
  <si>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</si>
  <si>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</si>
  <si>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</si>
  <si>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</si>
  <si>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</si>
  <si>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</si>
  <si>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</si>
  <si>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</si>
  <si>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</si>
  <si>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</si>
  <si>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</si>
  <si>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</si>
  <si>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</si>
  <si>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</si>
  <si>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</si>
  <si>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</si>
  <si>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</si>
  <si>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</si>
  <si>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</si>
  <si>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</si>
  <si>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</si>
  <si>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</si>
  <si>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</si>
  <si>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</si>
  <si>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</si>
  <si>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</si>
  <si>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</si>
  <si>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</si>
  <si>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</si>
  <si>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</si>
  <si>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</si>
  <si>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</si>
  <si>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</si>
  <si>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</si>
  <si>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</si>
  <si>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</si>
  <si>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</si>
  <si>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</si>
  <si>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</si>
  <si>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</si>
  <si>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</si>
  <si>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</si>
  <si>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</si>
  <si>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</si>
  <si>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</si>
  <si>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</si>
  <si>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</si>
  <si>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</si>
  <si>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</si>
  <si>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</si>
  <si>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</si>
  <si>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</si>
  <si>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</si>
  <si>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</si>
  <si>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</si>
  <si>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</si>
  <si>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</si>
  <si>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</si>
  <si>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</si>
  <si>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</si>
  <si>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</si>
  <si>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</si>
  <si>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</si>
  <si>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</si>
  <si>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</si>
  <si>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</si>
  <si>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</si>
  <si>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</si>
  <si>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</si>
  <si>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</si>
  <si>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</si>
  <si>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</si>
  <si>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</si>
  <si>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</si>
  <si>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</si>
  <si>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</si>
  <si>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</si>
  <si>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</si>
  <si>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</si>
  <si>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</si>
  <si>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</si>
  <si>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</si>
  <si>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</si>
  <si>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</si>
  <si>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</si>
  <si>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</si>
  <si>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</si>
  <si>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</si>
  <si>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</si>
  <si>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</si>
  <si>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</si>
  <si>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</si>
  <si>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</si>
  <si>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</si>
  <si>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</si>
  <si>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</si>
  <si>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</si>
  <si>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</si>
  <si>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</si>
  <si>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</si>
  <si>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</si>
  <si>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</si>
  <si>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</si>
  <si>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</si>
  <si>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</si>
  <si>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</si>
  <si>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</si>
  <si>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</si>
  <si>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</si>
  <si>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</si>
  <si>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</si>
  <si>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</si>
  <si>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</si>
  <si>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</si>
  <si>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</si>
  <si>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</si>
  <si>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</si>
  <si>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</si>
  <si>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</si>
  <si>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</si>
  <si>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</si>
  <si>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</si>
  <si>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</si>
  <si>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</si>
  <si>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</si>
  <si>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</si>
  <si>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</si>
  <si>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</si>
  <si>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</si>
  <si>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</si>
  <si>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</si>
  <si>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</si>
  <si>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</si>
  <si>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</si>
  <si>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</si>
  <si>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</si>
  <si>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</si>
  <si>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</si>
  <si>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</si>
  <si>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</si>
  <si>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</si>
  <si>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</si>
  <si>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</si>
  <si>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</si>
  <si>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</si>
  <si>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</si>
  <si>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</si>
  <si>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</si>
  <si>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</si>
  <si>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</si>
  <si>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</si>
  <si>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</si>
  <si>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</si>
  <si>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</si>
  <si>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</si>
  <si>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</si>
  <si>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</si>
  <si>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</si>
  <si>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</si>
  <si>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</si>
  <si>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</si>
  <si>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</si>
  <si>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</si>
  <si>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</si>
  <si>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</si>
  <si>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</si>
  <si>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</si>
  <si>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</si>
  <si>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</si>
  <si>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</si>
  <si>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</si>
  <si>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</si>
  <si>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</si>
  <si>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</si>
  <si>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</si>
  <si>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</si>
  <si>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</si>
  <si>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</si>
  <si>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</si>
  <si>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</si>
  <si>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</si>
  <si>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</si>
  <si>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</si>
  <si>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</si>
  <si>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</si>
  <si>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</si>
  <si>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</si>
  <si>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</si>
  <si>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</si>
  <si>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</si>
  <si>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</si>
  <si>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</si>
  <si>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</si>
  <si>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</si>
  <si>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</si>
  <si>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</si>
  <si>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</si>
  <si>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</si>
  <si>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</si>
  <si>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</si>
  <si>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</si>
  <si>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</si>
  <si>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</si>
  <si>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</si>
  <si>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</si>
  <si>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</si>
  <si>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</si>
  <si>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</si>
  <si>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</si>
  <si>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</si>
  <si>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</si>
  <si>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</si>
  <si>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</si>
  <si>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</si>
  <si>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</si>
  <si>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</si>
  <si>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</si>
  <si>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</si>
  <si>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</si>
  <si>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</si>
  <si>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</si>
  <si>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</si>
  <si>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</si>
  <si>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</si>
  <si>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</si>
  <si>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</si>
  <si>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</si>
  <si>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</si>
  <si>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</si>
  <si>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</si>
  <si>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</si>
  <si>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</si>
  <si>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</si>
  <si>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</si>
  <si>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</si>
  <si>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</si>
  <si>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</si>
  <si>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</si>
  <si>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</si>
  <si>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</si>
  <si>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</si>
  <si>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</si>
  <si>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</si>
  <si>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</si>
  <si>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</si>
  <si>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</si>
  <si>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</si>
  <si>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</si>
  <si>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</si>
  <si>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</si>
  <si>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</si>
  <si>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</si>
  <si>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</si>
  <si>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</si>
  <si>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</si>
  <si>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</si>
  <si>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</si>
  <si>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</si>
  <si>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</si>
  <si>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</si>
  <si>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</si>
  <si>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</si>
  <si>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</si>
  <si>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</si>
  <si>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</si>
  <si>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</si>
  <si>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</si>
  <si>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</si>
  <si>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</si>
  <si>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</si>
  <si>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</si>
  <si>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</si>
  <si>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</si>
  <si>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</si>
  <si>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</si>
  <si>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</si>
  <si>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</si>
  <si>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</si>
  <si>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</si>
  <si>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</si>
  <si>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</si>
  <si>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</si>
  <si>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</si>
  <si>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</si>
  <si>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</si>
  <si>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</si>
  <si>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</si>
  <si>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</si>
  <si>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</si>
  <si>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</si>
  <si>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</si>
  <si>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</si>
  <si>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</si>
  <si>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</si>
  <si>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</si>
  <si>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</si>
  <si>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</si>
  <si>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</si>
  <si>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</si>
  <si>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</si>
  <si>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</si>
  <si>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</si>
  <si>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</si>
  <si>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</si>
  <si>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</si>
  <si>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</si>
  <si>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</si>
  <si>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</si>
  <si>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</si>
  <si>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</si>
  <si>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</si>
  <si>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</si>
  <si>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</si>
  <si>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</si>
  <si>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</si>
  <si>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</si>
  <si>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</si>
  <si>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</si>
  <si>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</si>
  <si>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</si>
  <si>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</si>
  <si>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</si>
  <si>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</si>
  <si>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</si>
  <si>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</si>
  <si>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</si>
  <si>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</si>
  <si>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</si>
  <si>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</si>
  <si>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</si>
  <si>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</si>
  <si>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</si>
  <si>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</si>
  <si>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</si>
  <si>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</si>
  <si>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</si>
  <si>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</si>
  <si>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</si>
  <si>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</si>
  <si>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</si>
  <si>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</si>
  <si>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</si>
  <si>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</si>
  <si>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</si>
  <si>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</si>
  <si>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</si>
  <si>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</si>
  <si>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</si>
  <si>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</si>
  <si>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</si>
  <si>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</si>
  <si>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</si>
  <si>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</si>
  <si>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</si>
  <si>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</si>
  <si>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</si>
  <si>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</si>
  <si>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</si>
  <si>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</si>
  <si>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</si>
  <si>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</si>
  <si>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</si>
  <si>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</si>
  <si>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</si>
  <si>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</si>
  <si>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</si>
  <si>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</si>
  <si>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</si>
  <si>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</si>
  <si>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</si>
  <si>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</si>
  <si>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</si>
  <si>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</si>
  <si>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</si>
  <si>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</si>
  <si>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</si>
  <si>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</si>
  <si>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</si>
  <si>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</si>
  <si>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</si>
  <si>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</si>
  <si>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</si>
  <si>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</si>
  <si>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</si>
  <si>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</si>
  <si>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</si>
  <si>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</si>
  <si>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</si>
  <si>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</si>
  <si>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</si>
  <si>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</si>
  <si>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</si>
  <si>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</si>
  <si>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</si>
  <si>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</si>
  <si>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</si>
  <si>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</si>
  <si>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</si>
  <si>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</si>
  <si>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</si>
  <si>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</si>
  <si>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</si>
  <si>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</si>
  <si>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</si>
  <si>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</si>
  <si>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</si>
  <si>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</si>
  <si>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</si>
  <si>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</si>
  <si>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</si>
  <si>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</si>
  <si>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</si>
  <si>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</si>
  <si>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</si>
  <si>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</si>
  <si>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</si>
  <si>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</si>
  <si>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</si>
  <si>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</si>
  <si>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</si>
  <si>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</si>
  <si>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</si>
  <si>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</si>
  <si>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</si>
  <si>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</si>
  <si>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</si>
  <si>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</si>
  <si>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</si>
  <si>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</si>
  <si>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</si>
  <si>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</si>
  <si>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</si>
  <si>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</si>
  <si>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</si>
  <si>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</si>
  <si>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</si>
  <si>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</si>
  <si>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</si>
  <si>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</si>
  <si>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</si>
  <si>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</si>
  <si>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</si>
  <si>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</si>
  <si>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</si>
  <si>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</si>
  <si>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</si>
  <si>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</si>
  <si>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</si>
  <si>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</si>
  <si>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</si>
  <si>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</si>
  <si>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</si>
  <si>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</si>
  <si>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</si>
  <si>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</si>
  <si>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</si>
  <si>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</si>
  <si>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</si>
  <si>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</si>
  <si>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</si>
  <si>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</si>
  <si>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</si>
  <si>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</si>
  <si>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</si>
  <si>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</si>
  <si>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</si>
  <si>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</si>
  <si>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</si>
  <si>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</si>
  <si>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</si>
  <si>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</si>
  <si>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</si>
  <si>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</si>
  <si>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</si>
  <si>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</si>
  <si>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</si>
  <si>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</si>
  <si>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</si>
  <si>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</si>
  <si>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</si>
  <si>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</si>
  <si>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</si>
  <si>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</si>
  <si>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</si>
  <si>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</si>
  <si>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</si>
  <si>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</si>
  <si>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</si>
  <si>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</si>
  <si>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</si>
  <si>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</si>
  <si>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</si>
  <si>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</si>
  <si>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</si>
  <si>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</si>
  <si>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</si>
  <si>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</si>
  <si>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</si>
  <si>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</si>
  <si>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</si>
  <si>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</si>
  <si>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</si>
  <si>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</si>
  <si>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</si>
  <si>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</si>
  <si>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</si>
  <si>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</si>
  <si>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</si>
  <si>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</si>
  <si>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</si>
  <si>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</si>
  <si>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</si>
  <si>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</si>
  <si>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</si>
  <si>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</si>
  <si>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</si>
  <si>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</si>
  <si>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</si>
  <si>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</si>
  <si>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</si>
  <si>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</si>
  <si>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</si>
  <si>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</si>
  <si>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</si>
  <si>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</si>
  <si>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</si>
  <si>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</si>
  <si>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</si>
  <si>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</si>
  <si>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</si>
  <si>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</si>
  <si>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</si>
  <si>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</si>
  <si>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</si>
  <si>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</si>
  <si>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</si>
  <si>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</si>
  <si>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</si>
  <si>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</si>
  <si>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</si>
  <si>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</si>
  <si>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</si>
  <si>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</si>
  <si>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</si>
  <si>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</si>
  <si>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</si>
  <si>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</si>
  <si>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</si>
  <si>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</si>
  <si>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</si>
  <si>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</si>
  <si>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</si>
  <si>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</si>
  <si>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</si>
  <si>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</si>
  <si>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</si>
  <si>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</si>
  <si>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</si>
  <si>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</si>
  <si>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</si>
  <si>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</si>
  <si>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</si>
  <si>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</si>
  <si>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</si>
  <si>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Время</t>
  </si>
  <si>
    <t>Логин</t>
  </si>
  <si>
    <t>Лист</t>
  </si>
  <si>
    <t>Тип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</si>
  <si>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</si>
  <si>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</si>
  <si>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</si>
  <si>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</si>
  <si>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</si>
  <si>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</si>
  <si>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</si>
  <si>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</si>
  <si>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</si>
  <si>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</si>
  <si>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</si>
  <si>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Примечание</t>
  </si>
  <si>
    <t xml:space="preserve"> </t>
  </si>
  <si>
    <t>Площадь, кв.м.</t>
  </si>
  <si>
    <t>ОК</t>
  </si>
  <si>
    <t>Поз.</t>
  </si>
  <si>
    <t>Обозначение</t>
  </si>
  <si>
    <t>Наименование</t>
  </si>
  <si>
    <t>Кол-во</t>
  </si>
  <si>
    <t>Масса ед., кг.</t>
  </si>
  <si>
    <t>!!!</t>
  </si>
  <si>
    <t>_об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</si>
  <si>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</si>
  <si>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</si>
  <si>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</si>
  <si>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</si>
  <si>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</si>
  <si>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</si>
  <si>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</si>
  <si>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</si>
  <si>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</si>
  <si>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</si>
  <si>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</si>
  <si>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</si>
  <si>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</si>
  <si>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</si>
  <si>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</si>
  <si>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</si>
  <si>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</si>
  <si>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admin</t>
  </si>
  <si>
    <t>Ведомость демонтажа полов</t>
  </si>
  <si>
    <t>Толщина, мм.</t>
  </si>
  <si>
    <t>Брус 50×50 шаг 500</t>
  </si>
  <si>
    <t>Гидроизоляция в два слоя</t>
  </si>
  <si>
    <t>Паркет на битумной мастике</t>
  </si>
  <si>
    <t>Плитка керамическая на растворе</t>
  </si>
  <si>
    <t>Стяжка из ц/п раствора марки 150</t>
  </si>
  <si>
    <t>Фанера</t>
  </si>
  <si>
    <t>демпол</t>
  </si>
  <si>
    <t>Демонтаж полов</t>
  </si>
  <si>
    <t>Демполы_спец</t>
  </si>
  <si>
    <t>Ведомость демонтажа стен</t>
  </si>
  <si>
    <t>Деревянные перегородки</t>
  </si>
  <si>
    <t>Существующая кирпичная кладка</t>
  </si>
  <si>
    <t>Штукатурка для вн. работ</t>
  </si>
  <si>
    <t>Демонтаж стен</t>
  </si>
  <si>
    <t>демстен</t>
  </si>
  <si>
    <t>Демпстены_спец</t>
  </si>
  <si>
    <t>Ведомость демонтажа оконных и дверных заполнений</t>
  </si>
  <si>
    <t>Ширина блока, мм.</t>
  </si>
  <si>
    <t>Высота блока, мм.</t>
  </si>
  <si>
    <t>Д1</t>
  </si>
  <si>
    <t>заменяемый</t>
  </si>
  <si>
    <t>Д2</t>
  </si>
  <si>
    <t>Д3</t>
  </si>
  <si>
    <t>Д4</t>
  </si>
  <si>
    <t>Д5</t>
  </si>
  <si>
    <t>Д6</t>
  </si>
  <si>
    <t>Д7</t>
  </si>
  <si>
    <t>Д8</t>
  </si>
  <si>
    <t>Д9</t>
  </si>
  <si>
    <t>Д10</t>
  </si>
  <si>
    <t>закладываемый</t>
  </si>
  <si>
    <t>Д11</t>
  </si>
  <si>
    <t>Д12</t>
  </si>
  <si>
    <t>Д13</t>
  </si>
  <si>
    <t>Д14</t>
  </si>
  <si>
    <t>Д15</t>
  </si>
  <si>
    <t>Д16</t>
  </si>
  <si>
    <t>Д17</t>
  </si>
  <si>
    <t>в дем. стене</t>
  </si>
  <si>
    <t>Д18</t>
  </si>
  <si>
    <t>Д19</t>
  </si>
  <si>
    <t>Д20</t>
  </si>
  <si>
    <t>Д21</t>
  </si>
  <si>
    <t>ОК1</t>
  </si>
  <si>
    <t>ОК2</t>
  </si>
  <si>
    <t>ОК3</t>
  </si>
  <si>
    <t>ОК4</t>
  </si>
  <si>
    <t>демпроем</t>
  </si>
  <si>
    <t>Демонтаж оконных и дверных заполнений</t>
  </si>
  <si>
    <t>Демпроём_спец</t>
  </si>
  <si>
    <t>Деревянные перегородки толщиной 80мм.</t>
  </si>
  <si>
    <t>Деревянные перегородки толщиной 120мм.</t>
  </si>
  <si>
    <t>Существующая кирпичная кладка толщиной 120мм.</t>
  </si>
  <si>
    <t>Штукатурка для вн. работ толщиной 20мм.</t>
  </si>
  <si>
    <t>Ведомость закладываемых проёмов</t>
  </si>
  <si>
    <t>Ширина, мм.</t>
  </si>
  <si>
    <t>Высота, мм.</t>
  </si>
  <si>
    <t>Кирпичные перегородки толщиной 120мм.</t>
  </si>
  <si>
    <t>Кирпичные стены толщиной 510мм.</t>
  </si>
  <si>
    <t>закпроем</t>
  </si>
  <si>
    <t>Закладка оконных и дверных проёмов</t>
  </si>
  <si>
    <t>Закпроём_спец</t>
  </si>
  <si>
    <t>Закладка кирпичом дверного проёма 680x2100(h)мм. в стене толщиной 120мм.</t>
  </si>
  <si>
    <t>Закладка кирпичом дверного проёма 1000x2100(h)мм. в стене толщиной 120мм.</t>
  </si>
  <si>
    <t>Закладка кирпичом дверного проёма 700x2100(h)мм. в стене толщиной 120мм.</t>
  </si>
  <si>
    <t>Закладка кирпичом дверного проёма 730x2100(h)мм. в стене толщиной 120мм.</t>
  </si>
  <si>
    <t>Закладка кирпичом дверного проёма 910x2100(h)мм. в стене толщиной 120мм.</t>
  </si>
  <si>
    <t>Закладка кирпичом дверного проёма 1420x2100(h)мм. в стене толщиной 120мм.</t>
  </si>
  <si>
    <t>Закладка кирпичом дверного проёма 2150x2100(h)мм. в стене толщиной 510мм.</t>
  </si>
  <si>
    <t>Закладка кирпичом дверного проёма 800x2100(h)мм. в стене толщиной 510мм.</t>
  </si>
  <si>
    <t>Брус 50×50 шаг 500 толщиной 50мм.</t>
  </si>
  <si>
    <t>Гидроизоляция в два слоя толщиной 2,5мм.</t>
  </si>
  <si>
    <t>Паркет на битумной мастике толщиной 25мм.</t>
  </si>
  <si>
    <t>Плитка керамическая на растворе толщиной 10мм.</t>
  </si>
  <si>
    <t>Стяжка из ц/п раствора марки 150 толщиной 60мм.</t>
  </si>
  <si>
    <t>Стяжка из ц/п раствора марки 150 толщиной 100мм.</t>
  </si>
  <si>
    <t>Фанера толщиной 25мм.</t>
  </si>
  <si>
    <t>Сводная_спец</t>
  </si>
  <si>
    <t>Ведомость устраиваемых проёмов</t>
  </si>
  <si>
    <t>Д22</t>
  </si>
  <si>
    <t>Д23</t>
  </si>
  <si>
    <t>Д24</t>
  </si>
  <si>
    <t>Д25</t>
  </si>
  <si>
    <t>ОК5</t>
  </si>
  <si>
    <t>ОК6</t>
  </si>
  <si>
    <t>устрпроем</t>
  </si>
  <si>
    <t>Устройство оконных и дверных проёмов</t>
  </si>
  <si>
    <t>Устрпроём_спец</t>
  </si>
  <si>
    <t>Устройство дверного проёма 820x2100(h)мм. в кирпичной стене толщиной 120мм.</t>
  </si>
  <si>
    <t>Устройство дверного проёма 920x2100(h)мм. в кирпичной стене толщиной 120мм.</t>
  </si>
  <si>
    <t>Устройство дверного проёма 1020x2100(h)мм. в кирпичной стене толщиной 120мм.</t>
  </si>
  <si>
    <t>Устройство дверного проёма 1120x2100(h)мм. в кирпичной стене толщиной 120мм.</t>
  </si>
  <si>
    <t>Устройство дверного проёма 1620x1700(h)мм. в кирпичной стене толщиной 510мм.</t>
  </si>
  <si>
    <t>Устройство дверного проёма 2150x1360(h)мм. в кирпичной стене толщиной 510мм.</t>
  </si>
  <si>
    <t>C ЛИСТА</t>
  </si>
  <si>
    <t>Сводная_об</t>
  </si>
  <si>
    <t>Демонтаж оконного блока 2120x2200(h)мм.</t>
  </si>
  <si>
    <t>Демонтаж оконного блока 2120x1650(h)мм.</t>
  </si>
  <si>
    <t>Демонтаж оконного блока 1690x2200(h)мм.</t>
  </si>
  <si>
    <t>Демонтаж дверного блока 1400x2100(h)мм.</t>
  </si>
  <si>
    <t>Демонтаж дверного блока 1500x2100(h)мм.</t>
  </si>
  <si>
    <t>Демонтаж дверного блока 650x2100(h)мм.</t>
  </si>
  <si>
    <t>Демонтаж дверного блока 700x2100(h)мм.</t>
  </si>
  <si>
    <t>Демонтаж дверного блока 1280x2100(h)мм.</t>
  </si>
  <si>
    <t>Демонтаж дверного блока 1000x2100(h)мм.</t>
  </si>
  <si>
    <t>Демонтаж дверного блока 900x2100(h)мм.</t>
  </si>
  <si>
    <t>Демонтаж дверного блока 790x2100(h)мм.</t>
  </si>
  <si>
    <t>Демонтаж дверного блока 800x2100(h)мм.</t>
  </si>
  <si>
    <t>Демонтаж дверного блока 2150x2100(h)мм.</t>
  </si>
  <si>
    <t>Демонтаж дверного блока 680x2100(h)мм.</t>
  </si>
  <si>
    <t>Демонтаж облицовки стен из плитки</t>
  </si>
  <si>
    <t>Снятие старых обоев</t>
  </si>
  <si>
    <t>Демонтаж бетонных подоконников (2300х250х50) Ved=0,0287куб.м.</t>
  </si>
  <si>
    <t>Демонтаж цементных плинтусов</t>
  </si>
  <si>
    <t>Демонтаж деревянных плинтусов</t>
  </si>
  <si>
    <t>демоб</t>
  </si>
  <si>
    <t>Демонтаж оборудования</t>
  </si>
  <si>
    <t>Демонтаж раковин</t>
  </si>
  <si>
    <t>Демонтаж унитазов</t>
  </si>
  <si>
    <t>Демонтаж бетонных подиумов под чаши Генуя</t>
  </si>
  <si>
    <t>Демонтаж светильников</t>
  </si>
  <si>
    <t>Демонтаж стальных труб Д150</t>
  </si>
  <si>
    <t>Демонтаж стальных труб Д100</t>
  </si>
  <si>
    <t>Демонтаж стальных труб Д89</t>
  </si>
  <si>
    <t>Демонтаж стальных труб Д50</t>
  </si>
  <si>
    <t>Демонтаж стальных труб Д40</t>
  </si>
  <si>
    <t>Демонтаж стальных труб Д32</t>
  </si>
  <si>
    <t>Демонтаж стальных труб Д25</t>
  </si>
  <si>
    <t>Демонтаж стальных труб Д20</t>
  </si>
  <si>
    <t>Демонтаж стальных труб Д15</t>
  </si>
  <si>
    <t>Демонтаж чугунных труб Д100</t>
  </si>
  <si>
    <t>Демонтаж воздуховодов 400х200</t>
  </si>
  <si>
    <t>Демонтаж воздуховодов 250х100</t>
  </si>
  <si>
    <t>Демоб_спец</t>
  </si>
  <si>
    <t>Бетонное основание</t>
  </si>
  <si>
    <t>Дерево 45</t>
  </si>
  <si>
    <t>Линолеум</t>
  </si>
  <si>
    <t>Деревянное перекрытие</t>
  </si>
  <si>
    <t>Демонтаж стальной лестницы на отм. +3,600</t>
  </si>
  <si>
    <t>Демонтаж наружной стальной лестницы с площадками</t>
  </si>
  <si>
    <t>Демонтаж стальных балок перекрытия лестничной клетки в осях А-Бх1-2</t>
  </si>
  <si>
    <t>Бетонное основание толщиной 100мм.</t>
  </si>
  <si>
    <t>Линолеум толщиной 5мм.</t>
  </si>
  <si>
    <t>Стяжка из ц/п раствора марки 150 толщиной 50мм.</t>
  </si>
  <si>
    <t>ОК7</t>
  </si>
  <si>
    <t>Демонтаж оконного блока 2050x2200(h)мм.</t>
  </si>
  <si>
    <t>Демонтаж оконного блока 2210x1650(h)мм.</t>
  </si>
  <si>
    <t>демкров</t>
  </si>
  <si>
    <t>Демонтаж кровли</t>
  </si>
  <si>
    <t>Очистка пазух плит ПТР от строительного мусора</t>
  </si>
  <si>
    <t>Засыпка пазух плит ПТР керамзитом с проливкой цементным молочком</t>
  </si>
  <si>
    <t>Демонтаж рубероида, общая толщина слоёв 20 мм</t>
  </si>
  <si>
    <t>Демонтаж асфальтовой стяжки толщиной 30 мм</t>
  </si>
  <si>
    <t>Демонтаж слоя песка толщиной 40 мм.</t>
  </si>
  <si>
    <t>Демонтаж шалака с примесью угля, раствора, щебня общей толщиной слоя 95 мм.</t>
  </si>
  <si>
    <t>Демкров_спец</t>
  </si>
  <si>
    <t>|Лог|</t>
  </si>
  <si>
    <t>|Содержание|</t>
  </si>
  <si>
    <t>Сводная_поз</t>
  </si>
  <si>
    <t>архикад_демполы</t>
  </si>
  <si>
    <t>архикад_демстены</t>
  </si>
  <si>
    <t>архикад_демпроём</t>
  </si>
  <si>
    <t>архикад_закпроём</t>
  </si>
  <si>
    <t>архикад_устрпроём</t>
  </si>
  <si>
    <t>!System</t>
  </si>
  <si>
    <t>Демонтаж кровли, на все</t>
  </si>
  <si>
    <t>Демкров_об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</si>
</sst>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sz val="8"/>
      <color theme="1"/>
      <name val="Calibri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applyBorder="1"/>
    <xf numFmtId="0" fontId="20" fillId="33" borderId="20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6" borderId="12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6" borderId="18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2" fillId="37" borderId="0" xfId="0" applyFont="1" applyFill="1"/>
    <xf numFmtId="0" fontId="20" fillId="0" borderId="30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36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АР_спец Ведомость демонтажа полов" growShrinkType="overwriteClear" fillFormulas="1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АР_спец Ведомость демонтажа стен" growShrinkType="overwriteClear" fillFormulas="1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АР_спец_АБ Ведомость демонтажа оконных и дверных заполнений_1" growShrinkType="overwriteClear" fillFormulas="1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АР_спец_АБ Ведомость закладываемых проёмов" growShrinkType="overwriteClear" fillFormulas="1" connectionId="4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АР_спец_АБ Ведомость устраиваемых проёмов" growShrinkType="overwriteClear" fillFormulas="1" connectionId="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3:E21"/>
  <sheetViews>
    <sheetView tabSelected="1" zoomScale="85" zoomScaleNormal="85" workbookViewId="0">
      <selection activeCell="B39" sqref="B39"/>
    </sheetView>
  </sheetViews>
  <sheetFormatPr defaultColWidth="9.140625" defaultRowHeight="15" x14ac:dyDescent="0.25"/>
  <cols>
    <col min="1" max="5" width="36.7109375" style="40" customWidth="1"/>
    <col min="6" max="13" width="3.140625" style="5" customWidth="1"/>
    <col min="14" max="14" width="53.85546875" style="5" customWidth="1"/>
    <col min="15" max="21" width="100.85546875" style="5" customWidth="1"/>
    <col min="22" max="23" width="8.140625" style="5" customWidth="1"/>
    <col min="24" max="34" width="100.85546875" style="5" customWidth="1"/>
    <col min="35" max="16384" width="9.140625" style="5"/>
  </cols>
  <sheetData>
    <row r="3" spans="1:4" x14ac:dyDescent="0.25">
      <c r="A3" s="39" t="s">
        <v>2572</v>
      </c>
    </row>
    <row r="4" spans="1:4" x14ac:dyDescent="0.25">
      <c r="A4" s="39" t="s">
        <v>2571</v>
      </c>
    </row>
    <row r="5" spans="1:4" x14ac:dyDescent="0.25">
      <c r="C5" s="39" t="s">
        <v>2492</v>
      </c>
    </row>
    <row r="6" spans="1:4" x14ac:dyDescent="0.25">
      <c r="C6" s="39" t="s">
        <v>2430</v>
      </c>
    </row>
    <row r="7" spans="1:4" x14ac:dyDescent="0.25">
      <c r="C7" s="39" t="s">
        <v>2423</v>
      </c>
    </row>
    <row r="8" spans="1:4" x14ac:dyDescent="0.25">
      <c r="C8" s="39" t="s">
        <v>2548</v>
      </c>
    </row>
    <row r="9" spans="1:4" x14ac:dyDescent="0.25">
      <c r="C9" s="39" t="s">
        <v>2502</v>
      </c>
    </row>
    <row r="10" spans="1:4" x14ac:dyDescent="0.25">
      <c r="C10" s="39" t="s">
        <v>2476</v>
      </c>
    </row>
    <row r="11" spans="1:4" x14ac:dyDescent="0.25">
      <c r="C11" s="39" t="s">
        <v>2464</v>
      </c>
    </row>
    <row r="12" spans="1:4" x14ac:dyDescent="0.25">
      <c r="C12" s="39" t="s">
        <v>2570</v>
      </c>
    </row>
    <row r="13" spans="1:4" x14ac:dyDescent="0.25">
      <c r="C13" s="39" t="s">
        <v>2573</v>
      </c>
    </row>
    <row r="14" spans="1:4" x14ac:dyDescent="0.25">
      <c r="D14" s="39" t="s">
        <v>2574</v>
      </c>
    </row>
    <row r="15" spans="1:4" x14ac:dyDescent="0.25">
      <c r="D15" s="39" t="s">
        <v>2575</v>
      </c>
    </row>
    <row r="16" spans="1:4" x14ac:dyDescent="0.25">
      <c r="D16" s="39" t="s">
        <v>2576</v>
      </c>
    </row>
    <row r="17" spans="2:4" x14ac:dyDescent="0.25">
      <c r="D17" s="39" t="s">
        <v>2577</v>
      </c>
    </row>
    <row r="18" spans="2:4" x14ac:dyDescent="0.25">
      <c r="D18" s="39" t="s">
        <v>2578</v>
      </c>
    </row>
    <row r="19" spans="2:4" x14ac:dyDescent="0.25">
      <c r="D19" s="39" t="s">
        <v>2510</v>
      </c>
    </row>
    <row r="20" spans="2:4" x14ac:dyDescent="0.25">
      <c r="D20" s="39" t="s">
        <v>2581</v>
      </c>
    </row>
    <row r="21" spans="2:4" x14ac:dyDescent="0.25">
      <c r="B21" s="39" t="s">
        <v>2579</v>
      </c>
    </row>
  </sheetData>
  <dataConsolidate link="1"/>
  <conditionalFormatting sqref="A1:E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A3" location="'|Содержание|'!A1" display="'|Содержание|'!A1"/>
    <hyperlink ref="A4" location="'|Лог|'!A1" display="'|Лог|'!A1"/>
    <hyperlink ref="C5" location="'Сводная_спец'!C3" display="'Сводная_спец'!C3"/>
    <hyperlink ref="C6" location="'Демпстены_спец'!C3" display="'Демпстены_спец'!C3"/>
    <hyperlink ref="C7" location="'Демполы_спец'!C3" display="'Демполы_спец'!C3"/>
    <hyperlink ref="C8" location="'Демоб_спец'!C3" display="'Демоб_спец'!C3"/>
    <hyperlink ref="C9" location="'Устрпроём_спец'!C3" display="'Устрпроём_спец'!C3"/>
    <hyperlink ref="C10" location="'Закпроём_спец'!C3" display="'Закпроём_спец'!C3"/>
    <hyperlink ref="C11" location="'Демпроём_спец'!C3" display="'Демпроём_спец'!C3"/>
    <hyperlink ref="C12" location="'Демкров_спец'!C3" display="'Демкров_спец'!C3"/>
    <hyperlink ref="C13" location="'Сводная_поз'!C3" display="'Сводная_поз'!C3"/>
    <hyperlink ref="D14" location="'архикад_демполы'!D4" display="'архикад_демполы'!D4"/>
    <hyperlink ref="D15" location="'архикад_демстены'!D4" display="'архикад_демстены'!D4"/>
    <hyperlink ref="D16" location="'архикад_демпроём'!D4" display="'архикад_демпроём'!D4"/>
    <hyperlink ref="D17" location="'архикад_закпроём'!D4" display="'архикад_закпроём'!D4"/>
    <hyperlink ref="D18" location="'архикад_устрпроём'!D4" display="'архикад_устрпроём'!D4"/>
    <hyperlink ref="D19" location="'Сводная_об'!D4" display="'Сводная_об'!D4"/>
    <hyperlink ref="D20" location="'Демкров_об'!D4" display="'Демкров_об'!D4"/>
    <hyperlink ref="B21" location="'!System'!B2" display="'!System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 tint="1"/>
  </sheetPr>
  <dimension ref="A1:O1000"/>
  <sheetViews>
    <sheetView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 t="s">
        <v>2369</v>
      </c>
      <c r="B1" s="2" t="s">
        <v>2370</v>
      </c>
      <c r="C1" s="2" t="s">
        <v>2371</v>
      </c>
      <c r="D1" s="2" t="s">
        <v>2372</v>
      </c>
      <c r="E1" s="3" t="s">
        <v>2373</v>
      </c>
      <c r="F1" s="3" t="s">
        <v>2374</v>
      </c>
      <c r="G1" s="3" t="s">
        <v>2375</v>
      </c>
      <c r="H1" s="3" t="s">
        <v>2376</v>
      </c>
      <c r="I1" s="3" t="s">
        <v>2377</v>
      </c>
      <c r="J1" s="3" t="s">
        <v>2378</v>
      </c>
      <c r="K1" s="3" t="s">
        <v>2379</v>
      </c>
      <c r="L1" s="3" t="s">
        <v>2380</v>
      </c>
      <c r="M1" s="3" t="s">
        <v>2381</v>
      </c>
      <c r="N1" s="3" t="s">
        <v>2382</v>
      </c>
      <c r="O1" s="3" t="s">
        <v>2383</v>
      </c>
    </row>
    <row r="2" spans="1:15" ht="15.95" customHeight="1" x14ac:dyDescent="0.25">
      <c r="A2" s="4">
        <v>43353.596689814818</v>
      </c>
      <c r="B2" s="1" t="s">
        <v>2412</v>
      </c>
      <c r="C2" s="1" t="s">
        <v>2570</v>
      </c>
      <c r="D2" s="1" t="s">
        <v>2394</v>
      </c>
      <c r="E2" s="1" t="s">
        <v>2387</v>
      </c>
      <c r="F2" s="1">
        <v>3.15</v>
      </c>
      <c r="G2" s="1">
        <v>3.5</v>
      </c>
      <c r="H2" s="1">
        <v>3.4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5.9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15.95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t="15.9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ht="15.9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ht="15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ht="15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ht="15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ht="15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ht="15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ht="15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ht="15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ht="15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ht="15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ht="15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ht="15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ht="15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ht="15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ht="15.9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ht="15.9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ht="15.9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ht="15.9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ht="15.9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ht="15.9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ht="15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ht="15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ht="15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t="15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5.9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5.9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ht="15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5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15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5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5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5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ht="15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ht="15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ht="15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ht="15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ht="15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ht="15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ht="15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ht="15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ht="15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ht="15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ht="15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ht="15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ht="15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ht="15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ht="15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ht="15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ht="15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ht="15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ht="15.9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ht="15.9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ht="15.9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ht="15.9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ht="15.9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ht="15.9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ht="15.9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ht="15.9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ht="15.9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ht="15.9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5.9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5.9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5.9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5.9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5.9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5.9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5.9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5.9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5.9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5.9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5.9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5.9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5.9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5.9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5.9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5.9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5.9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5.9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5.9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5.9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5.9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5.9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5.9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5.9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5.9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5.9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5.9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5.9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5.9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5.9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5.9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5.9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5.9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5.9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5.9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5.9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5.9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5.9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5.9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5.9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5.9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5.9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5.9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5.9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5.9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5.9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5.9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5.9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5.9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5.9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5.9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5.9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5.9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5.9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5.9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5.9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5.9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5.9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5.9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5.9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5.9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5.9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5.9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5.9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5.9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5.9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5.9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5.9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5.9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5.9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5.9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5.9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5.9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5.9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5.9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5.9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5.9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5.9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5.9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5.9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5.9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5.9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5.9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5.9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5.9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5.9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5.9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5.9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5.9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5.9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5.9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5.9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5.9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5.9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5.9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5.9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5.9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5.9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5.9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5.9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5.9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5.9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5.9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5.9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5.9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5.9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5.9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5.9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5.9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5.9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5.9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5.9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5.9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5.9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5.9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5.9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5.9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5.9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5.9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5.9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5.9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5.9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5.9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5.9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5.9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5.9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5.9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5.9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5.9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5.9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5.9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5.9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5.9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5.9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5.9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5.9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5.9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5.9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5.9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5.9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5.9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5.9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5.9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5.9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5.9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5.9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5.9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5.9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5.9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5.9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5.9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5.9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5.9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5.9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5.9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5.9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5.9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5.9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5.9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5.9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5.9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5.9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5.9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5.9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5">
    <tabColor theme="7" tint="0.39997558519241921"/>
  </sheetPr>
  <dimension ref="A1:S96"/>
  <sheetViews>
    <sheetView topLeftCell="A82" workbookViewId="0">
      <selection activeCell="K9" sqref="K9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</cols>
  <sheetData>
    <row r="1" spans="1:19" ht="49.5" x14ac:dyDescent="0.25">
      <c r="A1" s="18" t="s">
        <v>2395</v>
      </c>
      <c r="B1" s="20" t="s">
        <v>2388</v>
      </c>
      <c r="C1" s="20" t="s">
        <v>2389</v>
      </c>
      <c r="D1" s="20" t="s">
        <v>2390</v>
      </c>
      <c r="E1" s="20" t="s">
        <v>2396</v>
      </c>
      <c r="F1" s="20" t="s">
        <v>2397</v>
      </c>
      <c r="G1" s="20" t="s">
        <v>2398</v>
      </c>
      <c r="H1" s="20" t="s">
        <v>2400</v>
      </c>
      <c r="I1" s="20"/>
      <c r="J1" s="20"/>
      <c r="K1" s="20" t="s">
        <v>2404</v>
      </c>
      <c r="L1" s="20"/>
      <c r="M1" s="20"/>
      <c r="N1" s="20"/>
      <c r="O1" s="20"/>
      <c r="P1" s="20"/>
      <c r="Q1" s="20"/>
      <c r="R1" s="19" t="s">
        <v>2399</v>
      </c>
      <c r="S1" s="21" t="s">
        <v>2421</v>
      </c>
    </row>
    <row r="2" spans="1:19" ht="66" x14ac:dyDescent="0.25">
      <c r="A2" s="12"/>
      <c r="B2" s="13"/>
      <c r="C2" s="13"/>
      <c r="D2" s="13"/>
      <c r="E2" s="13"/>
      <c r="F2" s="13"/>
      <c r="G2" s="13"/>
      <c r="H2" s="13" t="s">
        <v>2401</v>
      </c>
      <c r="I2" s="13" t="s">
        <v>2402</v>
      </c>
      <c r="J2" s="13" t="s">
        <v>2403</v>
      </c>
      <c r="K2" s="13" t="s">
        <v>2405</v>
      </c>
      <c r="L2" s="13" t="s">
        <v>2406</v>
      </c>
      <c r="M2" s="13" t="s">
        <v>2407</v>
      </c>
      <c r="N2" s="13" t="s">
        <v>2408</v>
      </c>
      <c r="O2" s="13" t="s">
        <v>2409</v>
      </c>
      <c r="P2" s="13" t="s">
        <v>2410</v>
      </c>
      <c r="Q2" s="13" t="s">
        <v>2411</v>
      </c>
      <c r="R2" s="14"/>
      <c r="S2" s="21" t="s">
        <v>2462</v>
      </c>
    </row>
    <row r="3" spans="1:19" ht="16.5" x14ac:dyDescent="0.25">
      <c r="A3" s="9" t="s">
        <v>2393</v>
      </c>
      <c r="B3" s="10" t="s">
        <v>2393</v>
      </c>
      <c r="C3" s="10" t="s">
        <v>2509</v>
      </c>
      <c r="D3" s="10" t="s">
        <v>2430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1"/>
      <c r="S3" s="21" t="s">
        <v>2530</v>
      </c>
    </row>
    <row r="4" spans="1:19" ht="33" x14ac:dyDescent="0.25">
      <c r="A4" s="12" t="s">
        <v>2429</v>
      </c>
      <c r="B4" s="13"/>
      <c r="C4" s="13"/>
      <c r="D4" s="13" t="s">
        <v>2525</v>
      </c>
      <c r="E4" s="13">
        <v>165</v>
      </c>
      <c r="F4" s="13"/>
      <c r="G4" s="13" t="s">
        <v>2362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  <c r="S4" s="21" t="s">
        <v>2562</v>
      </c>
    </row>
    <row r="5" spans="1:19" ht="16.5" x14ac:dyDescent="0.25">
      <c r="A5" s="12" t="s">
        <v>2429</v>
      </c>
      <c r="B5" s="13"/>
      <c r="C5" s="13"/>
      <c r="D5" s="13" t="s">
        <v>2526</v>
      </c>
      <c r="E5" s="13">
        <v>148</v>
      </c>
      <c r="F5" s="13"/>
      <c r="G5" s="13" t="s">
        <v>2362</v>
      </c>
      <c r="H5" s="13"/>
      <c r="I5" s="13"/>
      <c r="J5" s="13"/>
      <c r="K5" s="13"/>
      <c r="L5" s="13"/>
      <c r="M5" s="13"/>
      <c r="N5" s="13"/>
      <c r="O5" s="13"/>
      <c r="P5" s="13"/>
      <c r="Q5" s="13"/>
      <c r="R5" s="14"/>
      <c r="S5" s="21" t="s">
        <v>2474</v>
      </c>
    </row>
    <row r="6" spans="1:19" ht="33" x14ac:dyDescent="0.25">
      <c r="A6" s="12" t="s">
        <v>2429</v>
      </c>
      <c r="B6" s="13"/>
      <c r="C6" s="13"/>
      <c r="D6" s="13" t="s">
        <v>2465</v>
      </c>
      <c r="E6" s="13">
        <v>59.64</v>
      </c>
      <c r="F6" s="13"/>
      <c r="G6" s="13" t="s">
        <v>2362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4"/>
      <c r="S6" s="21" t="s">
        <v>2500</v>
      </c>
    </row>
    <row r="7" spans="1:19" ht="33" x14ac:dyDescent="0.25">
      <c r="A7" s="12" t="s">
        <v>2429</v>
      </c>
      <c r="B7" s="13"/>
      <c r="C7" s="13"/>
      <c r="D7" s="13" t="s">
        <v>2466</v>
      </c>
      <c r="E7" s="13">
        <v>54.48</v>
      </c>
      <c r="F7" s="13"/>
      <c r="G7" s="13" t="s">
        <v>2362</v>
      </c>
      <c r="H7" s="13"/>
      <c r="I7" s="13"/>
      <c r="J7" s="13"/>
      <c r="K7" s="13"/>
      <c r="L7" s="13"/>
      <c r="M7" s="13"/>
      <c r="N7" s="13"/>
      <c r="O7" s="13"/>
      <c r="P7" s="13"/>
      <c r="Q7" s="13"/>
      <c r="R7" s="14"/>
    </row>
    <row r="8" spans="1:19" ht="33" x14ac:dyDescent="0.25">
      <c r="A8" s="12" t="s">
        <v>2429</v>
      </c>
      <c r="B8" s="13"/>
      <c r="C8" s="13"/>
      <c r="D8" s="13" t="s">
        <v>2467</v>
      </c>
      <c r="E8" s="13">
        <v>364.7</v>
      </c>
      <c r="F8" s="13"/>
      <c r="G8" s="13" t="s">
        <v>2362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4"/>
    </row>
    <row r="9" spans="1:19" ht="33" x14ac:dyDescent="0.25">
      <c r="A9" s="12" t="s">
        <v>2429</v>
      </c>
      <c r="B9" s="13"/>
      <c r="C9" s="13"/>
      <c r="D9" s="13" t="s">
        <v>2468</v>
      </c>
      <c r="E9" s="13">
        <v>705.55</v>
      </c>
      <c r="F9" s="13"/>
      <c r="G9" s="13" t="s">
        <v>2362</v>
      </c>
      <c r="H9" s="13"/>
      <c r="I9" s="13"/>
      <c r="J9" s="13"/>
      <c r="K9" s="13"/>
      <c r="L9" s="13"/>
      <c r="M9" s="13"/>
      <c r="N9" s="13"/>
      <c r="O9" s="13"/>
      <c r="P9" s="13"/>
      <c r="Q9" s="13"/>
      <c r="R9" s="14"/>
    </row>
    <row r="10" spans="1:19" ht="16.5" x14ac:dyDescent="0.25">
      <c r="A10" s="9" t="s">
        <v>2393</v>
      </c>
      <c r="B10" s="10" t="s">
        <v>2393</v>
      </c>
      <c r="C10" s="10" t="s">
        <v>2509</v>
      </c>
      <c r="D10" s="10" t="s">
        <v>2423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1"/>
    </row>
    <row r="11" spans="1:19" ht="33" x14ac:dyDescent="0.25">
      <c r="A11" s="12" t="s">
        <v>2421</v>
      </c>
      <c r="B11" s="13"/>
      <c r="C11" s="13"/>
      <c r="D11" s="13" t="s">
        <v>2528</v>
      </c>
      <c r="E11" s="13">
        <v>263.39999999999998</v>
      </c>
      <c r="F11" s="13"/>
      <c r="G11" s="13" t="s">
        <v>2361</v>
      </c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1:19" ht="33" x14ac:dyDescent="0.25">
      <c r="A12" s="12" t="s">
        <v>2421</v>
      </c>
      <c r="B12" s="13"/>
      <c r="C12" s="13"/>
      <c r="D12" s="13" t="s">
        <v>2529</v>
      </c>
      <c r="E12" s="13">
        <v>309.7</v>
      </c>
      <c r="F12" s="13"/>
      <c r="G12" s="13" t="s">
        <v>2361</v>
      </c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1:19" ht="33" x14ac:dyDescent="0.25">
      <c r="A13" s="12" t="s">
        <v>2421</v>
      </c>
      <c r="B13" s="13"/>
      <c r="C13" s="13"/>
      <c r="D13" s="13" t="s">
        <v>2564</v>
      </c>
      <c r="E13" s="13">
        <v>40</v>
      </c>
      <c r="F13" s="13"/>
      <c r="G13" s="13" t="s">
        <v>3</v>
      </c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</row>
    <row r="14" spans="1:19" ht="49.5" x14ac:dyDescent="0.25">
      <c r="A14" s="12" t="s">
        <v>2421</v>
      </c>
      <c r="B14" s="13"/>
      <c r="C14" s="13"/>
      <c r="D14" s="13" t="s">
        <v>2565</v>
      </c>
      <c r="E14" s="13">
        <v>40</v>
      </c>
      <c r="F14" s="13"/>
      <c r="G14" s="13" t="s">
        <v>3</v>
      </c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1:19" ht="33" x14ac:dyDescent="0.25">
      <c r="A15" s="12" t="s">
        <v>2421</v>
      </c>
      <c r="B15" s="13"/>
      <c r="C15" s="7"/>
      <c r="D15" s="8" t="s">
        <v>2556</v>
      </c>
      <c r="E15" s="8">
        <v>273.18</v>
      </c>
      <c r="F15" s="8" t="s">
        <v>4</v>
      </c>
      <c r="G15" s="8" t="s">
        <v>2362</v>
      </c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1:19" ht="33" x14ac:dyDescent="0.25">
      <c r="A16" s="12" t="s">
        <v>2421</v>
      </c>
      <c r="B16" s="13"/>
      <c r="C16" s="13"/>
      <c r="D16" s="13" t="s">
        <v>2485</v>
      </c>
      <c r="E16" s="13">
        <v>165.75</v>
      </c>
      <c r="F16" s="13"/>
      <c r="G16" s="13" t="s">
        <v>2362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1:18" ht="33" x14ac:dyDescent="0.25">
      <c r="A17" s="12" t="s">
        <v>2421</v>
      </c>
      <c r="B17" s="13"/>
      <c r="C17" s="13"/>
      <c r="D17" s="13" t="s">
        <v>2486</v>
      </c>
      <c r="E17" s="13">
        <v>686.22</v>
      </c>
      <c r="F17" s="13"/>
      <c r="G17" s="13" t="s">
        <v>2362</v>
      </c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1:18" ht="16.5" x14ac:dyDescent="0.25">
      <c r="A18" s="12" t="s">
        <v>2421</v>
      </c>
      <c r="B18" s="13"/>
      <c r="C18" s="13"/>
      <c r="D18" s="13" t="s">
        <v>2552</v>
      </c>
      <c r="E18" s="13">
        <v>35.04</v>
      </c>
      <c r="F18" s="13"/>
      <c r="G18" s="13" t="s">
        <v>2362</v>
      </c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1:18" ht="16.5" x14ac:dyDescent="0.25">
      <c r="A19" s="12" t="s">
        <v>2421</v>
      </c>
      <c r="B19" s="13"/>
      <c r="C19" s="13"/>
      <c r="D19" s="13" t="s">
        <v>2557</v>
      </c>
      <c r="E19" s="13">
        <v>117.81</v>
      </c>
      <c r="F19" s="13"/>
      <c r="G19" s="13" t="s">
        <v>2362</v>
      </c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1:18" ht="33" x14ac:dyDescent="0.25">
      <c r="A20" s="12" t="s">
        <v>2421</v>
      </c>
      <c r="B20" s="13"/>
      <c r="C20" s="13"/>
      <c r="D20" s="13" t="s">
        <v>2487</v>
      </c>
      <c r="E20" s="13">
        <v>188.49</v>
      </c>
      <c r="F20" s="13"/>
      <c r="G20" s="13" t="s">
        <v>2362</v>
      </c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4"/>
    </row>
    <row r="21" spans="1:18" ht="33" x14ac:dyDescent="0.25">
      <c r="A21" s="12" t="s">
        <v>2421</v>
      </c>
      <c r="B21" s="13"/>
      <c r="C21" s="13"/>
      <c r="D21" s="13" t="s">
        <v>2488</v>
      </c>
      <c r="E21" s="13">
        <v>477.53</v>
      </c>
      <c r="F21" s="13"/>
      <c r="G21" s="13" t="s">
        <v>2362</v>
      </c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1:18" ht="33" x14ac:dyDescent="0.25">
      <c r="A22" s="12" t="s">
        <v>2421</v>
      </c>
      <c r="B22" s="13"/>
      <c r="C22" s="13"/>
      <c r="D22" s="13" t="s">
        <v>2558</v>
      </c>
      <c r="E22" s="13">
        <v>273.18</v>
      </c>
      <c r="F22" s="13"/>
      <c r="G22" s="13" t="s">
        <v>2362</v>
      </c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1:18" ht="33" x14ac:dyDescent="0.25">
      <c r="A23" s="12" t="s">
        <v>2421</v>
      </c>
      <c r="B23" s="13"/>
      <c r="C23" s="13"/>
      <c r="D23" s="13" t="s">
        <v>2489</v>
      </c>
      <c r="E23" s="13">
        <v>188.49</v>
      </c>
      <c r="F23" s="13"/>
      <c r="G23" s="13" t="s">
        <v>2362</v>
      </c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4"/>
    </row>
    <row r="24" spans="1:18" ht="49.5" x14ac:dyDescent="0.25">
      <c r="A24" s="12" t="s">
        <v>2421</v>
      </c>
      <c r="B24" s="13"/>
      <c r="C24" s="13"/>
      <c r="D24" s="13" t="s">
        <v>2490</v>
      </c>
      <c r="E24" s="13">
        <v>578.46</v>
      </c>
      <c r="F24" s="13"/>
      <c r="G24" s="13" t="s">
        <v>2362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4"/>
    </row>
    <row r="25" spans="1:18" ht="16.5" x14ac:dyDescent="0.25">
      <c r="A25" s="12" t="s">
        <v>2421</v>
      </c>
      <c r="B25" s="13"/>
      <c r="C25" s="13"/>
      <c r="D25" s="13" t="s">
        <v>2491</v>
      </c>
      <c r="E25" s="13">
        <v>357.73</v>
      </c>
      <c r="F25" s="13"/>
      <c r="G25" s="13" t="s">
        <v>2362</v>
      </c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1:18" ht="16.5" x14ac:dyDescent="0.25">
      <c r="A26" s="9" t="s">
        <v>2393</v>
      </c>
      <c r="B26" s="10" t="s">
        <v>2393</v>
      </c>
      <c r="C26" s="10" t="s">
        <v>2509</v>
      </c>
      <c r="D26" s="10" t="s">
        <v>2548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1"/>
    </row>
    <row r="27" spans="1:18" ht="16.5" x14ac:dyDescent="0.25">
      <c r="A27" s="12" t="s">
        <v>2530</v>
      </c>
      <c r="B27" s="13"/>
      <c r="C27" s="13"/>
      <c r="D27" s="13" t="s">
        <v>2532</v>
      </c>
      <c r="E27" s="13">
        <v>7</v>
      </c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4"/>
    </row>
    <row r="28" spans="1:18" ht="16.5" x14ac:dyDescent="0.25">
      <c r="A28" s="12" t="s">
        <v>2530</v>
      </c>
      <c r="B28" s="13"/>
      <c r="C28" s="13"/>
      <c r="D28" s="13" t="s">
        <v>2533</v>
      </c>
      <c r="E28" s="13">
        <v>11</v>
      </c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  <row r="29" spans="1:18" ht="33" x14ac:dyDescent="0.25">
      <c r="A29" s="12" t="s">
        <v>2530</v>
      </c>
      <c r="B29" s="13"/>
      <c r="C29" s="7"/>
      <c r="D29" s="8" t="s">
        <v>2534</v>
      </c>
      <c r="E29" s="8">
        <v>7.66</v>
      </c>
      <c r="F29" s="8" t="s">
        <v>4</v>
      </c>
      <c r="G29" s="8" t="s">
        <v>3</v>
      </c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4"/>
    </row>
    <row r="30" spans="1:18" ht="33" x14ac:dyDescent="0.25">
      <c r="A30" s="12" t="s">
        <v>2530</v>
      </c>
      <c r="B30" s="13"/>
      <c r="C30" s="13"/>
      <c r="D30" s="13" t="s">
        <v>2546</v>
      </c>
      <c r="E30" s="13">
        <v>21</v>
      </c>
      <c r="F30" s="13"/>
      <c r="G30" s="13" t="s">
        <v>2361</v>
      </c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1:18" ht="33" x14ac:dyDescent="0.25">
      <c r="A31" s="12" t="s">
        <v>2530</v>
      </c>
      <c r="B31" s="13"/>
      <c r="C31" s="13"/>
      <c r="D31" s="13" t="s">
        <v>2547</v>
      </c>
      <c r="E31" s="13">
        <v>14</v>
      </c>
      <c r="F31" s="13"/>
      <c r="G31" s="13" t="s">
        <v>2361</v>
      </c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1:18" ht="33" x14ac:dyDescent="0.25">
      <c r="A32" s="12" t="s">
        <v>2530</v>
      </c>
      <c r="B32" s="13"/>
      <c r="C32" s="13"/>
      <c r="D32" s="13" t="s">
        <v>2545</v>
      </c>
      <c r="E32" s="13">
        <v>10.1</v>
      </c>
      <c r="F32" s="13"/>
      <c r="G32" s="13" t="s">
        <v>2361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</row>
    <row r="33" spans="1:18" ht="16.5" x14ac:dyDescent="0.25">
      <c r="A33" s="12" t="s">
        <v>2530</v>
      </c>
      <c r="B33" s="13"/>
      <c r="C33" s="13"/>
      <c r="D33" s="13" t="s">
        <v>2535</v>
      </c>
      <c r="E33" s="13">
        <v>74</v>
      </c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4"/>
    </row>
    <row r="34" spans="1:18" ht="33" x14ac:dyDescent="0.25">
      <c r="A34" s="12" t="s">
        <v>2530</v>
      </c>
      <c r="B34" s="13"/>
      <c r="C34" s="13"/>
      <c r="D34" s="13" t="s">
        <v>2536</v>
      </c>
      <c r="E34" s="13">
        <v>5</v>
      </c>
      <c r="F34" s="13"/>
      <c r="G34" s="13" t="s">
        <v>2361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4"/>
    </row>
    <row r="35" spans="1:18" ht="33" x14ac:dyDescent="0.25">
      <c r="A35" s="12" t="s">
        <v>2530</v>
      </c>
      <c r="B35" s="13"/>
      <c r="C35" s="13"/>
      <c r="D35" s="13" t="s">
        <v>2537</v>
      </c>
      <c r="E35" s="13">
        <v>23.7</v>
      </c>
      <c r="F35" s="13"/>
      <c r="G35" s="13" t="s">
        <v>2361</v>
      </c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4"/>
    </row>
    <row r="36" spans="1:18" ht="33" x14ac:dyDescent="0.25">
      <c r="A36" s="12" t="s">
        <v>2530</v>
      </c>
      <c r="B36" s="13"/>
      <c r="C36" s="13"/>
      <c r="D36" s="13" t="s">
        <v>2538</v>
      </c>
      <c r="E36" s="13">
        <v>9</v>
      </c>
      <c r="F36" s="13"/>
      <c r="G36" s="13" t="s">
        <v>2361</v>
      </c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4"/>
    </row>
    <row r="37" spans="1:18" ht="33" x14ac:dyDescent="0.25">
      <c r="A37" s="12" t="s">
        <v>2530</v>
      </c>
      <c r="B37" s="13"/>
      <c r="C37" s="13"/>
      <c r="D37" s="13" t="s">
        <v>2539</v>
      </c>
      <c r="E37" s="13">
        <v>190.5</v>
      </c>
      <c r="F37" s="13"/>
      <c r="G37" s="13" t="s">
        <v>2361</v>
      </c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4"/>
    </row>
    <row r="38" spans="1:18" ht="33" x14ac:dyDescent="0.25">
      <c r="A38" s="12" t="s">
        <v>2530</v>
      </c>
      <c r="B38" s="13"/>
      <c r="C38" s="13"/>
      <c r="D38" s="13" t="s">
        <v>2540</v>
      </c>
      <c r="E38" s="13">
        <v>21</v>
      </c>
      <c r="F38" s="13"/>
      <c r="G38" s="13" t="s">
        <v>2361</v>
      </c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4"/>
    </row>
    <row r="39" spans="1:18" ht="33" x14ac:dyDescent="0.25">
      <c r="A39" s="12" t="s">
        <v>2530</v>
      </c>
      <c r="B39" s="13"/>
      <c r="C39" s="13"/>
      <c r="D39" s="13" t="s">
        <v>2541</v>
      </c>
      <c r="E39" s="13">
        <v>142</v>
      </c>
      <c r="F39" s="13"/>
      <c r="G39" s="13" t="s">
        <v>2361</v>
      </c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4"/>
    </row>
    <row r="40" spans="1:18" ht="33" x14ac:dyDescent="0.25">
      <c r="A40" s="12" t="s">
        <v>2530</v>
      </c>
      <c r="B40" s="13"/>
      <c r="C40" s="13"/>
      <c r="D40" s="13" t="s">
        <v>2542</v>
      </c>
      <c r="E40" s="13">
        <v>89.4</v>
      </c>
      <c r="F40" s="13"/>
      <c r="G40" s="13" t="s">
        <v>2361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4"/>
    </row>
    <row r="41" spans="1:18" ht="33" x14ac:dyDescent="0.25">
      <c r="A41" s="12" t="s">
        <v>2530</v>
      </c>
      <c r="B41" s="13"/>
      <c r="C41" s="13"/>
      <c r="D41" s="13" t="s">
        <v>2543</v>
      </c>
      <c r="E41" s="13">
        <v>26</v>
      </c>
      <c r="F41" s="13"/>
      <c r="G41" s="13" t="s">
        <v>2361</v>
      </c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</row>
    <row r="42" spans="1:18" ht="33" x14ac:dyDescent="0.25">
      <c r="A42" s="12" t="s">
        <v>2530</v>
      </c>
      <c r="B42" s="13"/>
      <c r="C42" s="13"/>
      <c r="D42" s="13" t="s">
        <v>2544</v>
      </c>
      <c r="E42" s="13">
        <v>10.4</v>
      </c>
      <c r="F42" s="13"/>
      <c r="G42" s="13" t="s">
        <v>2361</v>
      </c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</row>
    <row r="43" spans="1:18" ht="33" x14ac:dyDescent="0.25">
      <c r="A43" s="12" t="s">
        <v>2530</v>
      </c>
      <c r="B43" s="13"/>
      <c r="C43" s="13"/>
      <c r="D43" s="13" t="s">
        <v>2553</v>
      </c>
      <c r="E43" s="13">
        <v>508</v>
      </c>
      <c r="F43" s="13"/>
      <c r="G43" s="13" t="s">
        <v>2363</v>
      </c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</row>
    <row r="44" spans="1:18" ht="49.5" x14ac:dyDescent="0.25">
      <c r="A44" s="12" t="s">
        <v>2530</v>
      </c>
      <c r="B44" s="13"/>
      <c r="C44" s="13"/>
      <c r="D44" s="13" t="s">
        <v>2554</v>
      </c>
      <c r="E44" s="13">
        <v>1530</v>
      </c>
      <c r="F44" s="13"/>
      <c r="G44" s="13" t="s">
        <v>2363</v>
      </c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4"/>
    </row>
    <row r="45" spans="1:18" ht="66" x14ac:dyDescent="0.25">
      <c r="A45" s="12" t="s">
        <v>2530</v>
      </c>
      <c r="B45" s="13"/>
      <c r="C45" s="13"/>
      <c r="D45" s="13" t="s">
        <v>2555</v>
      </c>
      <c r="E45" s="13">
        <v>1655</v>
      </c>
      <c r="F45" s="13"/>
      <c r="G45" s="13" t="s">
        <v>2363</v>
      </c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4"/>
    </row>
    <row r="46" spans="1:18" ht="16.5" x14ac:dyDescent="0.25">
      <c r="A46" s="9" t="s">
        <v>2393</v>
      </c>
      <c r="B46" s="10" t="s">
        <v>2393</v>
      </c>
      <c r="C46" s="10" t="s">
        <v>2509</v>
      </c>
      <c r="D46" s="10" t="s">
        <v>2502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1"/>
    </row>
    <row r="47" spans="1:18" ht="66" x14ac:dyDescent="0.25">
      <c r="A47" s="12" t="s">
        <v>2500</v>
      </c>
      <c r="B47" s="13" t="s">
        <v>2494</v>
      </c>
      <c r="C47" s="13"/>
      <c r="D47" s="13" t="s">
        <v>2503</v>
      </c>
      <c r="E47" s="13">
        <v>1</v>
      </c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4"/>
    </row>
    <row r="48" spans="1:18" ht="66" x14ac:dyDescent="0.25">
      <c r="A48" s="12" t="s">
        <v>2500</v>
      </c>
      <c r="B48" s="13" t="s">
        <v>2495</v>
      </c>
      <c r="C48" s="13"/>
      <c r="D48" s="13" t="s">
        <v>2504</v>
      </c>
      <c r="E48" s="13">
        <v>1</v>
      </c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4"/>
    </row>
    <row r="49" spans="1:18" ht="66" x14ac:dyDescent="0.25">
      <c r="A49" s="12" t="s">
        <v>2500</v>
      </c>
      <c r="B49" s="13" t="s">
        <v>2496</v>
      </c>
      <c r="C49" s="13"/>
      <c r="D49" s="13" t="s">
        <v>2505</v>
      </c>
      <c r="E49" s="13">
        <v>11</v>
      </c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4"/>
    </row>
    <row r="50" spans="1:18" ht="66" x14ac:dyDescent="0.25">
      <c r="A50" s="12" t="s">
        <v>2500</v>
      </c>
      <c r="B50" s="13" t="s">
        <v>2497</v>
      </c>
      <c r="C50" s="13"/>
      <c r="D50" s="13" t="s">
        <v>2506</v>
      </c>
      <c r="E50" s="13">
        <v>1</v>
      </c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4"/>
    </row>
    <row r="51" spans="1:18" ht="66" x14ac:dyDescent="0.25">
      <c r="A51" s="12" t="s">
        <v>2500</v>
      </c>
      <c r="B51" s="13" t="s">
        <v>2499</v>
      </c>
      <c r="C51" s="13"/>
      <c r="D51" s="13" t="s">
        <v>2507</v>
      </c>
      <c r="E51" s="13">
        <v>4</v>
      </c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4"/>
    </row>
    <row r="52" spans="1:18" ht="66" x14ac:dyDescent="0.25">
      <c r="A52" s="12" t="s">
        <v>2500</v>
      </c>
      <c r="B52" s="13" t="s">
        <v>2559</v>
      </c>
      <c r="C52" s="13"/>
      <c r="D52" s="13" t="s">
        <v>2508</v>
      </c>
      <c r="E52" s="13">
        <v>1</v>
      </c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4"/>
    </row>
    <row r="53" spans="1:18" ht="16.5" x14ac:dyDescent="0.25">
      <c r="A53" s="9" t="s">
        <v>2393</v>
      </c>
      <c r="B53" s="10" t="s">
        <v>2393</v>
      </c>
      <c r="C53" s="10" t="s">
        <v>2509</v>
      </c>
      <c r="D53" s="10" t="s">
        <v>2476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1"/>
    </row>
    <row r="54" spans="1:18" ht="66" x14ac:dyDescent="0.25">
      <c r="A54" s="12" t="s">
        <v>2474</v>
      </c>
      <c r="B54" s="13" t="s">
        <v>2446</v>
      </c>
      <c r="C54" s="13"/>
      <c r="D54" s="13" t="s">
        <v>2477</v>
      </c>
      <c r="E54" s="13">
        <v>2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4"/>
    </row>
    <row r="55" spans="1:18" ht="66" x14ac:dyDescent="0.25">
      <c r="A55" s="12" t="s">
        <v>2474</v>
      </c>
      <c r="B55" s="13" t="s">
        <v>2447</v>
      </c>
      <c r="C55" s="13"/>
      <c r="D55" s="13" t="s">
        <v>2478</v>
      </c>
      <c r="E55" s="13">
        <v>3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4"/>
    </row>
    <row r="56" spans="1:18" ht="66" x14ac:dyDescent="0.25">
      <c r="A56" s="12" t="s">
        <v>2474</v>
      </c>
      <c r="B56" s="13" t="s">
        <v>2448</v>
      </c>
      <c r="C56" s="13"/>
      <c r="D56" s="13" t="s">
        <v>2479</v>
      </c>
      <c r="E56" s="13">
        <v>1</v>
      </c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4"/>
    </row>
    <row r="57" spans="1:18" ht="66" x14ac:dyDescent="0.25">
      <c r="A57" s="12" t="s">
        <v>2474</v>
      </c>
      <c r="B57" s="13" t="s">
        <v>2448</v>
      </c>
      <c r="C57" s="13"/>
      <c r="D57" s="13" t="s">
        <v>2480</v>
      </c>
      <c r="E57" s="13">
        <v>1</v>
      </c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4"/>
    </row>
    <row r="58" spans="1:18" ht="66" x14ac:dyDescent="0.25">
      <c r="A58" s="12" t="s">
        <v>2474</v>
      </c>
      <c r="B58" s="13" t="s">
        <v>2449</v>
      </c>
      <c r="C58" s="13"/>
      <c r="D58" s="13" t="s">
        <v>2481</v>
      </c>
      <c r="E58" s="13">
        <v>1</v>
      </c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4"/>
    </row>
    <row r="59" spans="1:18" ht="66" x14ac:dyDescent="0.25">
      <c r="A59" s="12" t="s">
        <v>2474</v>
      </c>
      <c r="B59" s="13" t="s">
        <v>2450</v>
      </c>
      <c r="C59" s="13"/>
      <c r="D59" s="13" t="s">
        <v>2482</v>
      </c>
      <c r="E59" s="13">
        <v>1</v>
      </c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4"/>
    </row>
    <row r="60" spans="1:18" ht="66" x14ac:dyDescent="0.25">
      <c r="A60" s="12" t="s">
        <v>2474</v>
      </c>
      <c r="B60" s="13" t="s">
        <v>2444</v>
      </c>
      <c r="C60" s="13"/>
      <c r="D60" s="13" t="s">
        <v>2483</v>
      </c>
      <c r="E60" s="13">
        <v>1</v>
      </c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4"/>
    </row>
    <row r="61" spans="1:18" ht="66" x14ac:dyDescent="0.25">
      <c r="A61" s="12" t="s">
        <v>2474</v>
      </c>
      <c r="B61" s="13" t="s">
        <v>2451</v>
      </c>
      <c r="C61" s="13"/>
      <c r="D61" s="13" t="s">
        <v>2484</v>
      </c>
      <c r="E61" s="13">
        <v>1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4"/>
    </row>
    <row r="62" spans="1:18" ht="16.5" x14ac:dyDescent="0.25">
      <c r="A62" s="9" t="s">
        <v>2393</v>
      </c>
      <c r="B62" s="10" t="s">
        <v>2393</v>
      </c>
      <c r="C62" s="10" t="s">
        <v>2509</v>
      </c>
      <c r="D62" s="10" t="s">
        <v>2464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1"/>
    </row>
    <row r="63" spans="1:18" ht="66" x14ac:dyDescent="0.25">
      <c r="A63" s="12" t="s">
        <v>2462</v>
      </c>
      <c r="B63" s="13"/>
      <c r="C63" s="7"/>
      <c r="D63" s="8" t="s">
        <v>2527</v>
      </c>
      <c r="E63" s="8">
        <v>47</v>
      </c>
      <c r="F63" s="8" t="s">
        <v>4</v>
      </c>
      <c r="G63" s="8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4"/>
    </row>
    <row r="64" spans="1:18" ht="33" x14ac:dyDescent="0.25">
      <c r="A64" s="12" t="s">
        <v>2462</v>
      </c>
      <c r="B64" s="13" t="s">
        <v>2434</v>
      </c>
      <c r="C64" s="13"/>
      <c r="D64" s="13" t="s">
        <v>2514</v>
      </c>
      <c r="E64" s="13">
        <v>8</v>
      </c>
      <c r="F64" s="13"/>
      <c r="G64" s="13" t="s">
        <v>2435</v>
      </c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4"/>
    </row>
    <row r="65" spans="1:18" ht="33" x14ac:dyDescent="0.25">
      <c r="A65" s="12" t="s">
        <v>2462</v>
      </c>
      <c r="B65" s="13" t="s">
        <v>2436</v>
      </c>
      <c r="C65" s="13"/>
      <c r="D65" s="13" t="s">
        <v>2515</v>
      </c>
      <c r="E65" s="13">
        <v>6</v>
      </c>
      <c r="F65" s="13"/>
      <c r="G65" s="13" t="s">
        <v>2435</v>
      </c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4"/>
    </row>
    <row r="66" spans="1:18" ht="33" x14ac:dyDescent="0.25">
      <c r="A66" s="12" t="s">
        <v>2462</v>
      </c>
      <c r="B66" s="13" t="s">
        <v>2437</v>
      </c>
      <c r="C66" s="13"/>
      <c r="D66" s="13" t="s">
        <v>2516</v>
      </c>
      <c r="E66" s="13">
        <v>2</v>
      </c>
      <c r="F66" s="13"/>
      <c r="G66" s="13" t="s">
        <v>2435</v>
      </c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4"/>
    </row>
    <row r="67" spans="1:18" ht="33" x14ac:dyDescent="0.25">
      <c r="A67" s="12" t="s">
        <v>2462</v>
      </c>
      <c r="B67" s="13" t="s">
        <v>2438</v>
      </c>
      <c r="C67" s="13"/>
      <c r="D67" s="13" t="s">
        <v>2517</v>
      </c>
      <c r="E67" s="13">
        <v>4</v>
      </c>
      <c r="F67" s="13"/>
      <c r="G67" s="13" t="s">
        <v>2435</v>
      </c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4"/>
    </row>
    <row r="68" spans="1:18" ht="33" x14ac:dyDescent="0.25">
      <c r="A68" s="12" t="s">
        <v>2462</v>
      </c>
      <c r="B68" s="13" t="s">
        <v>2439</v>
      </c>
      <c r="C68" s="13"/>
      <c r="D68" s="13" t="s">
        <v>2518</v>
      </c>
      <c r="E68" s="13">
        <v>7</v>
      </c>
      <c r="F68" s="13"/>
      <c r="G68" s="13" t="s">
        <v>2435</v>
      </c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4"/>
    </row>
    <row r="69" spans="1:18" ht="33" x14ac:dyDescent="0.25">
      <c r="A69" s="12" t="s">
        <v>2462</v>
      </c>
      <c r="B69" s="13" t="s">
        <v>2440</v>
      </c>
      <c r="C69" s="13"/>
      <c r="D69" s="13" t="s">
        <v>2519</v>
      </c>
      <c r="E69" s="13">
        <v>1</v>
      </c>
      <c r="F69" s="13"/>
      <c r="G69" s="13" t="s">
        <v>2435</v>
      </c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4"/>
    </row>
    <row r="70" spans="1:18" ht="33" x14ac:dyDescent="0.25">
      <c r="A70" s="12" t="s">
        <v>2462</v>
      </c>
      <c r="B70" s="13" t="s">
        <v>2441</v>
      </c>
      <c r="C70" s="13"/>
      <c r="D70" s="13" t="s">
        <v>2520</v>
      </c>
      <c r="E70" s="13">
        <v>1</v>
      </c>
      <c r="F70" s="13"/>
      <c r="G70" s="13" t="s">
        <v>2435</v>
      </c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4"/>
    </row>
    <row r="71" spans="1:18" ht="33" x14ac:dyDescent="0.25">
      <c r="A71" s="12" t="s">
        <v>2462</v>
      </c>
      <c r="B71" s="13" t="s">
        <v>2442</v>
      </c>
      <c r="C71" s="13"/>
      <c r="D71" s="13" t="s">
        <v>2521</v>
      </c>
      <c r="E71" s="13">
        <v>1</v>
      </c>
      <c r="F71" s="13"/>
      <c r="G71" s="13" t="s">
        <v>2435</v>
      </c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4"/>
    </row>
    <row r="72" spans="1:18" ht="33" x14ac:dyDescent="0.25">
      <c r="A72" s="12" t="s">
        <v>2462</v>
      </c>
      <c r="B72" s="13" t="s">
        <v>2443</v>
      </c>
      <c r="C72" s="13"/>
      <c r="D72" s="13" t="s">
        <v>2522</v>
      </c>
      <c r="E72" s="13">
        <v>3</v>
      </c>
      <c r="F72" s="13"/>
      <c r="G72" s="13" t="s">
        <v>2435</v>
      </c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4"/>
    </row>
    <row r="73" spans="1:18" ht="33" x14ac:dyDescent="0.25">
      <c r="A73" s="12" t="s">
        <v>2462</v>
      </c>
      <c r="B73" s="13" t="s">
        <v>2444</v>
      </c>
      <c r="C73" s="13"/>
      <c r="D73" s="13" t="s">
        <v>2523</v>
      </c>
      <c r="E73" s="13">
        <v>1</v>
      </c>
      <c r="F73" s="13"/>
      <c r="G73" s="13" t="s">
        <v>2445</v>
      </c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4"/>
    </row>
    <row r="74" spans="1:18" ht="33" x14ac:dyDescent="0.25">
      <c r="A74" s="12" t="s">
        <v>2462</v>
      </c>
      <c r="B74" s="13" t="s">
        <v>2446</v>
      </c>
      <c r="C74" s="13"/>
      <c r="D74" s="13" t="s">
        <v>2524</v>
      </c>
      <c r="E74" s="13">
        <v>2</v>
      </c>
      <c r="F74" s="13"/>
      <c r="G74" s="13" t="s">
        <v>2445</v>
      </c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4"/>
    </row>
    <row r="75" spans="1:18" ht="33" x14ac:dyDescent="0.25">
      <c r="A75" s="12" t="s">
        <v>2462</v>
      </c>
      <c r="B75" s="13" t="s">
        <v>2447</v>
      </c>
      <c r="C75" s="13"/>
      <c r="D75" s="13" t="s">
        <v>2519</v>
      </c>
      <c r="E75" s="13">
        <v>3</v>
      </c>
      <c r="F75" s="13"/>
      <c r="G75" s="13" t="s">
        <v>2445</v>
      </c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4"/>
    </row>
    <row r="76" spans="1:18" ht="33" x14ac:dyDescent="0.25">
      <c r="A76" s="12" t="s">
        <v>2462</v>
      </c>
      <c r="B76" s="13" t="s">
        <v>2448</v>
      </c>
      <c r="C76" s="13"/>
      <c r="D76" s="13" t="s">
        <v>2517</v>
      </c>
      <c r="E76" s="13">
        <v>2</v>
      </c>
      <c r="F76" s="13"/>
      <c r="G76" s="13" t="s">
        <v>2445</v>
      </c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4"/>
    </row>
    <row r="77" spans="1:18" ht="33" x14ac:dyDescent="0.25">
      <c r="A77" s="12" t="s">
        <v>2462</v>
      </c>
      <c r="B77" s="13" t="s">
        <v>2449</v>
      </c>
      <c r="C77" s="13"/>
      <c r="D77" s="13" t="s">
        <v>2520</v>
      </c>
      <c r="E77" s="13">
        <v>1</v>
      </c>
      <c r="F77" s="13"/>
      <c r="G77" s="13" t="s">
        <v>2445</v>
      </c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4"/>
    </row>
    <row r="78" spans="1:18" ht="33" x14ac:dyDescent="0.25">
      <c r="A78" s="12" t="s">
        <v>2462</v>
      </c>
      <c r="B78" s="13" t="s">
        <v>2450</v>
      </c>
      <c r="C78" s="13"/>
      <c r="D78" s="13" t="s">
        <v>2514</v>
      </c>
      <c r="E78" s="13">
        <v>1</v>
      </c>
      <c r="F78" s="13"/>
      <c r="G78" s="13" t="s">
        <v>2445</v>
      </c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4"/>
    </row>
    <row r="79" spans="1:18" ht="33" x14ac:dyDescent="0.25">
      <c r="A79" s="12" t="s">
        <v>2462</v>
      </c>
      <c r="B79" s="13" t="s">
        <v>2451</v>
      </c>
      <c r="C79" s="13"/>
      <c r="D79" s="13" t="s">
        <v>2522</v>
      </c>
      <c r="E79" s="13">
        <v>1</v>
      </c>
      <c r="F79" s="13"/>
      <c r="G79" s="13" t="s">
        <v>2445</v>
      </c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4"/>
    </row>
    <row r="80" spans="1:18" ht="33" x14ac:dyDescent="0.25">
      <c r="A80" s="12" t="s">
        <v>2462</v>
      </c>
      <c r="B80" s="13" t="s">
        <v>2452</v>
      </c>
      <c r="C80" s="13"/>
      <c r="D80" s="13" t="s">
        <v>2517</v>
      </c>
      <c r="E80" s="13">
        <v>5</v>
      </c>
      <c r="F80" s="13"/>
      <c r="G80" s="13" t="s">
        <v>2453</v>
      </c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4"/>
    </row>
    <row r="81" spans="1:18" ht="33" x14ac:dyDescent="0.25">
      <c r="A81" s="12" t="s">
        <v>2462</v>
      </c>
      <c r="B81" s="13" t="s">
        <v>2454</v>
      </c>
      <c r="C81" s="13"/>
      <c r="D81" s="13" t="s">
        <v>2522</v>
      </c>
      <c r="E81" s="13">
        <v>6</v>
      </c>
      <c r="F81" s="13"/>
      <c r="G81" s="13" t="s">
        <v>2453</v>
      </c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4"/>
    </row>
    <row r="82" spans="1:18" ht="33" x14ac:dyDescent="0.25">
      <c r="A82" s="12" t="s">
        <v>2462</v>
      </c>
      <c r="B82" s="13" t="s">
        <v>2455</v>
      </c>
      <c r="C82" s="13"/>
      <c r="D82" s="13" t="s">
        <v>2520</v>
      </c>
      <c r="E82" s="13">
        <v>4</v>
      </c>
      <c r="F82" s="13"/>
      <c r="G82" s="13" t="s">
        <v>2453</v>
      </c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4"/>
    </row>
    <row r="83" spans="1:18" ht="33" x14ac:dyDescent="0.25">
      <c r="A83" s="12" t="s">
        <v>2462</v>
      </c>
      <c r="B83" s="13" t="s">
        <v>2456</v>
      </c>
      <c r="C83" s="13"/>
      <c r="D83" s="13" t="s">
        <v>2519</v>
      </c>
      <c r="E83" s="13">
        <v>1</v>
      </c>
      <c r="F83" s="13"/>
      <c r="G83" s="13" t="s">
        <v>2453</v>
      </c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4"/>
    </row>
    <row r="84" spans="1:18" ht="33" x14ac:dyDescent="0.25">
      <c r="A84" s="12" t="s">
        <v>2462</v>
      </c>
      <c r="B84" s="13" t="s">
        <v>2457</v>
      </c>
      <c r="C84" s="13"/>
      <c r="D84" s="13" t="s">
        <v>2524</v>
      </c>
      <c r="E84" s="13">
        <v>1</v>
      </c>
      <c r="F84" s="13"/>
      <c r="G84" s="13" t="s">
        <v>2453</v>
      </c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4"/>
    </row>
    <row r="85" spans="1:18" ht="33" x14ac:dyDescent="0.25">
      <c r="A85" s="12" t="s">
        <v>2462</v>
      </c>
      <c r="B85" s="13" t="s">
        <v>2458</v>
      </c>
      <c r="C85" s="13"/>
      <c r="D85" s="13" t="s">
        <v>2511</v>
      </c>
      <c r="E85" s="13">
        <v>12</v>
      </c>
      <c r="F85" s="13"/>
      <c r="G85" s="13" t="s">
        <v>2435</v>
      </c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4"/>
    </row>
    <row r="86" spans="1:18" ht="33" x14ac:dyDescent="0.25">
      <c r="A86" s="12" t="s">
        <v>2462</v>
      </c>
      <c r="B86" s="13" t="s">
        <v>2459</v>
      </c>
      <c r="C86" s="13"/>
      <c r="D86" s="13" t="s">
        <v>2560</v>
      </c>
      <c r="E86" s="13">
        <v>2</v>
      </c>
      <c r="F86" s="13"/>
      <c r="G86" s="13" t="s">
        <v>2435</v>
      </c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4"/>
    </row>
    <row r="87" spans="1:18" ht="33" x14ac:dyDescent="0.25">
      <c r="A87" s="12" t="s">
        <v>2462</v>
      </c>
      <c r="B87" s="13" t="s">
        <v>2460</v>
      </c>
      <c r="C87" s="13"/>
      <c r="D87" s="13" t="s">
        <v>2513</v>
      </c>
      <c r="E87" s="13">
        <v>1</v>
      </c>
      <c r="F87" s="13"/>
      <c r="G87" s="13" t="s">
        <v>2435</v>
      </c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4"/>
    </row>
    <row r="88" spans="1:18" ht="33" x14ac:dyDescent="0.25">
      <c r="A88" s="12" t="s">
        <v>2462</v>
      </c>
      <c r="B88" s="13" t="s">
        <v>2461</v>
      </c>
      <c r="C88" s="13"/>
      <c r="D88" s="13" t="s">
        <v>2512</v>
      </c>
      <c r="E88" s="13">
        <v>24</v>
      </c>
      <c r="F88" s="13"/>
      <c r="G88" s="13" t="s">
        <v>2435</v>
      </c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4"/>
    </row>
    <row r="89" spans="1:18" ht="33" x14ac:dyDescent="0.25">
      <c r="A89" s="12" t="s">
        <v>2462</v>
      </c>
      <c r="B89" s="13" t="s">
        <v>2498</v>
      </c>
      <c r="C89" s="13"/>
      <c r="D89" s="13" t="s">
        <v>2561</v>
      </c>
      <c r="E89" s="13">
        <v>8</v>
      </c>
      <c r="F89" s="13"/>
      <c r="G89" s="13" t="s">
        <v>2435</v>
      </c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4"/>
    </row>
    <row r="90" spans="1:18" ht="16.5" x14ac:dyDescent="0.25">
      <c r="A90" s="9" t="s">
        <v>2393</v>
      </c>
      <c r="B90" s="10" t="s">
        <v>2393</v>
      </c>
      <c r="C90" s="10" t="s">
        <v>2509</v>
      </c>
      <c r="D90" s="10" t="s">
        <v>2570</v>
      </c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1"/>
    </row>
    <row r="91" spans="1:18" ht="49.5" x14ac:dyDescent="0.25">
      <c r="A91" s="12" t="s">
        <v>2562</v>
      </c>
      <c r="B91" s="13"/>
      <c r="C91" s="13"/>
      <c r="D91" s="13" t="s">
        <v>2566</v>
      </c>
      <c r="E91" s="13">
        <v>475</v>
      </c>
      <c r="F91" s="13"/>
      <c r="G91" s="13" t="s">
        <v>2362</v>
      </c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4"/>
    </row>
    <row r="92" spans="1:18" ht="33" x14ac:dyDescent="0.25">
      <c r="A92" s="12" t="s">
        <v>2562</v>
      </c>
      <c r="B92" s="13"/>
      <c r="C92" s="13"/>
      <c r="D92" s="13" t="s">
        <v>2567</v>
      </c>
      <c r="E92" s="13">
        <v>475</v>
      </c>
      <c r="F92" s="13"/>
      <c r="G92" s="13" t="s">
        <v>2362</v>
      </c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4"/>
    </row>
    <row r="93" spans="1:18" ht="33" x14ac:dyDescent="0.25">
      <c r="A93" s="12" t="s">
        <v>2562</v>
      </c>
      <c r="B93" s="13"/>
      <c r="C93" s="13"/>
      <c r="D93" s="13" t="s">
        <v>2568</v>
      </c>
      <c r="E93" s="13">
        <v>475</v>
      </c>
      <c r="F93" s="13"/>
      <c r="G93" s="13" t="s">
        <v>2362</v>
      </c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4"/>
    </row>
    <row r="94" spans="1:18" ht="66" x14ac:dyDescent="0.25">
      <c r="A94" s="12" t="s">
        <v>2562</v>
      </c>
      <c r="B94" s="13"/>
      <c r="C94" s="13"/>
      <c r="D94" s="13" t="s">
        <v>2569</v>
      </c>
      <c r="E94" s="13">
        <v>475</v>
      </c>
      <c r="F94" s="13"/>
      <c r="G94" s="13" t="s">
        <v>2362</v>
      </c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4"/>
    </row>
    <row r="95" spans="1:18" ht="33" x14ac:dyDescent="0.25">
      <c r="A95" s="12" t="s">
        <v>2562</v>
      </c>
      <c r="B95" s="13"/>
      <c r="C95" s="13"/>
      <c r="D95" s="13" t="s">
        <v>2564</v>
      </c>
      <c r="E95" s="13">
        <v>9</v>
      </c>
      <c r="F95" s="13"/>
      <c r="G95" s="13" t="s">
        <v>3</v>
      </c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4"/>
    </row>
    <row r="96" spans="1:18" ht="50.25" thickBot="1" x14ac:dyDescent="0.3">
      <c r="A96" s="15" t="s">
        <v>2562</v>
      </c>
      <c r="B96" s="16"/>
      <c r="C96" s="16"/>
      <c r="D96" s="16" t="s">
        <v>2565</v>
      </c>
      <c r="E96" s="16">
        <v>9</v>
      </c>
      <c r="F96" s="16"/>
      <c r="G96" s="16" t="s">
        <v>3</v>
      </c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7"/>
    </row>
  </sheetData>
  <conditionalFormatting sqref="A1:R96">
    <cfRule type="containsText" dxfId="65" priority="9" stopIfTrue="1" operator="containsText" text="шт.)">
      <formula>NOT(ISERROR(SEARCH("шт.)",A1)))</formula>
    </cfRule>
    <cfRule type="containsText" dxfId="64" priority="8" stopIfTrue="1" operator="containsText" text=", на ">
      <formula>NOT(ISERROR(SEARCH(", на ",A1)))</formula>
    </cfRule>
    <cfRule type="containsText" dxfId="63" priority="7" stopIfTrue="1" operator="containsText" text=" Материалы ">
      <formula>NOT(ISERROR(SEARCH(" Материалы ",A1)))</formula>
    </cfRule>
    <cfRule type="containsText" dxfId="62" priority="6" stopIfTrue="1" operator="containsText" text=" Сборочные единицы ">
      <formula>NOT(ISERROR(SEARCH(" Сборочные единицы ",A1)))</formula>
    </cfRule>
    <cfRule type="containsText" dxfId="61" priority="5" stopIfTrue="1" operator="containsText" text=" Прокат ">
      <formula>NOT(ISERROR(SEARCH(" Прокат ",A1)))</formula>
    </cfRule>
    <cfRule type="containsText" dxfId="60" priority="4" stopIfTrue="1" operator="containsText" text=" Изделия ">
      <formula>NOT(ISERROR(SEARCH(" Изделия ",A1)))</formula>
    </cfRule>
    <cfRule type="containsText" dxfId="59" priority="3" stopIfTrue="1" operator="containsText" text="!!!">
      <formula>NOT(ISERROR(SEARCH("!!!",A1)))</formula>
    </cfRule>
    <cfRule type="containsText" dxfId="58" priority="2" stopIfTrue="1" operator="containsText" text="ИЗ ФАЙЛА">
      <formula>NOT(ISERROR(SEARCH("ИЗ ФАЙЛА",A1)))</formula>
    </cfRule>
    <cfRule type="containsText" dxfId="57" priority="1" stopIfTrue="1" operator="containsText" text="С ЛИСТА">
      <formula>NOT(ISERROR(SEARCH("С ЛИСТА",A1)))</formula>
    </cfRule>
  </conditionalFormatting>
  <dataValidations count="1">
    <dataValidation type="list" allowBlank="1" showInputMessage="1" sqref="A3:A96">
      <formula1>$S$1:$S$6</formula1>
    </dataValidation>
  </dataValidations>
  <hyperlinks>
    <hyperlink ref="D3" location="'Демпстены_спец'!D3" display="'Демпстены_спец'!D3"/>
    <hyperlink ref="D10" location="'Демполы_спец'!D3" display="'Демполы_спец'!D3"/>
    <hyperlink ref="D26" location="'Демоб_спец'!D3" display="'Демоб_спец'!D3"/>
    <hyperlink ref="D46" location="'Устрпроём_спец'!D3" display="'Устрпроём_спец'!D3"/>
    <hyperlink ref="D53" location="'Закпроём_спец'!D3" display="'Закпроём_спец'!D3"/>
    <hyperlink ref="D62" location="'Демпроём_спец'!D3" display="'Демпроём_спец'!D3"/>
    <hyperlink ref="D90" location="'Демкров_спец'!D3" display="'Демкров_спец'!D3"/>
  </hyperlink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>
          <x14:formula1>
            <xm:f>'!System'!$AN$1:$AN$6</xm:f>
          </x14:formula1>
          <xm:sqref>G3:G96</xm:sqref>
        </x14:dataValidation>
        <x14:dataValidation type="list" allowBlank="1" showInputMessage="1" showErrorMessage="1">
          <x14:formula1>
            <xm:f>'!System'!$T$1:$AB$1</xm:f>
          </x14:formula1>
          <xm:sqref>J3:J96</xm:sqref>
        </x14:dataValidation>
        <x14:dataValidation type="list" allowBlank="1" showInputMessage="1" showErrorMessage="1">
          <x14:formula1>
            <xm:f>'!System'!$A$1:$R$1</xm:f>
          </x14:formula1>
          <xm:sqref>L3:L96</xm:sqref>
        </x14:dataValidation>
        <x14:dataValidation type="list" allowBlank="1" showInputMessage="1" showErrorMessage="1">
          <x14:formula1>
            <xm:f>'!System'!$AC$1:$AM$1</xm:f>
          </x14:formula1>
          <xm:sqref>O3:O96</xm:sqref>
        </x14:dataValidation>
        <x14:dataValidation type="list" allowBlank="1" showInputMessage="1" showErrorMessage="1">
          <x14:formula1>
            <xm:f>'!System'!$AO$1:$AO$5</xm:f>
          </x14:formula1>
          <xm:sqref>P3:P96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R33"/>
  <sheetViews>
    <sheetView workbookViewId="0">
      <selection activeCell="F57" sqref="F57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</cols>
  <sheetData>
    <row r="1" spans="1:18" ht="16.5" x14ac:dyDescent="0.25">
      <c r="A1" s="34" t="s">
        <v>2395</v>
      </c>
      <c r="B1" s="27" t="s">
        <v>2388</v>
      </c>
      <c r="C1" s="27" t="s">
        <v>2389</v>
      </c>
      <c r="D1" s="27" t="s">
        <v>2390</v>
      </c>
      <c r="E1" s="27" t="s">
        <v>2396</v>
      </c>
      <c r="F1" s="27" t="s">
        <v>2397</v>
      </c>
      <c r="G1" s="27" t="s">
        <v>2398</v>
      </c>
      <c r="H1" s="29" t="s">
        <v>2400</v>
      </c>
      <c r="I1" s="30"/>
      <c r="J1" s="31"/>
      <c r="K1" s="29" t="s">
        <v>2404</v>
      </c>
      <c r="L1" s="30"/>
      <c r="M1" s="30"/>
      <c r="N1" s="30"/>
      <c r="O1" s="30"/>
      <c r="P1" s="30"/>
      <c r="Q1" s="31"/>
      <c r="R1" s="32" t="s">
        <v>2399</v>
      </c>
    </row>
    <row r="2" spans="1:18" ht="66" x14ac:dyDescent="0.25">
      <c r="A2" s="35"/>
      <c r="B2" s="28"/>
      <c r="C2" s="28"/>
      <c r="D2" s="28"/>
      <c r="E2" s="28"/>
      <c r="F2" s="28"/>
      <c r="G2" s="28"/>
      <c r="H2" s="13" t="s">
        <v>2401</v>
      </c>
      <c r="I2" s="13" t="s">
        <v>2402</v>
      </c>
      <c r="J2" s="13" t="s">
        <v>2403</v>
      </c>
      <c r="K2" s="13" t="s">
        <v>2405</v>
      </c>
      <c r="L2" s="13" t="s">
        <v>2406</v>
      </c>
      <c r="M2" s="13" t="s">
        <v>2407</v>
      </c>
      <c r="N2" s="13" t="s">
        <v>2408</v>
      </c>
      <c r="O2" s="13" t="s">
        <v>2409</v>
      </c>
      <c r="P2" s="13" t="s">
        <v>2410</v>
      </c>
      <c r="Q2" s="13" t="s">
        <v>2411</v>
      </c>
      <c r="R2" s="33"/>
    </row>
    <row r="3" spans="1:18" ht="33" x14ac:dyDescent="0.25">
      <c r="A3" s="12" t="s">
        <v>2429</v>
      </c>
      <c r="B3" s="13"/>
      <c r="C3" s="13"/>
      <c r="D3" s="13" t="s">
        <v>2525</v>
      </c>
      <c r="E3" s="13">
        <v>165</v>
      </c>
      <c r="F3" s="13"/>
      <c r="G3" s="13" t="s">
        <v>2362</v>
      </c>
      <c r="H3" s="13"/>
      <c r="I3" s="13"/>
      <c r="J3" s="13"/>
      <c r="K3" s="13"/>
      <c r="L3" s="13"/>
      <c r="M3" s="13"/>
      <c r="N3" s="13"/>
      <c r="O3" s="13"/>
      <c r="P3" s="13"/>
      <c r="Q3" s="13"/>
      <c r="R3" s="14"/>
    </row>
    <row r="4" spans="1:18" ht="16.5" x14ac:dyDescent="0.25">
      <c r="A4" s="12" t="s">
        <v>2429</v>
      </c>
      <c r="B4" s="13"/>
      <c r="C4" s="13"/>
      <c r="D4" s="13" t="s">
        <v>2526</v>
      </c>
      <c r="E4" s="13">
        <v>148</v>
      </c>
      <c r="F4" s="13"/>
      <c r="G4" s="13" t="s">
        <v>2362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</row>
    <row r="5" spans="1:18" ht="16.5" x14ac:dyDescent="0.25">
      <c r="A5" s="12" t="s">
        <v>2429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4"/>
    </row>
    <row r="6" spans="1:18" ht="16.5" x14ac:dyDescent="0.25">
      <c r="A6" s="12" t="s">
        <v>2429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4"/>
    </row>
    <row r="7" spans="1:18" ht="16.5" x14ac:dyDescent="0.25">
      <c r="A7" s="12" t="s">
        <v>2429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4"/>
    </row>
    <row r="8" spans="1:18" ht="16.5" x14ac:dyDescent="0.25">
      <c r="A8" s="12" t="s">
        <v>2429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4"/>
    </row>
    <row r="9" spans="1:18" ht="16.5" x14ac:dyDescent="0.25">
      <c r="A9" s="12" t="s">
        <v>2429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4"/>
    </row>
    <row r="10" spans="1:18" ht="16.5" x14ac:dyDescent="0.25">
      <c r="A10" s="12" t="s">
        <v>2429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1:18" ht="16.5" x14ac:dyDescent="0.25">
      <c r="A11" s="12" t="s">
        <v>2429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1:18" ht="16.5" x14ac:dyDescent="0.25">
      <c r="A12" s="12" t="s">
        <v>2429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1:18" ht="16.5" x14ac:dyDescent="0.25">
      <c r="A13" s="12" t="s">
        <v>2429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</row>
    <row r="14" spans="1:18" ht="16.5" x14ac:dyDescent="0.25">
      <c r="A14" s="12" t="s">
        <v>2429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1:18" ht="16.5" x14ac:dyDescent="0.25">
      <c r="A15" s="12" t="s">
        <v>2429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1:18" ht="16.5" x14ac:dyDescent="0.25">
      <c r="A16" s="12" t="s">
        <v>2429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1:18" ht="16.5" x14ac:dyDescent="0.25">
      <c r="A17" s="12" t="s">
        <v>2429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1:18" ht="16.5" x14ac:dyDescent="0.25">
      <c r="A18" s="12" t="s">
        <v>2429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1:18" ht="16.5" x14ac:dyDescent="0.25">
      <c r="A19" s="12" t="s">
        <v>2429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1:18" ht="16.5" x14ac:dyDescent="0.25">
      <c r="A20" s="12" t="s">
        <v>2429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4"/>
    </row>
    <row r="21" spans="1:18" ht="16.5" x14ac:dyDescent="0.25">
      <c r="A21" s="12" t="s">
        <v>2429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1:18" ht="16.5" x14ac:dyDescent="0.25">
      <c r="A22" s="12" t="s">
        <v>2429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1:18" ht="16.5" x14ac:dyDescent="0.25">
      <c r="A23" s="12" t="s">
        <v>2429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4"/>
    </row>
    <row r="24" spans="1:18" ht="16.5" x14ac:dyDescent="0.25">
      <c r="A24" s="12" t="s">
        <v>2429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4"/>
    </row>
    <row r="25" spans="1:18" ht="16.5" x14ac:dyDescent="0.25">
      <c r="A25" s="12" t="s">
        <v>2429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1:18" ht="16.5" x14ac:dyDescent="0.25">
      <c r="A26" s="12" t="s">
        <v>2429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  <row r="27" spans="1:18" ht="16.5" x14ac:dyDescent="0.25">
      <c r="A27" s="12" t="s">
        <v>2429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4"/>
    </row>
    <row r="28" spans="1:18" ht="16.5" x14ac:dyDescent="0.25">
      <c r="A28" s="12" t="s">
        <v>2429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  <row r="29" spans="1:18" ht="16.5" x14ac:dyDescent="0.25">
      <c r="A29" s="12" t="s">
        <v>2429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4"/>
    </row>
    <row r="30" spans="1:18" ht="33" x14ac:dyDescent="0.25">
      <c r="A30" s="12" t="s">
        <v>2429</v>
      </c>
      <c r="B30" s="13"/>
      <c r="C30" s="13"/>
      <c r="D30" s="13" t="str">
        <f>архикад_демстены!F3</f>
        <v>Деревянные перегородки толщиной 80мм.</v>
      </c>
      <c r="E30" s="13">
        <f>архикад_демстены!C3</f>
        <v>59.64</v>
      </c>
      <c r="F30" s="13"/>
      <c r="G30" s="13" t="s">
        <v>2362</v>
      </c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1:18" ht="33" x14ac:dyDescent="0.25">
      <c r="A31" s="12" t="str">
        <f>A30</f>
        <v>демстен</v>
      </c>
      <c r="B31" s="13"/>
      <c r="C31" s="13"/>
      <c r="D31" s="13" t="str">
        <f>архикад_демстены!F4</f>
        <v>Деревянные перегородки толщиной 120мм.</v>
      </c>
      <c r="E31" s="13">
        <f>архикад_демстены!C4</f>
        <v>54.48</v>
      </c>
      <c r="F31" s="13"/>
      <c r="G31" s="13" t="s">
        <v>2362</v>
      </c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1:18" ht="33" x14ac:dyDescent="0.25">
      <c r="A32" s="12" t="str">
        <f>A31</f>
        <v>демстен</v>
      </c>
      <c r="B32" s="13"/>
      <c r="C32" s="13"/>
      <c r="D32" s="13" t="str">
        <f>архикад_демстены!F5</f>
        <v>Существующая кирпичная кладка толщиной 120мм.</v>
      </c>
      <c r="E32" s="13">
        <f>архикад_демстены!C5</f>
        <v>364.7</v>
      </c>
      <c r="F32" s="13"/>
      <c r="G32" s="13" t="s">
        <v>2362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</row>
    <row r="33" spans="1:18" ht="33.75" thickBot="1" x14ac:dyDescent="0.3">
      <c r="A33" s="15" t="str">
        <f>A32</f>
        <v>демстен</v>
      </c>
      <c r="B33" s="16"/>
      <c r="C33" s="16"/>
      <c r="D33" s="16" t="str">
        <f>архикад_демстены!F6</f>
        <v>Штукатурка для вн. работ толщиной 20мм.</v>
      </c>
      <c r="E33" s="16">
        <f>архикад_демстены!C6</f>
        <v>705.55</v>
      </c>
      <c r="F33" s="16"/>
      <c r="G33" s="16" t="s">
        <v>2362</v>
      </c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7"/>
    </row>
  </sheetData>
  <dataConsolidate/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33 H2:Q2 K1 R1">
    <cfRule type="containsText" dxfId="74" priority="1" stopIfTrue="1" operator="containsText" text="С ЛИСТА">
      <formula>NOT(ISERROR(SEARCH("С ЛИСТА",A1)))</formula>
    </cfRule>
    <cfRule type="containsText" dxfId="73" priority="2" stopIfTrue="1" operator="containsText" text="ИЗ ФАЙЛА">
      <formula>NOT(ISERROR(SEARCH("ИЗ ФАЙЛА",A1)))</formula>
    </cfRule>
    <cfRule type="containsText" dxfId="72" priority="3" stopIfTrue="1" operator="containsText" text="!!!">
      <formula>NOT(ISERROR(SEARCH("!!!",A1)))</formula>
    </cfRule>
    <cfRule type="containsText" dxfId="71" priority="4" stopIfTrue="1" operator="containsText" text=" Изделия ">
      <formula>NOT(ISERROR(SEARCH(" Изделия ",A1)))</formula>
    </cfRule>
    <cfRule type="containsText" dxfId="70" priority="5" stopIfTrue="1" operator="containsText" text=" Прокат ">
      <formula>NOT(ISERROR(SEARCH(" Прокат ",A1)))</formula>
    </cfRule>
    <cfRule type="containsText" dxfId="69" priority="6" stopIfTrue="1" operator="containsText" text=" Сборочные единицы ">
      <formula>NOT(ISERROR(SEARCH(" Сборочные единицы ",A1)))</formula>
    </cfRule>
    <cfRule type="containsText" dxfId="68" priority="7" stopIfTrue="1" operator="containsText" text=" Материалы ">
      <formula>NOT(ISERROR(SEARCH(" Материалы ",A1)))</formula>
    </cfRule>
    <cfRule type="containsText" dxfId="67" priority="8" stopIfTrue="1" operator="containsText" text=", на ">
      <formula>NOT(ISERROR(SEARCH(", на ",A1)))</formula>
    </cfRule>
    <cfRule type="containsText" dxfId="66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>
          <x14:formula1>
            <xm:f>'!System'!$AN$1:$AN$6</xm:f>
          </x14:formula1>
          <xm:sqref>G3:G33</xm:sqref>
        </x14:dataValidation>
        <x14:dataValidation type="list" allowBlank="1" showInputMessage="1" showErrorMessage="1">
          <x14:formula1>
            <xm:f>'!System'!$T$1:$AB$1</xm:f>
          </x14:formula1>
          <xm:sqref>J3:J33</xm:sqref>
        </x14:dataValidation>
        <x14:dataValidation type="list" allowBlank="1" showInputMessage="1" showErrorMessage="1">
          <x14:formula1>
            <xm:f>'!System'!$A$1:$R$1</xm:f>
          </x14:formula1>
          <xm:sqref>L3:L33</xm:sqref>
        </x14:dataValidation>
        <x14:dataValidation type="list" allowBlank="1" showInputMessage="1" showErrorMessage="1">
          <x14:formula1>
            <xm:f>'!System'!$AC$1:$AM$1</xm:f>
          </x14:formula1>
          <xm:sqref>O3:O33</xm:sqref>
        </x14:dataValidation>
        <x14:dataValidation type="list" allowBlank="1" showInputMessage="1" showErrorMessage="1">
          <x14:formula1>
            <xm:f>'!System'!$AO$1:$AO$5</xm:f>
          </x14:formula1>
          <xm:sqref>P3:P33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R74"/>
  <sheetViews>
    <sheetView workbookViewId="0">
      <selection activeCell="D6" sqref="D6:D7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</cols>
  <sheetData>
    <row r="1" spans="1:18" ht="16.5" x14ac:dyDescent="0.25">
      <c r="A1" s="34" t="s">
        <v>2395</v>
      </c>
      <c r="B1" s="27" t="s">
        <v>2388</v>
      </c>
      <c r="C1" s="27" t="s">
        <v>2389</v>
      </c>
      <c r="D1" s="27" t="s">
        <v>2390</v>
      </c>
      <c r="E1" s="27" t="s">
        <v>2396</v>
      </c>
      <c r="F1" s="27" t="s">
        <v>2397</v>
      </c>
      <c r="G1" s="27" t="s">
        <v>2398</v>
      </c>
      <c r="H1" s="29" t="s">
        <v>2400</v>
      </c>
      <c r="I1" s="30"/>
      <c r="J1" s="31"/>
      <c r="K1" s="29" t="s">
        <v>2404</v>
      </c>
      <c r="L1" s="30"/>
      <c r="M1" s="30"/>
      <c r="N1" s="30"/>
      <c r="O1" s="30"/>
      <c r="P1" s="30"/>
      <c r="Q1" s="31"/>
      <c r="R1" s="32" t="s">
        <v>2399</v>
      </c>
    </row>
    <row r="2" spans="1:18" ht="66" x14ac:dyDescent="0.25">
      <c r="A2" s="35"/>
      <c r="B2" s="28"/>
      <c r="C2" s="28"/>
      <c r="D2" s="28"/>
      <c r="E2" s="28"/>
      <c r="F2" s="28"/>
      <c r="G2" s="28"/>
      <c r="H2" s="13" t="s">
        <v>2401</v>
      </c>
      <c r="I2" s="13" t="s">
        <v>2402</v>
      </c>
      <c r="J2" s="13" t="s">
        <v>2403</v>
      </c>
      <c r="K2" s="13" t="s">
        <v>2405</v>
      </c>
      <c r="L2" s="13" t="s">
        <v>2406</v>
      </c>
      <c r="M2" s="13" t="s">
        <v>2407</v>
      </c>
      <c r="N2" s="13" t="s">
        <v>2408</v>
      </c>
      <c r="O2" s="13" t="s">
        <v>2409</v>
      </c>
      <c r="P2" s="13" t="s">
        <v>2410</v>
      </c>
      <c r="Q2" s="13" t="s">
        <v>2411</v>
      </c>
      <c r="R2" s="33"/>
    </row>
    <row r="3" spans="1:18" ht="16.5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33" x14ac:dyDescent="0.25">
      <c r="A4" s="12" t="s">
        <v>2421</v>
      </c>
      <c r="B4" s="13"/>
      <c r="C4" s="13"/>
      <c r="D4" s="13" t="s">
        <v>2528</v>
      </c>
      <c r="E4" s="13">
        <v>263.39999999999998</v>
      </c>
      <c r="F4" s="13"/>
      <c r="G4" s="13" t="s">
        <v>2361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</row>
    <row r="5" spans="1:18" ht="33" x14ac:dyDescent="0.25">
      <c r="A5" s="12" t="s">
        <v>2421</v>
      </c>
      <c r="B5" s="13"/>
      <c r="C5" s="13"/>
      <c r="D5" s="13" t="s">
        <v>2529</v>
      </c>
      <c r="E5" s="13">
        <v>309.7</v>
      </c>
      <c r="F5" s="13"/>
      <c r="G5" s="13" t="s">
        <v>2361</v>
      </c>
      <c r="H5" s="13"/>
      <c r="I5" s="13"/>
      <c r="J5" s="13"/>
      <c r="K5" s="13"/>
      <c r="L5" s="13"/>
      <c r="M5" s="13"/>
      <c r="N5" s="13"/>
      <c r="O5" s="13"/>
      <c r="P5" s="13"/>
      <c r="Q5" s="13"/>
      <c r="R5" s="14"/>
    </row>
    <row r="6" spans="1:18" ht="33" x14ac:dyDescent="0.25">
      <c r="A6" s="12" t="s">
        <v>2421</v>
      </c>
      <c r="B6" s="13"/>
      <c r="C6" s="13"/>
      <c r="D6" s="13" t="s">
        <v>2564</v>
      </c>
      <c r="E6" s="13">
        <v>40</v>
      </c>
      <c r="F6" s="13"/>
      <c r="G6" s="13" t="s">
        <v>3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4"/>
    </row>
    <row r="7" spans="1:18" ht="49.5" x14ac:dyDescent="0.25">
      <c r="A7" s="12" t="s">
        <v>2421</v>
      </c>
      <c r="B7" s="13"/>
      <c r="C7" s="13"/>
      <c r="D7" s="13" t="s">
        <v>2565</v>
      </c>
      <c r="E7" s="13">
        <v>40</v>
      </c>
      <c r="F7" s="13"/>
      <c r="G7" s="13" t="s">
        <v>3</v>
      </c>
      <c r="H7" s="13"/>
      <c r="I7" s="13"/>
      <c r="J7" s="13"/>
      <c r="K7" s="13"/>
      <c r="L7" s="13"/>
      <c r="M7" s="13"/>
      <c r="N7" s="13"/>
      <c r="O7" s="13"/>
      <c r="P7" s="13"/>
      <c r="Q7" s="13"/>
      <c r="R7" s="14"/>
    </row>
    <row r="8" spans="1:18" ht="16.5" x14ac:dyDescent="0.25">
      <c r="A8" s="12" t="s">
        <v>2421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4"/>
    </row>
    <row r="9" spans="1:18" ht="16.5" x14ac:dyDescent="0.25">
      <c r="A9" s="12" t="s">
        <v>2421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4"/>
    </row>
    <row r="10" spans="1:18" ht="16.5" x14ac:dyDescent="0.25">
      <c r="A10" s="12" t="s">
        <v>2421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1:18" ht="16.5" x14ac:dyDescent="0.25">
      <c r="A11" s="12" t="s">
        <v>2421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1:18" ht="16.5" x14ac:dyDescent="0.25">
      <c r="A12" s="12" t="s">
        <v>2421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1:18" ht="16.5" x14ac:dyDescent="0.25">
      <c r="A13" s="12" t="s">
        <v>2421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</row>
    <row r="14" spans="1:18" ht="16.5" x14ac:dyDescent="0.25">
      <c r="A14" s="12" t="s">
        <v>2421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1:18" ht="16.5" x14ac:dyDescent="0.25">
      <c r="A15" s="12" t="s">
        <v>2421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1:18" ht="16.5" x14ac:dyDescent="0.25">
      <c r="A16" s="12" t="s">
        <v>2421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1:18" ht="16.5" x14ac:dyDescent="0.25">
      <c r="A17" s="12" t="s">
        <v>2421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1:18" ht="16.5" x14ac:dyDescent="0.25">
      <c r="A18" s="12" t="s">
        <v>2421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1:18" ht="16.5" x14ac:dyDescent="0.25">
      <c r="A19" s="12" t="s">
        <v>2421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1:18" ht="16.5" x14ac:dyDescent="0.25">
      <c r="A20" s="12" t="s">
        <v>2421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4"/>
    </row>
    <row r="21" spans="1:18" ht="16.5" x14ac:dyDescent="0.25">
      <c r="A21" s="12" t="s">
        <v>2421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1:18" ht="16.5" x14ac:dyDescent="0.25">
      <c r="A22" s="12" t="s">
        <v>2421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1:18" ht="16.5" x14ac:dyDescent="0.25">
      <c r="A23" s="12" t="s">
        <v>2421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4"/>
    </row>
    <row r="24" spans="1:18" ht="16.5" x14ac:dyDescent="0.25">
      <c r="A24" s="12" t="s">
        <v>2421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4"/>
    </row>
    <row r="25" spans="1:18" ht="16.5" x14ac:dyDescent="0.25">
      <c r="A25" s="12" t="s">
        <v>2421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1:18" ht="33" x14ac:dyDescent="0.25">
      <c r="A26" s="12" t="s">
        <v>2421</v>
      </c>
      <c r="B26" s="13"/>
      <c r="C26" s="7"/>
      <c r="D26" s="8" t="str">
        <f>архикад_демполы!G3</f>
        <v>Бетонное основание толщиной 100мм.</v>
      </c>
      <c r="E26" s="8">
        <f>архикад_демполы!C3</f>
        <v>273.18</v>
      </c>
      <c r="F26" s="8" t="s">
        <v>4</v>
      </c>
      <c r="G26" s="8" t="s">
        <v>2362</v>
      </c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  <row r="27" spans="1:18" ht="33" x14ac:dyDescent="0.25">
      <c r="A27" s="12" t="str">
        <f t="shared" ref="A27:A32" si="0">A26</f>
        <v>демпол</v>
      </c>
      <c r="B27" s="13"/>
      <c r="C27" s="13"/>
      <c r="D27" s="13" t="str">
        <f>архикад_демполы!G4</f>
        <v>Брус 50×50 шаг 500 толщиной 50мм.</v>
      </c>
      <c r="E27" s="13">
        <f>архикад_демполы!C4</f>
        <v>165.75</v>
      </c>
      <c r="F27" s="13"/>
      <c r="G27" s="13" t="s">
        <v>2362</v>
      </c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4"/>
    </row>
    <row r="28" spans="1:18" ht="33" x14ac:dyDescent="0.25">
      <c r="A28" s="12" t="str">
        <f t="shared" si="0"/>
        <v>демпол</v>
      </c>
      <c r="B28" s="13"/>
      <c r="C28" s="13"/>
      <c r="D28" s="13" t="str">
        <f>архикад_демполы!G5</f>
        <v>Гидроизоляция в два слоя толщиной 2,5мм.</v>
      </c>
      <c r="E28" s="13">
        <f>архикад_демполы!C5</f>
        <v>686.22</v>
      </c>
      <c r="F28" s="13"/>
      <c r="G28" s="13" t="s">
        <v>2362</v>
      </c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  <row r="29" spans="1:18" ht="16.5" x14ac:dyDescent="0.25">
      <c r="A29" s="12" t="str">
        <f t="shared" si="0"/>
        <v>демпол</v>
      </c>
      <c r="B29" s="13"/>
      <c r="C29" s="13"/>
      <c r="D29" s="13" t="s">
        <v>2552</v>
      </c>
      <c r="E29" s="13">
        <f>архикад_демполы!C6</f>
        <v>35.04</v>
      </c>
      <c r="F29" s="13"/>
      <c r="G29" s="13" t="s">
        <v>2362</v>
      </c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4"/>
    </row>
    <row r="30" spans="1:18" ht="16.5" x14ac:dyDescent="0.25">
      <c r="A30" s="12" t="str">
        <f t="shared" si="0"/>
        <v>демпол</v>
      </c>
      <c r="B30" s="13"/>
      <c r="C30" s="13"/>
      <c r="D30" s="13" t="str">
        <f>архикад_демполы!G7</f>
        <v>Линолеум толщиной 5мм.</v>
      </c>
      <c r="E30" s="13">
        <f>архикад_демполы!C7</f>
        <v>117.81</v>
      </c>
      <c r="F30" s="13"/>
      <c r="G30" s="13" t="s">
        <v>2362</v>
      </c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1:18" ht="36.75" customHeight="1" x14ac:dyDescent="0.25">
      <c r="A31" s="12" t="str">
        <f t="shared" si="0"/>
        <v>демпол</v>
      </c>
      <c r="B31" s="13"/>
      <c r="C31" s="13"/>
      <c r="D31" s="13" t="str">
        <f>архикад_демполы!G8</f>
        <v>Паркет на битумной мастике толщиной 25мм.</v>
      </c>
      <c r="E31" s="13">
        <f>архикад_демполы!C8</f>
        <v>188.49</v>
      </c>
      <c r="F31" s="13"/>
      <c r="G31" s="13" t="s">
        <v>2362</v>
      </c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1:18" ht="33" x14ac:dyDescent="0.25">
      <c r="A32" s="12" t="str">
        <f t="shared" si="0"/>
        <v>демпол</v>
      </c>
      <c r="B32" s="13"/>
      <c r="C32" s="13"/>
      <c r="D32" s="13" t="str">
        <f>архикад_демполы!G9</f>
        <v>Плитка керамическая на растворе толщиной 10мм.</v>
      </c>
      <c r="E32" s="13">
        <f>архикад_демполы!C9</f>
        <v>477.53</v>
      </c>
      <c r="F32" s="13"/>
      <c r="G32" s="13" t="s">
        <v>2362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</row>
    <row r="33" spans="1:18" ht="33" x14ac:dyDescent="0.25">
      <c r="A33" s="12" t="str">
        <f t="shared" ref="A33:A74" si="1">A32</f>
        <v>демпол</v>
      </c>
      <c r="B33" s="13"/>
      <c r="C33" s="13"/>
      <c r="D33" s="13" t="str">
        <f>архикад_демполы!G10</f>
        <v>Стяжка из ц/п раствора марки 150 толщиной 50мм.</v>
      </c>
      <c r="E33" s="13">
        <f>архикад_демполы!C10</f>
        <v>273.18</v>
      </c>
      <c r="F33" s="13"/>
      <c r="G33" s="13" t="s">
        <v>2362</v>
      </c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4"/>
    </row>
    <row r="34" spans="1:18" ht="33" x14ac:dyDescent="0.25">
      <c r="A34" s="12" t="str">
        <f t="shared" si="1"/>
        <v>демпол</v>
      </c>
      <c r="B34" s="13"/>
      <c r="C34" s="13"/>
      <c r="D34" s="13" t="str">
        <f>архикад_демполы!G11</f>
        <v>Стяжка из ц/п раствора марки 150 толщиной 60мм.</v>
      </c>
      <c r="E34" s="13">
        <f>архикад_демполы!C11</f>
        <v>188.49</v>
      </c>
      <c r="F34" s="13"/>
      <c r="G34" s="13" t="s">
        <v>2362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4"/>
    </row>
    <row r="35" spans="1:18" ht="49.5" x14ac:dyDescent="0.25">
      <c r="A35" s="12" t="str">
        <f t="shared" si="1"/>
        <v>демпол</v>
      </c>
      <c r="B35" s="13"/>
      <c r="C35" s="13"/>
      <c r="D35" s="13" t="str">
        <f>архикад_демполы!G12</f>
        <v>Стяжка из ц/п раствора марки 150 толщиной 100мм.</v>
      </c>
      <c r="E35" s="13">
        <f>архикад_демполы!C12</f>
        <v>578.46</v>
      </c>
      <c r="F35" s="13"/>
      <c r="G35" s="13" t="s">
        <v>2362</v>
      </c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4"/>
    </row>
    <row r="36" spans="1:18" ht="16.5" x14ac:dyDescent="0.25">
      <c r="A36" s="12" t="str">
        <f t="shared" si="1"/>
        <v>демпол</v>
      </c>
      <c r="B36" s="13"/>
      <c r="C36" s="13"/>
      <c r="D36" s="13" t="str">
        <f>архикад_демполы!G13</f>
        <v>Фанера толщиной 25мм.</v>
      </c>
      <c r="E36" s="13">
        <f>архикад_демполы!C13</f>
        <v>357.73</v>
      </c>
      <c r="F36" s="13"/>
      <c r="G36" s="13" t="s">
        <v>2362</v>
      </c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4"/>
    </row>
    <row r="37" spans="1:18" ht="16.5" x14ac:dyDescent="0.25">
      <c r="A37" s="12" t="str">
        <f t="shared" si="1"/>
        <v>демпол</v>
      </c>
      <c r="B37" s="13"/>
      <c r="C37" s="13"/>
      <c r="D37" s="13" t="str">
        <f>архикад_демполы!G14</f>
        <v/>
      </c>
      <c r="E37" s="13">
        <f>архикад_демполы!C14</f>
        <v>0</v>
      </c>
      <c r="F37" s="13"/>
      <c r="G37" s="13" t="s">
        <v>2362</v>
      </c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4"/>
    </row>
    <row r="38" spans="1:18" ht="16.5" x14ac:dyDescent="0.25">
      <c r="A38" s="12" t="str">
        <f t="shared" si="1"/>
        <v>демпол</v>
      </c>
      <c r="B38" s="13"/>
      <c r="C38" s="13"/>
      <c r="D38" s="13" t="str">
        <f>архикад_демполы!G15</f>
        <v/>
      </c>
      <c r="E38" s="13">
        <f>архикад_демполы!C15</f>
        <v>0</v>
      </c>
      <c r="F38" s="13"/>
      <c r="G38" s="13" t="s">
        <v>2362</v>
      </c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4"/>
    </row>
    <row r="39" spans="1:18" ht="16.5" x14ac:dyDescent="0.25">
      <c r="A39" s="12" t="str">
        <f t="shared" si="1"/>
        <v>демпол</v>
      </c>
      <c r="B39" s="13"/>
      <c r="C39" s="13"/>
      <c r="D39" s="13" t="str">
        <f>архикад_демполы!G16</f>
        <v/>
      </c>
      <c r="E39" s="13">
        <f>архикад_демполы!C16</f>
        <v>0</v>
      </c>
      <c r="F39" s="13"/>
      <c r="G39" s="13" t="s">
        <v>2362</v>
      </c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4"/>
    </row>
    <row r="40" spans="1:18" ht="16.5" x14ac:dyDescent="0.25">
      <c r="A40" s="12" t="str">
        <f t="shared" si="1"/>
        <v>демпол</v>
      </c>
      <c r="B40" s="13"/>
      <c r="C40" s="13"/>
      <c r="D40" s="13" t="str">
        <f>архикад_демполы!G17</f>
        <v/>
      </c>
      <c r="E40" s="13">
        <f>архикад_демполы!C17</f>
        <v>0</v>
      </c>
      <c r="F40" s="13"/>
      <c r="G40" s="13" t="s">
        <v>2362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4"/>
    </row>
    <row r="41" spans="1:18" ht="16.5" x14ac:dyDescent="0.25">
      <c r="A41" s="12" t="str">
        <f t="shared" si="1"/>
        <v>демпол</v>
      </c>
      <c r="B41" s="13"/>
      <c r="C41" s="13"/>
      <c r="D41" s="13" t="str">
        <f>архикад_демполы!G18</f>
        <v/>
      </c>
      <c r="E41" s="13">
        <f>архикад_демполы!C18</f>
        <v>0</v>
      </c>
      <c r="F41" s="13"/>
      <c r="G41" s="13" t="s">
        <v>2362</v>
      </c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</row>
    <row r="42" spans="1:18" ht="16.5" x14ac:dyDescent="0.25">
      <c r="A42" s="12" t="str">
        <f t="shared" si="1"/>
        <v>демпол</v>
      </c>
      <c r="B42" s="13"/>
      <c r="C42" s="13"/>
      <c r="D42" s="13" t="str">
        <f>архикад_демполы!G19</f>
        <v/>
      </c>
      <c r="E42" s="13">
        <f>архикад_демполы!C19</f>
        <v>0</v>
      </c>
      <c r="F42" s="13"/>
      <c r="G42" s="13" t="s">
        <v>2362</v>
      </c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</row>
    <row r="43" spans="1:18" ht="16.5" x14ac:dyDescent="0.25">
      <c r="A43" s="12" t="str">
        <f t="shared" si="1"/>
        <v>демпол</v>
      </c>
      <c r="B43" s="13"/>
      <c r="C43" s="13"/>
      <c r="D43" s="13" t="str">
        <f>архикад_демполы!G20</f>
        <v/>
      </c>
      <c r="E43" s="13">
        <f>архикад_демполы!C20</f>
        <v>0</v>
      </c>
      <c r="F43" s="13"/>
      <c r="G43" s="13" t="s">
        <v>2362</v>
      </c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</row>
    <row r="44" spans="1:18" ht="16.5" x14ac:dyDescent="0.25">
      <c r="A44" s="12" t="str">
        <f t="shared" si="1"/>
        <v>демпол</v>
      </c>
      <c r="B44" s="13"/>
      <c r="C44" s="13"/>
      <c r="D44" s="13" t="str">
        <f>архикад_демполы!G21</f>
        <v/>
      </c>
      <c r="E44" s="13">
        <f>архикад_демполы!C21</f>
        <v>0</v>
      </c>
      <c r="F44" s="13"/>
      <c r="G44" s="13" t="s">
        <v>2362</v>
      </c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4"/>
    </row>
    <row r="45" spans="1:18" ht="16.5" x14ac:dyDescent="0.25">
      <c r="A45" s="12" t="str">
        <f t="shared" si="1"/>
        <v>демпол</v>
      </c>
      <c r="B45" s="13"/>
      <c r="C45" s="13"/>
      <c r="D45" s="13" t="str">
        <f>архикад_демполы!G22</f>
        <v/>
      </c>
      <c r="E45" s="13">
        <f>архикад_демполы!C22</f>
        <v>0</v>
      </c>
      <c r="F45" s="13"/>
      <c r="G45" s="13" t="s">
        <v>2362</v>
      </c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4"/>
    </row>
    <row r="46" spans="1:18" ht="16.5" x14ac:dyDescent="0.25">
      <c r="A46" s="12" t="str">
        <f t="shared" si="1"/>
        <v>демпол</v>
      </c>
      <c r="B46" s="13"/>
      <c r="C46" s="13"/>
      <c r="D46" s="13" t="str">
        <f>архикад_демполы!G23</f>
        <v/>
      </c>
      <c r="E46" s="13">
        <f>архикад_демполы!C23</f>
        <v>0</v>
      </c>
      <c r="F46" s="13"/>
      <c r="G46" s="13" t="s">
        <v>2362</v>
      </c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4"/>
    </row>
    <row r="47" spans="1:18" ht="16.5" x14ac:dyDescent="0.25">
      <c r="A47" s="12" t="str">
        <f t="shared" si="1"/>
        <v>демпол</v>
      </c>
      <c r="B47" s="13"/>
      <c r="C47" s="13"/>
      <c r="D47" s="13" t="str">
        <f>архикад_демполы!G24</f>
        <v/>
      </c>
      <c r="E47" s="13">
        <f>архикад_демполы!C24</f>
        <v>0</v>
      </c>
      <c r="F47" s="13"/>
      <c r="G47" s="13" t="s">
        <v>2362</v>
      </c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4"/>
    </row>
    <row r="48" spans="1:18" ht="16.5" x14ac:dyDescent="0.25">
      <c r="A48" s="12" t="str">
        <f t="shared" si="1"/>
        <v>демпол</v>
      </c>
      <c r="B48" s="13"/>
      <c r="C48" s="13"/>
      <c r="D48" s="13" t="str">
        <f>архикад_демполы!G25</f>
        <v/>
      </c>
      <c r="E48" s="13">
        <f>архикад_демполы!C25</f>
        <v>0</v>
      </c>
      <c r="F48" s="13"/>
      <c r="G48" s="13" t="s">
        <v>2362</v>
      </c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4"/>
    </row>
    <row r="49" spans="1:18" ht="16.5" x14ac:dyDescent="0.25">
      <c r="A49" s="12" t="str">
        <f t="shared" si="1"/>
        <v>демпол</v>
      </c>
      <c r="B49" s="13"/>
      <c r="C49" s="13"/>
      <c r="D49" s="13" t="str">
        <f>архикад_демполы!G26</f>
        <v/>
      </c>
      <c r="E49" s="13">
        <f>архикад_демполы!C26</f>
        <v>0</v>
      </c>
      <c r="F49" s="13"/>
      <c r="G49" s="13" t="s">
        <v>2362</v>
      </c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4"/>
    </row>
    <row r="50" spans="1:18" ht="16.5" x14ac:dyDescent="0.25">
      <c r="A50" s="12" t="str">
        <f t="shared" si="1"/>
        <v>демпол</v>
      </c>
      <c r="B50" s="13"/>
      <c r="C50" s="13"/>
      <c r="D50" s="13" t="str">
        <f>архикад_демполы!G27</f>
        <v/>
      </c>
      <c r="E50" s="13">
        <f>архикад_демполы!C27</f>
        <v>0</v>
      </c>
      <c r="F50" s="13"/>
      <c r="G50" s="13" t="s">
        <v>2362</v>
      </c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4"/>
    </row>
    <row r="51" spans="1:18" ht="16.5" x14ac:dyDescent="0.25">
      <c r="A51" s="12" t="str">
        <f t="shared" si="1"/>
        <v>демпол</v>
      </c>
      <c r="B51" s="13"/>
      <c r="C51" s="13"/>
      <c r="D51" s="13" t="str">
        <f>архикад_демполы!G28</f>
        <v/>
      </c>
      <c r="E51" s="13">
        <f>архикад_демполы!C28</f>
        <v>0</v>
      </c>
      <c r="F51" s="13"/>
      <c r="G51" s="13" t="s">
        <v>2362</v>
      </c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4"/>
    </row>
    <row r="52" spans="1:18" ht="16.5" x14ac:dyDescent="0.25">
      <c r="A52" s="12" t="str">
        <f t="shared" si="1"/>
        <v>демпол</v>
      </c>
      <c r="B52" s="13"/>
      <c r="C52" s="13"/>
      <c r="D52" s="13" t="str">
        <f>архикад_демполы!G29</f>
        <v/>
      </c>
      <c r="E52" s="13">
        <f>архикад_демполы!C29</f>
        <v>0</v>
      </c>
      <c r="F52" s="13"/>
      <c r="G52" s="13" t="s">
        <v>2362</v>
      </c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4"/>
    </row>
    <row r="53" spans="1:18" ht="16.5" x14ac:dyDescent="0.25">
      <c r="A53" s="12" t="str">
        <f t="shared" si="1"/>
        <v>демпол</v>
      </c>
      <c r="B53" s="13"/>
      <c r="C53" s="13"/>
      <c r="D53" s="13" t="str">
        <f>архикад_демполы!G30</f>
        <v/>
      </c>
      <c r="E53" s="13">
        <f>архикад_демполы!C30</f>
        <v>0</v>
      </c>
      <c r="F53" s="13"/>
      <c r="G53" s="13" t="s">
        <v>2362</v>
      </c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4"/>
    </row>
    <row r="54" spans="1:18" ht="16.5" x14ac:dyDescent="0.25">
      <c r="A54" s="12" t="str">
        <f t="shared" si="1"/>
        <v>демпол</v>
      </c>
      <c r="B54" s="13"/>
      <c r="C54" s="13"/>
      <c r="D54" s="13" t="str">
        <f>архикад_демполы!G31</f>
        <v/>
      </c>
      <c r="E54" s="13">
        <f>архикад_демполы!C31</f>
        <v>0</v>
      </c>
      <c r="F54" s="13"/>
      <c r="G54" s="13" t="s">
        <v>2362</v>
      </c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4"/>
    </row>
    <row r="55" spans="1:18" ht="16.5" x14ac:dyDescent="0.25">
      <c r="A55" s="12" t="str">
        <f t="shared" si="1"/>
        <v>демпол</v>
      </c>
      <c r="B55" s="13"/>
      <c r="C55" s="13"/>
      <c r="D55" s="13" t="str">
        <f>архикад_демполы!G32</f>
        <v/>
      </c>
      <c r="E55" s="13">
        <f>архикад_демполы!C32</f>
        <v>0</v>
      </c>
      <c r="F55" s="13"/>
      <c r="G55" s="13" t="s">
        <v>2362</v>
      </c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4"/>
    </row>
    <row r="56" spans="1:18" ht="16.5" x14ac:dyDescent="0.25">
      <c r="A56" s="12" t="str">
        <f t="shared" si="1"/>
        <v>демпол</v>
      </c>
      <c r="B56" s="13"/>
      <c r="C56" s="13"/>
      <c r="D56" s="13" t="str">
        <f>архикад_демполы!G33</f>
        <v/>
      </c>
      <c r="E56" s="13">
        <f>архикад_демполы!C33</f>
        <v>0</v>
      </c>
      <c r="F56" s="13"/>
      <c r="G56" s="13" t="s">
        <v>2362</v>
      </c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4"/>
    </row>
    <row r="57" spans="1:18" ht="16.5" x14ac:dyDescent="0.25">
      <c r="A57" s="12" t="str">
        <f t="shared" si="1"/>
        <v>демпол</v>
      </c>
      <c r="B57" s="13"/>
      <c r="C57" s="13"/>
      <c r="D57" s="13" t="str">
        <f>архикад_демполы!G34</f>
        <v/>
      </c>
      <c r="E57" s="13">
        <f>архикад_демполы!C34</f>
        <v>0</v>
      </c>
      <c r="F57" s="13"/>
      <c r="G57" s="13" t="s">
        <v>2362</v>
      </c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4"/>
    </row>
    <row r="58" spans="1:18" ht="16.5" x14ac:dyDescent="0.25">
      <c r="A58" s="12" t="str">
        <f t="shared" si="1"/>
        <v>демпол</v>
      </c>
      <c r="B58" s="13"/>
      <c r="C58" s="13"/>
      <c r="D58" s="13" t="str">
        <f>архикад_демполы!G35</f>
        <v/>
      </c>
      <c r="E58" s="13">
        <f>архикад_демполы!C35</f>
        <v>0</v>
      </c>
      <c r="F58" s="13"/>
      <c r="G58" s="13" t="s">
        <v>2362</v>
      </c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4"/>
    </row>
    <row r="59" spans="1:18" ht="16.5" x14ac:dyDescent="0.25">
      <c r="A59" s="12" t="str">
        <f t="shared" si="1"/>
        <v>демпол</v>
      </c>
      <c r="B59" s="13"/>
      <c r="C59" s="13"/>
      <c r="D59" s="13" t="str">
        <f>архикад_демполы!G36</f>
        <v/>
      </c>
      <c r="E59" s="13">
        <f>архикад_демполы!C36</f>
        <v>0</v>
      </c>
      <c r="F59" s="13"/>
      <c r="G59" s="13" t="s">
        <v>2362</v>
      </c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4"/>
    </row>
    <row r="60" spans="1:18" ht="16.5" x14ac:dyDescent="0.25">
      <c r="A60" s="12" t="str">
        <f t="shared" si="1"/>
        <v>демпол</v>
      </c>
      <c r="B60" s="13"/>
      <c r="C60" s="13"/>
      <c r="D60" s="13" t="str">
        <f>архикад_демполы!G37</f>
        <v/>
      </c>
      <c r="E60" s="13">
        <f>архикад_демполы!C37</f>
        <v>0</v>
      </c>
      <c r="F60" s="13"/>
      <c r="G60" s="13" t="s">
        <v>2362</v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4"/>
    </row>
    <row r="61" spans="1:18" ht="16.5" x14ac:dyDescent="0.25">
      <c r="A61" s="12" t="str">
        <f t="shared" si="1"/>
        <v>демпол</v>
      </c>
      <c r="B61" s="13"/>
      <c r="C61" s="13"/>
      <c r="D61" s="13" t="str">
        <f>архикад_демполы!G38</f>
        <v/>
      </c>
      <c r="E61" s="13">
        <f>архикад_демполы!C38</f>
        <v>0</v>
      </c>
      <c r="F61" s="13"/>
      <c r="G61" s="13" t="s">
        <v>2362</v>
      </c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4"/>
    </row>
    <row r="62" spans="1:18" ht="16.5" x14ac:dyDescent="0.25">
      <c r="A62" s="12" t="str">
        <f t="shared" si="1"/>
        <v>демпол</v>
      </c>
      <c r="B62" s="13"/>
      <c r="C62" s="13"/>
      <c r="D62" s="13" t="str">
        <f>архикад_демполы!G39</f>
        <v/>
      </c>
      <c r="E62" s="13">
        <f>архикад_демполы!C39</f>
        <v>0</v>
      </c>
      <c r="F62" s="13"/>
      <c r="G62" s="13" t="s">
        <v>2362</v>
      </c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4"/>
    </row>
    <row r="63" spans="1:18" ht="16.5" x14ac:dyDescent="0.25">
      <c r="A63" s="12" t="str">
        <f t="shared" si="1"/>
        <v>демпол</v>
      </c>
      <c r="B63" s="13"/>
      <c r="C63" s="13"/>
      <c r="D63" s="13" t="str">
        <f>архикад_демполы!G40</f>
        <v/>
      </c>
      <c r="E63" s="13">
        <f>архикад_демполы!C40</f>
        <v>0</v>
      </c>
      <c r="F63" s="13"/>
      <c r="G63" s="13" t="s">
        <v>2362</v>
      </c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4"/>
    </row>
    <row r="64" spans="1:18" ht="16.5" x14ac:dyDescent="0.25">
      <c r="A64" s="12" t="str">
        <f t="shared" si="1"/>
        <v>демпол</v>
      </c>
      <c r="B64" s="13"/>
      <c r="C64" s="13"/>
      <c r="D64" s="13" t="str">
        <f>архикад_демполы!G41</f>
        <v/>
      </c>
      <c r="E64" s="13">
        <f>архикад_демполы!C41</f>
        <v>0</v>
      </c>
      <c r="F64" s="13"/>
      <c r="G64" s="13" t="s">
        <v>2362</v>
      </c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4"/>
    </row>
    <row r="65" spans="1:18" ht="16.5" x14ac:dyDescent="0.25">
      <c r="A65" s="12" t="str">
        <f t="shared" si="1"/>
        <v>демпол</v>
      </c>
      <c r="B65" s="13"/>
      <c r="C65" s="13"/>
      <c r="D65" s="13" t="str">
        <f>архикад_демполы!G42</f>
        <v/>
      </c>
      <c r="E65" s="13">
        <f>архикад_демполы!C42</f>
        <v>0</v>
      </c>
      <c r="F65" s="13"/>
      <c r="G65" s="13" t="s">
        <v>2362</v>
      </c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4"/>
    </row>
    <row r="66" spans="1:18" ht="16.5" x14ac:dyDescent="0.25">
      <c r="A66" s="12" t="str">
        <f t="shared" si="1"/>
        <v>демпол</v>
      </c>
      <c r="B66" s="13"/>
      <c r="C66" s="13"/>
      <c r="D66" s="13" t="str">
        <f>архикад_демполы!G43</f>
        <v/>
      </c>
      <c r="E66" s="13">
        <f>архикад_демполы!C43</f>
        <v>0</v>
      </c>
      <c r="F66" s="13"/>
      <c r="G66" s="13" t="s">
        <v>2362</v>
      </c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4"/>
    </row>
    <row r="67" spans="1:18" ht="16.5" x14ac:dyDescent="0.25">
      <c r="A67" s="12" t="str">
        <f t="shared" si="1"/>
        <v>демпол</v>
      </c>
      <c r="B67" s="13"/>
      <c r="C67" s="13"/>
      <c r="D67" s="13" t="str">
        <f>архикад_демполы!G44</f>
        <v/>
      </c>
      <c r="E67" s="13">
        <f>архикад_демполы!C44</f>
        <v>0</v>
      </c>
      <c r="F67" s="13"/>
      <c r="G67" s="13" t="s">
        <v>2362</v>
      </c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4"/>
    </row>
    <row r="68" spans="1:18" ht="16.5" x14ac:dyDescent="0.25">
      <c r="A68" s="12" t="str">
        <f t="shared" si="1"/>
        <v>демпол</v>
      </c>
      <c r="B68" s="13"/>
      <c r="C68" s="13"/>
      <c r="D68" s="13" t="str">
        <f>архикад_демполы!G45</f>
        <v/>
      </c>
      <c r="E68" s="13">
        <f>архикад_демполы!C45</f>
        <v>0</v>
      </c>
      <c r="F68" s="13"/>
      <c r="G68" s="13" t="s">
        <v>2362</v>
      </c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4"/>
    </row>
    <row r="69" spans="1:18" ht="16.5" x14ac:dyDescent="0.25">
      <c r="A69" s="12" t="str">
        <f t="shared" si="1"/>
        <v>демпол</v>
      </c>
      <c r="B69" s="13"/>
      <c r="C69" s="13"/>
      <c r="D69" s="13" t="str">
        <f>архикад_демполы!G46</f>
        <v/>
      </c>
      <c r="E69" s="13">
        <f>архикад_демполы!C46</f>
        <v>0</v>
      </c>
      <c r="F69" s="13"/>
      <c r="G69" s="13" t="s">
        <v>2362</v>
      </c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4"/>
    </row>
    <row r="70" spans="1:18" ht="16.5" x14ac:dyDescent="0.25">
      <c r="A70" s="12" t="str">
        <f t="shared" si="1"/>
        <v>демпол</v>
      </c>
      <c r="B70" s="13"/>
      <c r="C70" s="13"/>
      <c r="D70" s="13" t="str">
        <f>архикад_демполы!G47</f>
        <v/>
      </c>
      <c r="E70" s="13">
        <f>архикад_демполы!C47</f>
        <v>0</v>
      </c>
      <c r="F70" s="13"/>
      <c r="G70" s="13" t="s">
        <v>2362</v>
      </c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4"/>
    </row>
    <row r="71" spans="1:18" ht="16.5" x14ac:dyDescent="0.25">
      <c r="A71" s="12" t="str">
        <f t="shared" si="1"/>
        <v>демпол</v>
      </c>
      <c r="B71" s="13"/>
      <c r="C71" s="13"/>
      <c r="D71" s="13" t="str">
        <f>архикад_демполы!G48</f>
        <v/>
      </c>
      <c r="E71" s="13">
        <f>архикад_демполы!C48</f>
        <v>0</v>
      </c>
      <c r="F71" s="13"/>
      <c r="G71" s="13" t="s">
        <v>2362</v>
      </c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4"/>
    </row>
    <row r="72" spans="1:18" ht="16.5" x14ac:dyDescent="0.25">
      <c r="A72" s="12" t="str">
        <f t="shared" si="1"/>
        <v>демпол</v>
      </c>
      <c r="B72" s="13"/>
      <c r="C72" s="13"/>
      <c r="D72" s="13" t="str">
        <f>архикад_демполы!G49</f>
        <v/>
      </c>
      <c r="E72" s="13">
        <f>архикад_демполы!C49</f>
        <v>0</v>
      </c>
      <c r="F72" s="13"/>
      <c r="G72" s="13" t="s">
        <v>2362</v>
      </c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4"/>
    </row>
    <row r="73" spans="1:18" ht="16.5" x14ac:dyDescent="0.25">
      <c r="A73" s="12" t="str">
        <f t="shared" si="1"/>
        <v>демпол</v>
      </c>
      <c r="B73" s="13"/>
      <c r="C73" s="13"/>
      <c r="D73" s="13" t="str">
        <f>архикад_демполы!G50</f>
        <v/>
      </c>
      <c r="E73" s="13">
        <f>архикад_демполы!C50</f>
        <v>0</v>
      </c>
      <c r="F73" s="13"/>
      <c r="G73" s="13" t="s">
        <v>2362</v>
      </c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4"/>
    </row>
    <row r="74" spans="1:18" ht="17.25" thickBot="1" x14ac:dyDescent="0.3">
      <c r="A74" s="15" t="str">
        <f t="shared" si="1"/>
        <v>демпол</v>
      </c>
      <c r="B74" s="16"/>
      <c r="C74" s="16"/>
      <c r="D74" s="16" t="str">
        <f>архикад_демполы!G51</f>
        <v/>
      </c>
      <c r="E74" s="16">
        <f>архикад_демполы!C51</f>
        <v>0</v>
      </c>
      <c r="F74" s="16"/>
      <c r="G74" s="16" t="s">
        <v>2362</v>
      </c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74 H2:Q2 K1 R1">
    <cfRule type="containsText" dxfId="83" priority="1" stopIfTrue="1" operator="containsText" text="С ЛИСТА">
      <formula>NOT(ISERROR(SEARCH("С ЛИСТА",A1)))</formula>
    </cfRule>
    <cfRule type="containsText" dxfId="82" priority="2" stopIfTrue="1" operator="containsText" text="ИЗ ФАЙЛА">
      <formula>NOT(ISERROR(SEARCH("ИЗ ФАЙЛА",A1)))</formula>
    </cfRule>
    <cfRule type="containsText" dxfId="81" priority="3" stopIfTrue="1" operator="containsText" text="!!!">
      <formula>NOT(ISERROR(SEARCH("!!!",A1)))</formula>
    </cfRule>
    <cfRule type="containsText" dxfId="80" priority="4" stopIfTrue="1" operator="containsText" text=" Изделия ">
      <formula>NOT(ISERROR(SEARCH(" Изделия ",A1)))</formula>
    </cfRule>
    <cfRule type="containsText" dxfId="79" priority="5" stopIfTrue="1" operator="containsText" text=" Прокат ">
      <formula>NOT(ISERROR(SEARCH(" Прокат ",A1)))</formula>
    </cfRule>
    <cfRule type="containsText" dxfId="78" priority="6" stopIfTrue="1" operator="containsText" text=" Сборочные единицы ">
      <formula>NOT(ISERROR(SEARCH(" Сборочные единицы ",A1)))</formula>
    </cfRule>
    <cfRule type="containsText" dxfId="77" priority="7" stopIfTrue="1" operator="containsText" text=" Материалы ">
      <formula>NOT(ISERROR(SEARCH(" Материалы ",A1)))</formula>
    </cfRule>
    <cfRule type="containsText" dxfId="76" priority="8" stopIfTrue="1" operator="containsText" text=", на ">
      <formula>NOT(ISERROR(SEARCH(", на ",A1)))</formula>
    </cfRule>
    <cfRule type="containsText" dxfId="75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>
          <x14:formula1>
            <xm:f>'!System'!$AN$1:$AN$6</xm:f>
          </x14:formula1>
          <xm:sqref>G3:G74</xm:sqref>
        </x14:dataValidation>
        <x14:dataValidation type="list" allowBlank="1" showInputMessage="1" showErrorMessage="1">
          <x14:formula1>
            <xm:f>'!System'!$T$1:$AB$1</xm:f>
          </x14:formula1>
          <xm:sqref>J3:J74</xm:sqref>
        </x14:dataValidation>
        <x14:dataValidation type="list" allowBlank="1" showInputMessage="1" showErrorMessage="1">
          <x14:formula1>
            <xm:f>'!System'!$A$1:$R$1</xm:f>
          </x14:formula1>
          <xm:sqref>L3:L74</xm:sqref>
        </x14:dataValidation>
        <x14:dataValidation type="list" allowBlank="1" showInputMessage="1" showErrorMessage="1">
          <x14:formula1>
            <xm:f>'!System'!$AC$1:$AM$1</xm:f>
          </x14:formula1>
          <xm:sqref>O3:O74</xm:sqref>
        </x14:dataValidation>
        <x14:dataValidation type="list" allowBlank="1" showInputMessage="1" showErrorMessage="1">
          <x14:formula1>
            <xm:f>'!System'!$AO$1:$AO$5</xm:f>
          </x14:formula1>
          <xm:sqref>P3:P74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>
    <tabColor theme="7" tint="0.39997558519241921"/>
  </sheetPr>
  <dimension ref="A1:R32"/>
  <sheetViews>
    <sheetView workbookViewId="0">
      <selection activeCell="F38" sqref="F38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</cols>
  <sheetData>
    <row r="1" spans="1:18" ht="16.5" x14ac:dyDescent="0.25">
      <c r="A1" s="34" t="s">
        <v>2395</v>
      </c>
      <c r="B1" s="27" t="s">
        <v>2388</v>
      </c>
      <c r="C1" s="27" t="s">
        <v>2389</v>
      </c>
      <c r="D1" s="27" t="s">
        <v>2390</v>
      </c>
      <c r="E1" s="27" t="s">
        <v>2396</v>
      </c>
      <c r="F1" s="27" t="s">
        <v>2397</v>
      </c>
      <c r="G1" s="27" t="s">
        <v>2398</v>
      </c>
      <c r="H1" s="29" t="s">
        <v>2400</v>
      </c>
      <c r="I1" s="30"/>
      <c r="J1" s="31"/>
      <c r="K1" s="29" t="s">
        <v>2404</v>
      </c>
      <c r="L1" s="30"/>
      <c r="M1" s="30"/>
      <c r="N1" s="30"/>
      <c r="O1" s="30"/>
      <c r="P1" s="30"/>
      <c r="Q1" s="31"/>
      <c r="R1" s="32" t="s">
        <v>2399</v>
      </c>
    </row>
    <row r="2" spans="1:18" ht="66" x14ac:dyDescent="0.25">
      <c r="A2" s="35"/>
      <c r="B2" s="28"/>
      <c r="C2" s="28"/>
      <c r="D2" s="28"/>
      <c r="E2" s="28"/>
      <c r="F2" s="28"/>
      <c r="G2" s="28"/>
      <c r="H2" s="13" t="s">
        <v>2401</v>
      </c>
      <c r="I2" s="13" t="s">
        <v>2402</v>
      </c>
      <c r="J2" s="13" t="s">
        <v>2403</v>
      </c>
      <c r="K2" s="13" t="s">
        <v>2405</v>
      </c>
      <c r="L2" s="13" t="s">
        <v>2406</v>
      </c>
      <c r="M2" s="13" t="s">
        <v>2407</v>
      </c>
      <c r="N2" s="13" t="s">
        <v>2408</v>
      </c>
      <c r="O2" s="13" t="s">
        <v>2409</v>
      </c>
      <c r="P2" s="13" t="s">
        <v>2410</v>
      </c>
      <c r="Q2" s="13" t="s">
        <v>2411</v>
      </c>
      <c r="R2" s="33"/>
    </row>
    <row r="3" spans="1:18" ht="16.5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16.5" x14ac:dyDescent="0.25">
      <c r="A4" s="12" t="s">
        <v>2530</v>
      </c>
      <c r="B4" s="13"/>
      <c r="C4" s="13"/>
      <c r="D4" s="13" t="s">
        <v>2532</v>
      </c>
      <c r="E4" s="13">
        <v>7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</row>
    <row r="5" spans="1:18" ht="16.5" x14ac:dyDescent="0.25">
      <c r="A5" s="12" t="s">
        <v>2530</v>
      </c>
      <c r="B5" s="13"/>
      <c r="C5" s="13"/>
      <c r="D5" s="13" t="s">
        <v>2533</v>
      </c>
      <c r="E5" s="13">
        <v>11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4"/>
    </row>
    <row r="6" spans="1:18" ht="33" x14ac:dyDescent="0.25">
      <c r="A6" s="12" t="s">
        <v>2530</v>
      </c>
      <c r="B6" s="13"/>
      <c r="C6" s="7"/>
      <c r="D6" s="8" t="s">
        <v>2534</v>
      </c>
      <c r="E6" s="8">
        <v>7.66</v>
      </c>
      <c r="F6" s="8" t="s">
        <v>4</v>
      </c>
      <c r="G6" s="8" t="s">
        <v>3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4"/>
    </row>
    <row r="7" spans="1:18" ht="33" x14ac:dyDescent="0.25">
      <c r="A7" s="12" t="s">
        <v>2530</v>
      </c>
      <c r="B7" s="13"/>
      <c r="C7" s="13"/>
      <c r="D7" s="13" t="s">
        <v>2546</v>
      </c>
      <c r="E7" s="13">
        <v>21</v>
      </c>
      <c r="F7" s="13"/>
      <c r="G7" s="13" t="s">
        <v>2361</v>
      </c>
      <c r="H7" s="13"/>
      <c r="I7" s="13"/>
      <c r="J7" s="13"/>
      <c r="K7" s="13"/>
      <c r="L7" s="13"/>
      <c r="M7" s="13"/>
      <c r="N7" s="13"/>
      <c r="O7" s="13"/>
      <c r="P7" s="13"/>
      <c r="Q7" s="13"/>
      <c r="R7" s="14"/>
    </row>
    <row r="8" spans="1:18" ht="33" x14ac:dyDescent="0.25">
      <c r="A8" s="12" t="s">
        <v>2530</v>
      </c>
      <c r="B8" s="13"/>
      <c r="C8" s="13"/>
      <c r="D8" s="13" t="s">
        <v>2547</v>
      </c>
      <c r="E8" s="13">
        <v>14</v>
      </c>
      <c r="F8" s="13"/>
      <c r="G8" s="13" t="s">
        <v>2361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4"/>
    </row>
    <row r="9" spans="1:18" ht="33" x14ac:dyDescent="0.25">
      <c r="A9" s="12" t="s">
        <v>2530</v>
      </c>
      <c r="B9" s="13"/>
      <c r="C9" s="13"/>
      <c r="D9" s="13" t="s">
        <v>2545</v>
      </c>
      <c r="E9" s="13">
        <v>10.1</v>
      </c>
      <c r="F9" s="13"/>
      <c r="G9" s="13" t="s">
        <v>2361</v>
      </c>
      <c r="H9" s="13"/>
      <c r="I9" s="13"/>
      <c r="J9" s="13"/>
      <c r="K9" s="13"/>
      <c r="L9" s="13"/>
      <c r="M9" s="13"/>
      <c r="N9" s="13"/>
      <c r="O9" s="13"/>
      <c r="P9" s="13"/>
      <c r="Q9" s="13"/>
      <c r="R9" s="14"/>
    </row>
    <row r="10" spans="1:18" ht="16.5" x14ac:dyDescent="0.25">
      <c r="A10" s="12" t="s">
        <v>2530</v>
      </c>
      <c r="B10" s="13"/>
      <c r="C10" s="13"/>
      <c r="D10" s="13" t="s">
        <v>2535</v>
      </c>
      <c r="E10" s="13">
        <v>74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1:18" ht="33" x14ac:dyDescent="0.25">
      <c r="A11" s="12" t="s">
        <v>2530</v>
      </c>
      <c r="B11" s="13"/>
      <c r="C11" s="13"/>
      <c r="D11" s="13" t="s">
        <v>2536</v>
      </c>
      <c r="E11" s="13">
        <v>5</v>
      </c>
      <c r="F11" s="13"/>
      <c r="G11" s="13" t="s">
        <v>2361</v>
      </c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1:18" ht="33" x14ac:dyDescent="0.25">
      <c r="A12" s="12" t="s">
        <v>2530</v>
      </c>
      <c r="B12" s="13"/>
      <c r="C12" s="13"/>
      <c r="D12" s="13" t="s">
        <v>2537</v>
      </c>
      <c r="E12" s="13">
        <v>23.7</v>
      </c>
      <c r="F12" s="13"/>
      <c r="G12" s="13" t="s">
        <v>2361</v>
      </c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1:18" ht="33" x14ac:dyDescent="0.25">
      <c r="A13" s="12" t="s">
        <v>2530</v>
      </c>
      <c r="B13" s="13"/>
      <c r="C13" s="13"/>
      <c r="D13" s="13" t="s">
        <v>2538</v>
      </c>
      <c r="E13" s="13">
        <v>9</v>
      </c>
      <c r="F13" s="13"/>
      <c r="G13" s="13" t="s">
        <v>2361</v>
      </c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</row>
    <row r="14" spans="1:18" ht="33" x14ac:dyDescent="0.25">
      <c r="A14" s="12" t="s">
        <v>2530</v>
      </c>
      <c r="B14" s="13"/>
      <c r="C14" s="13"/>
      <c r="D14" s="13" t="s">
        <v>2539</v>
      </c>
      <c r="E14" s="13">
        <v>190.5</v>
      </c>
      <c r="F14" s="13"/>
      <c r="G14" s="13" t="s">
        <v>2361</v>
      </c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1:18" ht="33" x14ac:dyDescent="0.25">
      <c r="A15" s="12" t="s">
        <v>2530</v>
      </c>
      <c r="B15" s="13"/>
      <c r="C15" s="13"/>
      <c r="D15" s="13" t="s">
        <v>2540</v>
      </c>
      <c r="E15" s="13">
        <v>21</v>
      </c>
      <c r="F15" s="13"/>
      <c r="G15" s="13" t="s">
        <v>2361</v>
      </c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1:18" ht="33" x14ac:dyDescent="0.25">
      <c r="A16" s="12" t="s">
        <v>2530</v>
      </c>
      <c r="B16" s="13"/>
      <c r="C16" s="13"/>
      <c r="D16" s="13" t="s">
        <v>2541</v>
      </c>
      <c r="E16" s="13">
        <v>142</v>
      </c>
      <c r="F16" s="13"/>
      <c r="G16" s="13" t="s">
        <v>2361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1:18" ht="33" x14ac:dyDescent="0.25">
      <c r="A17" s="12" t="s">
        <v>2530</v>
      </c>
      <c r="B17" s="13"/>
      <c r="C17" s="13"/>
      <c r="D17" s="13" t="s">
        <v>2542</v>
      </c>
      <c r="E17" s="13">
        <v>89.4</v>
      </c>
      <c r="F17" s="13"/>
      <c r="G17" s="13" t="s">
        <v>2361</v>
      </c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1:18" ht="33" x14ac:dyDescent="0.25">
      <c r="A18" s="12" t="s">
        <v>2530</v>
      </c>
      <c r="B18" s="13"/>
      <c r="C18" s="13"/>
      <c r="D18" s="13" t="s">
        <v>2543</v>
      </c>
      <c r="E18" s="13">
        <v>26</v>
      </c>
      <c r="F18" s="13"/>
      <c r="G18" s="13" t="s">
        <v>2361</v>
      </c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1:18" ht="33" x14ac:dyDescent="0.25">
      <c r="A19" s="12" t="s">
        <v>2530</v>
      </c>
      <c r="B19" s="13"/>
      <c r="C19" s="13"/>
      <c r="D19" s="13" t="s">
        <v>2544</v>
      </c>
      <c r="E19" s="13">
        <v>10.4</v>
      </c>
      <c r="F19" s="13"/>
      <c r="G19" s="13" t="s">
        <v>2361</v>
      </c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1:18" ht="33" x14ac:dyDescent="0.25">
      <c r="A20" s="12" t="s">
        <v>2530</v>
      </c>
      <c r="B20" s="13"/>
      <c r="C20" s="13"/>
      <c r="D20" s="13" t="s">
        <v>2553</v>
      </c>
      <c r="E20" s="13">
        <v>508</v>
      </c>
      <c r="F20" s="13"/>
      <c r="G20" s="13" t="s">
        <v>2363</v>
      </c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4"/>
    </row>
    <row r="21" spans="1:18" ht="49.5" x14ac:dyDescent="0.25">
      <c r="A21" s="12" t="s">
        <v>2530</v>
      </c>
      <c r="B21" s="13"/>
      <c r="C21" s="13"/>
      <c r="D21" s="13" t="s">
        <v>2554</v>
      </c>
      <c r="E21" s="13">
        <v>1530</v>
      </c>
      <c r="F21" s="13"/>
      <c r="G21" s="13" t="s">
        <v>2363</v>
      </c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1:18" ht="66" x14ac:dyDescent="0.25">
      <c r="A22" s="12" t="s">
        <v>2530</v>
      </c>
      <c r="B22" s="13"/>
      <c r="C22" s="13"/>
      <c r="D22" s="13" t="s">
        <v>2555</v>
      </c>
      <c r="E22" s="13">
        <v>1655</v>
      </c>
      <c r="F22" s="13"/>
      <c r="G22" s="13" t="s">
        <v>2363</v>
      </c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1:18" ht="16.5" x14ac:dyDescent="0.25">
      <c r="A23" s="12" t="s">
        <v>2530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4"/>
    </row>
    <row r="24" spans="1:18" ht="16.5" x14ac:dyDescent="0.25">
      <c r="A24" s="12" t="s">
        <v>2530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4"/>
    </row>
    <row r="25" spans="1:18" ht="16.5" x14ac:dyDescent="0.25">
      <c r="A25" s="12" t="s">
        <v>2530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1:18" ht="16.5" x14ac:dyDescent="0.25">
      <c r="A26" s="12" t="s">
        <v>2530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  <row r="27" spans="1:18" ht="16.5" x14ac:dyDescent="0.25">
      <c r="A27" s="12" t="s">
        <v>2530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4"/>
    </row>
    <row r="28" spans="1:18" ht="16.5" x14ac:dyDescent="0.25">
      <c r="A28" s="12" t="s">
        <v>2530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  <row r="29" spans="1:18" ht="16.5" x14ac:dyDescent="0.25">
      <c r="A29" s="12" t="s">
        <v>2530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4"/>
    </row>
    <row r="30" spans="1:18" ht="16.5" x14ac:dyDescent="0.25">
      <c r="A30" s="12" t="s">
        <v>2530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1:18" ht="16.5" x14ac:dyDescent="0.25">
      <c r="A31" s="12" t="s">
        <v>2530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1:18" ht="17.25" thickBot="1" x14ac:dyDescent="0.3">
      <c r="A32" s="15" t="s">
        <v>2530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H2:Q2 K1 R1 A3:R32">
    <cfRule type="containsText" dxfId="92" priority="1" stopIfTrue="1" operator="containsText" text="С ЛИСТА">
      <formula>NOT(ISERROR(SEARCH("С ЛИСТА",A1)))</formula>
    </cfRule>
    <cfRule type="containsText" dxfId="91" priority="2" stopIfTrue="1" operator="containsText" text="ИЗ ФАЙЛА">
      <formula>NOT(ISERROR(SEARCH("ИЗ ФАЙЛА",A1)))</formula>
    </cfRule>
    <cfRule type="containsText" dxfId="90" priority="3" stopIfTrue="1" operator="containsText" text="!!!">
      <formula>NOT(ISERROR(SEARCH("!!!",A1)))</formula>
    </cfRule>
    <cfRule type="containsText" dxfId="89" priority="4" stopIfTrue="1" operator="containsText" text=" Изделия ">
      <formula>NOT(ISERROR(SEARCH(" Изделия ",A1)))</formula>
    </cfRule>
    <cfRule type="containsText" dxfId="88" priority="5" stopIfTrue="1" operator="containsText" text=" Прокат ">
      <formula>NOT(ISERROR(SEARCH(" Прокат ",A1)))</formula>
    </cfRule>
    <cfRule type="containsText" dxfId="87" priority="6" stopIfTrue="1" operator="containsText" text=" Сборочные единицы ">
      <formula>NOT(ISERROR(SEARCH(" Сборочные единицы ",A1)))</formula>
    </cfRule>
    <cfRule type="containsText" dxfId="86" priority="7" stopIfTrue="1" operator="containsText" text=" Материалы ">
      <formula>NOT(ISERROR(SEARCH(" Материалы ",A1)))</formula>
    </cfRule>
    <cfRule type="containsText" dxfId="85" priority="8" stopIfTrue="1" operator="containsText" text=", на ">
      <formula>NOT(ISERROR(SEARCH(", на ",A1)))</formula>
    </cfRule>
    <cfRule type="containsText" dxfId="84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errorStyle="warning" allowBlank="1" showInputMessage="1" showErrorMessage="1">
          <x14:formula1>
            <xm:f>'!System'!$AN$1:$AN$6</xm:f>
          </x14:formula1>
          <xm:sqref>G3:G32</xm:sqref>
        </x14:dataValidation>
        <x14:dataValidation type="list" allowBlank="1" showInputMessage="1" showErrorMessage="1">
          <x14:formula1>
            <xm:f>'!System'!$T$1:$AB$1</xm:f>
          </x14:formula1>
          <xm:sqref>J3:J32</xm:sqref>
        </x14:dataValidation>
        <x14:dataValidation type="list" allowBlank="1" showInputMessage="1" showErrorMessage="1">
          <x14:formula1>
            <xm:f>'!System'!$A$1:$R$1</xm:f>
          </x14:formula1>
          <xm:sqref>L3:L32</xm:sqref>
        </x14:dataValidation>
        <x14:dataValidation type="list" allowBlank="1" showInputMessage="1" showErrorMessage="1">
          <x14:formula1>
            <xm:f>'!System'!$AC$1:$AM$1</xm:f>
          </x14:formula1>
          <xm:sqref>O3:O32</xm:sqref>
        </x14:dataValidation>
        <x14:dataValidation type="list" allowBlank="1" showInputMessage="1" showErrorMessage="1">
          <x14:formula1>
            <xm:f>'!System'!$AO$1:$AO$5</xm:f>
          </x14:formula1>
          <xm:sqref>P3:P32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7" tint="0.39997558519241921"/>
  </sheetPr>
  <dimension ref="A1:R210"/>
  <sheetViews>
    <sheetView workbookViewId="0">
      <selection activeCell="D5" sqref="D5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</cols>
  <sheetData>
    <row r="1" spans="1:18" ht="16.5" x14ac:dyDescent="0.25">
      <c r="A1" s="34" t="s">
        <v>2395</v>
      </c>
      <c r="B1" s="27" t="s">
        <v>2388</v>
      </c>
      <c r="C1" s="27" t="s">
        <v>2389</v>
      </c>
      <c r="D1" s="27" t="s">
        <v>2390</v>
      </c>
      <c r="E1" s="27" t="s">
        <v>2396</v>
      </c>
      <c r="F1" s="27" t="s">
        <v>2397</v>
      </c>
      <c r="G1" s="27" t="s">
        <v>2398</v>
      </c>
      <c r="H1" s="29" t="s">
        <v>2400</v>
      </c>
      <c r="I1" s="30"/>
      <c r="J1" s="31"/>
      <c r="K1" s="29" t="s">
        <v>2404</v>
      </c>
      <c r="L1" s="30"/>
      <c r="M1" s="30"/>
      <c r="N1" s="30"/>
      <c r="O1" s="30"/>
      <c r="P1" s="30"/>
      <c r="Q1" s="31"/>
      <c r="R1" s="32" t="s">
        <v>2399</v>
      </c>
    </row>
    <row r="2" spans="1:18" ht="66" x14ac:dyDescent="0.25">
      <c r="A2" s="35"/>
      <c r="B2" s="28"/>
      <c r="C2" s="28"/>
      <c r="D2" s="28"/>
      <c r="E2" s="28"/>
      <c r="F2" s="28"/>
      <c r="G2" s="28"/>
      <c r="H2" s="13" t="s">
        <v>2401</v>
      </c>
      <c r="I2" s="13" t="s">
        <v>2402</v>
      </c>
      <c r="J2" s="13" t="s">
        <v>2403</v>
      </c>
      <c r="K2" s="13" t="s">
        <v>2405</v>
      </c>
      <c r="L2" s="13" t="s">
        <v>2406</v>
      </c>
      <c r="M2" s="13" t="s">
        <v>2407</v>
      </c>
      <c r="N2" s="13" t="s">
        <v>2408</v>
      </c>
      <c r="O2" s="13" t="s">
        <v>2409</v>
      </c>
      <c r="P2" s="13" t="s">
        <v>2410</v>
      </c>
      <c r="Q2" s="13" t="s">
        <v>2411</v>
      </c>
      <c r="R2" s="33"/>
    </row>
    <row r="3" spans="1:18" ht="16.5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66" x14ac:dyDescent="0.25">
      <c r="A4" s="12" t="s">
        <v>2500</v>
      </c>
      <c r="B4" s="13" t="str">
        <f>архикад_устрпроём!B3</f>
        <v>Д22</v>
      </c>
      <c r="C4" s="13"/>
      <c r="D4" s="13" t="str">
        <f>архикад_устрпроём!I3</f>
        <v>Устройство дверного проёма 820x2100(h)мм. в кирпичной стене толщиной 120мм.</v>
      </c>
      <c r="E4" s="13">
        <f>архикад_устрпроём!E3</f>
        <v>1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</row>
    <row r="5" spans="1:18" ht="66" x14ac:dyDescent="0.25">
      <c r="A5" s="12" t="str">
        <f t="shared" ref="A5:A68" si="0">A4</f>
        <v>устрпроем</v>
      </c>
      <c r="B5" s="13" t="str">
        <f>архикад_устрпроём!B4</f>
        <v>Д23</v>
      </c>
      <c r="C5" s="13"/>
      <c r="D5" s="13" t="str">
        <f>архикад_устрпроём!I4</f>
        <v>Устройство дверного проёма 920x2100(h)мм. в кирпичной стене толщиной 120мм.</v>
      </c>
      <c r="E5" s="13">
        <f>архикад_устрпроём!E4</f>
        <v>1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4"/>
    </row>
    <row r="6" spans="1:18" ht="66" x14ac:dyDescent="0.25">
      <c r="A6" s="12" t="str">
        <f t="shared" si="0"/>
        <v>устрпроем</v>
      </c>
      <c r="B6" s="13" t="str">
        <f>архикад_устрпроём!B5</f>
        <v>Д24</v>
      </c>
      <c r="C6" s="13"/>
      <c r="D6" s="13" t="str">
        <f>архикад_устрпроём!I5</f>
        <v>Устройство дверного проёма 1020x2100(h)мм. в кирпичной стене толщиной 120мм.</v>
      </c>
      <c r="E6" s="13">
        <f>архикад_устрпроём!E5</f>
        <v>11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4"/>
    </row>
    <row r="7" spans="1:18" ht="66" x14ac:dyDescent="0.25">
      <c r="A7" s="12" t="str">
        <f t="shared" si="0"/>
        <v>устрпроем</v>
      </c>
      <c r="B7" s="13" t="str">
        <f>архикад_устрпроём!B6</f>
        <v>Д25</v>
      </c>
      <c r="C7" s="13"/>
      <c r="D7" s="13" t="str">
        <f>архикад_устрпроём!I6</f>
        <v>Устройство дверного проёма 1120x2100(h)мм. в кирпичной стене толщиной 120мм.</v>
      </c>
      <c r="E7" s="13">
        <f>архикад_устрпроём!E6</f>
        <v>1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4"/>
    </row>
    <row r="8" spans="1:18" ht="66" x14ac:dyDescent="0.25">
      <c r="A8" s="12" t="str">
        <f t="shared" si="0"/>
        <v>устрпроем</v>
      </c>
      <c r="B8" s="13" t="str">
        <f>архикад_устрпроём!B7</f>
        <v>ОК6</v>
      </c>
      <c r="C8" s="13"/>
      <c r="D8" s="13" t="str">
        <f>архикад_устрпроём!I7</f>
        <v>Устройство дверного проёма 1620x1700(h)мм. в кирпичной стене толщиной 510мм.</v>
      </c>
      <c r="E8" s="13">
        <f>архикад_устрпроём!E7</f>
        <v>4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4"/>
    </row>
    <row r="9" spans="1:18" ht="66" x14ac:dyDescent="0.25">
      <c r="A9" s="12" t="str">
        <f t="shared" si="0"/>
        <v>устрпроем</v>
      </c>
      <c r="B9" s="13" t="str">
        <f>архикад_устрпроём!B8</f>
        <v>ОК7</v>
      </c>
      <c r="C9" s="13"/>
      <c r="D9" s="13" t="str">
        <f>архикад_устрпроём!I8</f>
        <v>Устройство дверного проёма 2150x1360(h)мм. в кирпичной стене толщиной 510мм.</v>
      </c>
      <c r="E9" s="13">
        <f>архикад_устрпроём!E8</f>
        <v>1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4"/>
    </row>
    <row r="10" spans="1:18" ht="33" x14ac:dyDescent="0.25">
      <c r="A10" s="12" t="str">
        <f t="shared" si="0"/>
        <v>устрпроем</v>
      </c>
      <c r="B10" s="13">
        <f>архикад_устрпроём!B9</f>
        <v>0</v>
      </c>
      <c r="C10" s="13"/>
      <c r="D10" s="13" t="str">
        <f>архикад_устрпроём!I9</f>
        <v/>
      </c>
      <c r="E10" s="13">
        <f>архикад_устрпроём!E9</f>
        <v>0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1:18" ht="33" x14ac:dyDescent="0.25">
      <c r="A11" s="12" t="str">
        <f t="shared" si="0"/>
        <v>устрпроем</v>
      </c>
      <c r="B11" s="13">
        <f>архикад_устрпроём!B10</f>
        <v>0</v>
      </c>
      <c r="C11" s="13"/>
      <c r="D11" s="13" t="str">
        <f>архикад_устрпроём!I10</f>
        <v/>
      </c>
      <c r="E11" s="13">
        <f>архикад_устрпроём!E10</f>
        <v>0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1:18" ht="33" x14ac:dyDescent="0.25">
      <c r="A12" s="12" t="str">
        <f t="shared" si="0"/>
        <v>устрпроем</v>
      </c>
      <c r="B12" s="13">
        <f>архикад_устрпроём!B11</f>
        <v>0</v>
      </c>
      <c r="C12" s="13"/>
      <c r="D12" s="13" t="str">
        <f>архикад_устрпроём!I11</f>
        <v/>
      </c>
      <c r="E12" s="13">
        <f>архикад_устрпроём!E11</f>
        <v>0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1:18" ht="33" x14ac:dyDescent="0.25">
      <c r="A13" s="12" t="str">
        <f t="shared" si="0"/>
        <v>устрпроем</v>
      </c>
      <c r="B13" s="13">
        <f>архикад_устрпроём!B12</f>
        <v>0</v>
      </c>
      <c r="C13" s="13"/>
      <c r="D13" s="13" t="str">
        <f>архикад_устрпроём!I12</f>
        <v/>
      </c>
      <c r="E13" s="13">
        <f>архикад_устрпроём!E12</f>
        <v>0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</row>
    <row r="14" spans="1:18" ht="33" x14ac:dyDescent="0.25">
      <c r="A14" s="12" t="str">
        <f t="shared" si="0"/>
        <v>устрпроем</v>
      </c>
      <c r="B14" s="13">
        <f>архикад_устрпроём!B13</f>
        <v>0</v>
      </c>
      <c r="C14" s="13"/>
      <c r="D14" s="13" t="str">
        <f>архикад_устрпроём!I13</f>
        <v/>
      </c>
      <c r="E14" s="13">
        <f>архикад_устрпроём!E13</f>
        <v>0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1:18" ht="33" x14ac:dyDescent="0.25">
      <c r="A15" s="12" t="str">
        <f t="shared" si="0"/>
        <v>устрпроем</v>
      </c>
      <c r="B15" s="13">
        <f>архикад_устрпроём!B14</f>
        <v>0</v>
      </c>
      <c r="C15" s="13"/>
      <c r="D15" s="13" t="str">
        <f>архикад_устрпроём!I14</f>
        <v/>
      </c>
      <c r="E15" s="13">
        <f>архикад_устрпроём!E14</f>
        <v>0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1:18" ht="33" x14ac:dyDescent="0.25">
      <c r="A16" s="12" t="str">
        <f t="shared" si="0"/>
        <v>устрпроем</v>
      </c>
      <c r="B16" s="13">
        <f>архикад_устрпроём!B15</f>
        <v>0</v>
      </c>
      <c r="C16" s="13"/>
      <c r="D16" s="13" t="str">
        <f>архикад_устрпроём!I15</f>
        <v/>
      </c>
      <c r="E16" s="13">
        <f>архикад_устрпроём!E15</f>
        <v>0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1:18" ht="33" x14ac:dyDescent="0.25">
      <c r="A17" s="12" t="str">
        <f t="shared" si="0"/>
        <v>устрпроем</v>
      </c>
      <c r="B17" s="13">
        <f>архикад_устрпроём!B16</f>
        <v>0</v>
      </c>
      <c r="C17" s="13"/>
      <c r="D17" s="13" t="str">
        <f>архикад_устрпроём!I16</f>
        <v/>
      </c>
      <c r="E17" s="13">
        <f>архикад_устрпроём!E16</f>
        <v>0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1:18" ht="33" x14ac:dyDescent="0.25">
      <c r="A18" s="12" t="str">
        <f t="shared" si="0"/>
        <v>устрпроем</v>
      </c>
      <c r="B18" s="13">
        <f>архикад_устрпроём!B17</f>
        <v>0</v>
      </c>
      <c r="C18" s="13"/>
      <c r="D18" s="13" t="str">
        <f>архикад_устрпроём!I17</f>
        <v/>
      </c>
      <c r="E18" s="13">
        <f>архикад_устрпроём!E17</f>
        <v>0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1:18" ht="33" x14ac:dyDescent="0.25">
      <c r="A19" s="12" t="str">
        <f t="shared" si="0"/>
        <v>устрпроем</v>
      </c>
      <c r="B19" s="13">
        <f>архикад_устрпроём!B18</f>
        <v>0</v>
      </c>
      <c r="C19" s="13"/>
      <c r="D19" s="13" t="str">
        <f>архикад_устрпроём!I18</f>
        <v/>
      </c>
      <c r="E19" s="13">
        <f>архикад_устрпроём!E18</f>
        <v>0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1:18" ht="33" x14ac:dyDescent="0.25">
      <c r="A20" s="12" t="str">
        <f t="shared" si="0"/>
        <v>устрпроем</v>
      </c>
      <c r="B20" s="13">
        <f>архикад_устрпроём!B19</f>
        <v>0</v>
      </c>
      <c r="C20" s="13"/>
      <c r="D20" s="13" t="str">
        <f>архикад_устрпроём!I19</f>
        <v/>
      </c>
      <c r="E20" s="13">
        <f>архикад_устрпроём!E19</f>
        <v>0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4"/>
    </row>
    <row r="21" spans="1:18" ht="33" x14ac:dyDescent="0.25">
      <c r="A21" s="12" t="str">
        <f t="shared" si="0"/>
        <v>устрпроем</v>
      </c>
      <c r="B21" s="13">
        <f>архикад_устрпроём!B20</f>
        <v>0</v>
      </c>
      <c r="C21" s="13"/>
      <c r="D21" s="13" t="str">
        <f>архикад_устрпроём!I20</f>
        <v/>
      </c>
      <c r="E21" s="13">
        <f>архикад_устрпроём!E20</f>
        <v>0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1:18" ht="33" x14ac:dyDescent="0.25">
      <c r="A22" s="12" t="str">
        <f t="shared" si="0"/>
        <v>устрпроем</v>
      </c>
      <c r="B22" s="13">
        <f>архикад_устрпроём!B21</f>
        <v>0</v>
      </c>
      <c r="C22" s="13"/>
      <c r="D22" s="13" t="str">
        <f>архикад_устрпроём!I21</f>
        <v/>
      </c>
      <c r="E22" s="13">
        <f>архикад_устрпроём!E21</f>
        <v>0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1:18" ht="33" x14ac:dyDescent="0.25">
      <c r="A23" s="12" t="str">
        <f t="shared" si="0"/>
        <v>устрпроем</v>
      </c>
      <c r="B23" s="13">
        <f>архикад_устрпроём!B22</f>
        <v>0</v>
      </c>
      <c r="C23" s="13"/>
      <c r="D23" s="13" t="str">
        <f>архикад_устрпроём!I22</f>
        <v/>
      </c>
      <c r="E23" s="13">
        <f>архикад_устрпроём!E22</f>
        <v>0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4"/>
    </row>
    <row r="24" spans="1:18" ht="33" x14ac:dyDescent="0.25">
      <c r="A24" s="12" t="str">
        <f t="shared" si="0"/>
        <v>устрпроем</v>
      </c>
      <c r="B24" s="13">
        <f>архикад_устрпроём!B23</f>
        <v>0</v>
      </c>
      <c r="C24" s="13"/>
      <c r="D24" s="13" t="str">
        <f>архикад_устрпроём!I23</f>
        <v/>
      </c>
      <c r="E24" s="13">
        <f>архикад_устрпроём!E23</f>
        <v>0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4"/>
    </row>
    <row r="25" spans="1:18" ht="33" x14ac:dyDescent="0.25">
      <c r="A25" s="12" t="str">
        <f t="shared" si="0"/>
        <v>устрпроем</v>
      </c>
      <c r="B25" s="13">
        <f>архикад_устрпроём!B24</f>
        <v>0</v>
      </c>
      <c r="C25" s="13"/>
      <c r="D25" s="13" t="str">
        <f>архикад_устрпроём!I24</f>
        <v/>
      </c>
      <c r="E25" s="13">
        <f>архикад_устрпроём!E24</f>
        <v>0</v>
      </c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1:18" ht="33" x14ac:dyDescent="0.25">
      <c r="A26" s="12" t="str">
        <f t="shared" si="0"/>
        <v>устрпроем</v>
      </c>
      <c r="B26" s="13">
        <f>архикад_устрпроём!B25</f>
        <v>0</v>
      </c>
      <c r="C26" s="13"/>
      <c r="D26" s="13" t="str">
        <f>архикад_устрпроём!I25</f>
        <v/>
      </c>
      <c r="E26" s="13">
        <f>архикад_устрпроём!E25</f>
        <v>0</v>
      </c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  <row r="27" spans="1:18" ht="33" x14ac:dyDescent="0.25">
      <c r="A27" s="12" t="str">
        <f t="shared" si="0"/>
        <v>устрпроем</v>
      </c>
      <c r="B27" s="13">
        <f>архикад_устрпроём!B26</f>
        <v>0</v>
      </c>
      <c r="C27" s="13"/>
      <c r="D27" s="13" t="str">
        <f>архикад_устрпроём!I26</f>
        <v/>
      </c>
      <c r="E27" s="13">
        <f>архикад_устрпроём!E26</f>
        <v>0</v>
      </c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4"/>
    </row>
    <row r="28" spans="1:18" ht="33" x14ac:dyDescent="0.25">
      <c r="A28" s="12" t="str">
        <f t="shared" si="0"/>
        <v>устрпроем</v>
      </c>
      <c r="B28" s="13">
        <f>архикад_устрпроём!B27</f>
        <v>0</v>
      </c>
      <c r="C28" s="13"/>
      <c r="D28" s="13" t="str">
        <f>архикад_устрпроём!I27</f>
        <v/>
      </c>
      <c r="E28" s="13">
        <f>архикад_устрпроём!E27</f>
        <v>0</v>
      </c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  <row r="29" spans="1:18" ht="33" x14ac:dyDescent="0.25">
      <c r="A29" s="12" t="str">
        <f t="shared" si="0"/>
        <v>устрпроем</v>
      </c>
      <c r="B29" s="13">
        <f>архикад_устрпроём!B28</f>
        <v>0</v>
      </c>
      <c r="C29" s="13"/>
      <c r="D29" s="13" t="str">
        <f>архикад_устрпроём!I28</f>
        <v/>
      </c>
      <c r="E29" s="13">
        <f>архикад_устрпроём!E28</f>
        <v>0</v>
      </c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4"/>
    </row>
    <row r="30" spans="1:18" ht="33" x14ac:dyDescent="0.25">
      <c r="A30" s="12" t="str">
        <f t="shared" si="0"/>
        <v>устрпроем</v>
      </c>
      <c r="B30" s="13">
        <f>архикад_устрпроём!B29</f>
        <v>0</v>
      </c>
      <c r="C30" s="13"/>
      <c r="D30" s="13" t="str">
        <f>архикад_устрпроём!I29</f>
        <v/>
      </c>
      <c r="E30" s="13">
        <f>архикад_устрпроём!E29</f>
        <v>0</v>
      </c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1:18" ht="33" x14ac:dyDescent="0.25">
      <c r="A31" s="12" t="str">
        <f t="shared" si="0"/>
        <v>устрпроем</v>
      </c>
      <c r="B31" s="13">
        <f>архикад_устрпроём!B30</f>
        <v>0</v>
      </c>
      <c r="C31" s="13"/>
      <c r="D31" s="13" t="str">
        <f>архикад_устрпроём!I30</f>
        <v/>
      </c>
      <c r="E31" s="13">
        <f>архикад_устрпроём!E30</f>
        <v>0</v>
      </c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1:18" ht="33" x14ac:dyDescent="0.25">
      <c r="A32" s="12" t="str">
        <f t="shared" si="0"/>
        <v>устрпроем</v>
      </c>
      <c r="B32" s="13">
        <f>архикад_устрпроём!B31</f>
        <v>0</v>
      </c>
      <c r="C32" s="13"/>
      <c r="D32" s="13" t="str">
        <f>архикад_устрпроём!I31</f>
        <v/>
      </c>
      <c r="E32" s="13">
        <f>архикад_устрпроём!E31</f>
        <v>0</v>
      </c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</row>
    <row r="33" spans="1:18" ht="33" x14ac:dyDescent="0.25">
      <c r="A33" s="12" t="str">
        <f t="shared" si="0"/>
        <v>устрпроем</v>
      </c>
      <c r="B33" s="13">
        <f>архикад_устрпроём!B32</f>
        <v>0</v>
      </c>
      <c r="C33" s="13"/>
      <c r="D33" s="13" t="str">
        <f>архикад_устрпроём!I32</f>
        <v/>
      </c>
      <c r="E33" s="13">
        <f>архикад_устрпроём!E32</f>
        <v>0</v>
      </c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4"/>
    </row>
    <row r="34" spans="1:18" ht="33" x14ac:dyDescent="0.25">
      <c r="A34" s="12" t="str">
        <f t="shared" si="0"/>
        <v>устрпроем</v>
      </c>
      <c r="B34" s="13">
        <f>архикад_устрпроём!B33</f>
        <v>0</v>
      </c>
      <c r="C34" s="13"/>
      <c r="D34" s="13" t="str">
        <f>архикад_устрпроём!I33</f>
        <v/>
      </c>
      <c r="E34" s="13">
        <f>архикад_устрпроём!E33</f>
        <v>0</v>
      </c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4"/>
    </row>
    <row r="35" spans="1:18" ht="33" x14ac:dyDescent="0.25">
      <c r="A35" s="12" t="str">
        <f t="shared" si="0"/>
        <v>устрпроем</v>
      </c>
      <c r="B35" s="13">
        <f>архикад_устрпроём!B34</f>
        <v>0</v>
      </c>
      <c r="C35" s="13"/>
      <c r="D35" s="13" t="str">
        <f>архикад_устрпроём!I34</f>
        <v/>
      </c>
      <c r="E35" s="13">
        <f>архикад_устрпроём!E34</f>
        <v>0</v>
      </c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4"/>
    </row>
    <row r="36" spans="1:18" ht="33" x14ac:dyDescent="0.25">
      <c r="A36" s="12" t="str">
        <f t="shared" si="0"/>
        <v>устрпроем</v>
      </c>
      <c r="B36" s="13">
        <f>архикад_устрпроём!B35</f>
        <v>0</v>
      </c>
      <c r="C36" s="13"/>
      <c r="D36" s="13" t="str">
        <f>архикад_устрпроём!I35</f>
        <v/>
      </c>
      <c r="E36" s="13">
        <f>архикад_устрпроём!E35</f>
        <v>0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4"/>
    </row>
    <row r="37" spans="1:18" ht="33" x14ac:dyDescent="0.25">
      <c r="A37" s="12" t="str">
        <f t="shared" si="0"/>
        <v>устрпроем</v>
      </c>
      <c r="B37" s="13">
        <f>архикад_устрпроём!B36</f>
        <v>0</v>
      </c>
      <c r="C37" s="13"/>
      <c r="D37" s="13" t="str">
        <f>архикад_устрпроём!I36</f>
        <v/>
      </c>
      <c r="E37" s="13">
        <f>архикад_устрпроём!E36</f>
        <v>0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4"/>
    </row>
    <row r="38" spans="1:18" ht="33" x14ac:dyDescent="0.25">
      <c r="A38" s="12" t="str">
        <f t="shared" si="0"/>
        <v>устрпроем</v>
      </c>
      <c r="B38" s="13">
        <f>архикад_устрпроём!B37</f>
        <v>0</v>
      </c>
      <c r="C38" s="13"/>
      <c r="D38" s="13" t="str">
        <f>архикад_устрпроём!I37</f>
        <v/>
      </c>
      <c r="E38" s="13">
        <f>архикад_устрпроём!E37</f>
        <v>0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4"/>
    </row>
    <row r="39" spans="1:18" ht="33" x14ac:dyDescent="0.25">
      <c r="A39" s="12" t="str">
        <f t="shared" si="0"/>
        <v>устрпроем</v>
      </c>
      <c r="B39" s="13">
        <f>архикад_устрпроём!B38</f>
        <v>0</v>
      </c>
      <c r="C39" s="13"/>
      <c r="D39" s="13" t="str">
        <f>архикад_устрпроём!I38</f>
        <v/>
      </c>
      <c r="E39" s="13">
        <f>архикад_устрпроём!E38</f>
        <v>0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4"/>
    </row>
    <row r="40" spans="1:18" ht="33" x14ac:dyDescent="0.25">
      <c r="A40" s="12" t="str">
        <f t="shared" si="0"/>
        <v>устрпроем</v>
      </c>
      <c r="B40" s="13">
        <f>архикад_устрпроём!B39</f>
        <v>0</v>
      </c>
      <c r="C40" s="13"/>
      <c r="D40" s="13" t="str">
        <f>архикад_устрпроём!I39</f>
        <v/>
      </c>
      <c r="E40" s="13">
        <f>архикад_устрпроём!E39</f>
        <v>0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4"/>
    </row>
    <row r="41" spans="1:18" ht="33" x14ac:dyDescent="0.25">
      <c r="A41" s="12" t="str">
        <f t="shared" si="0"/>
        <v>устрпроем</v>
      </c>
      <c r="B41" s="13">
        <f>архикад_устрпроём!B40</f>
        <v>0</v>
      </c>
      <c r="C41" s="13"/>
      <c r="D41" s="13" t="str">
        <f>архикад_устрпроём!I40</f>
        <v/>
      </c>
      <c r="E41" s="13">
        <f>архикад_устрпроём!E40</f>
        <v>0</v>
      </c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</row>
    <row r="42" spans="1:18" ht="33" x14ac:dyDescent="0.25">
      <c r="A42" s="12" t="str">
        <f t="shared" si="0"/>
        <v>устрпроем</v>
      </c>
      <c r="B42" s="13">
        <f>архикад_устрпроём!B41</f>
        <v>0</v>
      </c>
      <c r="C42" s="13"/>
      <c r="D42" s="13" t="str">
        <f>архикад_устрпроём!I41</f>
        <v/>
      </c>
      <c r="E42" s="13">
        <f>архикад_устрпроём!E41</f>
        <v>0</v>
      </c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</row>
    <row r="43" spans="1:18" ht="33" x14ac:dyDescent="0.25">
      <c r="A43" s="12" t="str">
        <f t="shared" si="0"/>
        <v>устрпроем</v>
      </c>
      <c r="B43" s="13">
        <f>архикад_устрпроём!B42</f>
        <v>0</v>
      </c>
      <c r="C43" s="13"/>
      <c r="D43" s="13" t="str">
        <f>архикад_устрпроём!I42</f>
        <v/>
      </c>
      <c r="E43" s="13">
        <f>архикад_устрпроём!E42</f>
        <v>0</v>
      </c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</row>
    <row r="44" spans="1:18" ht="33" x14ac:dyDescent="0.25">
      <c r="A44" s="12" t="str">
        <f t="shared" si="0"/>
        <v>устрпроем</v>
      </c>
      <c r="B44" s="13">
        <f>архикад_устрпроём!B43</f>
        <v>0</v>
      </c>
      <c r="C44" s="13"/>
      <c r="D44" s="13" t="str">
        <f>архикад_устрпроём!I43</f>
        <v/>
      </c>
      <c r="E44" s="13">
        <f>архикад_устрпроём!E43</f>
        <v>0</v>
      </c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4"/>
    </row>
    <row r="45" spans="1:18" ht="33" x14ac:dyDescent="0.25">
      <c r="A45" s="12" t="str">
        <f t="shared" si="0"/>
        <v>устрпроем</v>
      </c>
      <c r="B45" s="13">
        <f>архикад_устрпроём!B44</f>
        <v>0</v>
      </c>
      <c r="C45" s="13"/>
      <c r="D45" s="13" t="str">
        <f>архикад_устрпроём!I44</f>
        <v/>
      </c>
      <c r="E45" s="13">
        <f>архикад_устрпроём!E44</f>
        <v>0</v>
      </c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4"/>
    </row>
    <row r="46" spans="1:18" ht="33" x14ac:dyDescent="0.25">
      <c r="A46" s="12" t="str">
        <f t="shared" si="0"/>
        <v>устрпроем</v>
      </c>
      <c r="B46" s="13">
        <f>архикад_устрпроём!B45</f>
        <v>0</v>
      </c>
      <c r="C46" s="13"/>
      <c r="D46" s="13" t="str">
        <f>архикад_устрпроём!I45</f>
        <v/>
      </c>
      <c r="E46" s="13">
        <f>архикад_устрпроём!E45</f>
        <v>0</v>
      </c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4"/>
    </row>
    <row r="47" spans="1:18" ht="33" x14ac:dyDescent="0.25">
      <c r="A47" s="12" t="str">
        <f t="shared" si="0"/>
        <v>устрпроем</v>
      </c>
      <c r="B47" s="13">
        <f>архикад_устрпроём!B46</f>
        <v>0</v>
      </c>
      <c r="C47" s="13"/>
      <c r="D47" s="13" t="str">
        <f>архикад_устрпроём!I46</f>
        <v/>
      </c>
      <c r="E47" s="13">
        <f>архикад_устрпроём!E46</f>
        <v>0</v>
      </c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4"/>
    </row>
    <row r="48" spans="1:18" ht="33" x14ac:dyDescent="0.25">
      <c r="A48" s="12" t="str">
        <f t="shared" si="0"/>
        <v>устрпроем</v>
      </c>
      <c r="B48" s="13">
        <f>архикад_устрпроём!B47</f>
        <v>0</v>
      </c>
      <c r="C48" s="13"/>
      <c r="D48" s="13" t="str">
        <f>архикад_устрпроём!I47</f>
        <v/>
      </c>
      <c r="E48" s="13">
        <f>архикад_устрпроём!E47</f>
        <v>0</v>
      </c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4"/>
    </row>
    <row r="49" spans="1:18" ht="33" x14ac:dyDescent="0.25">
      <c r="A49" s="12" t="str">
        <f t="shared" si="0"/>
        <v>устрпроем</v>
      </c>
      <c r="B49" s="13">
        <f>архикад_устрпроём!B48</f>
        <v>0</v>
      </c>
      <c r="C49" s="13"/>
      <c r="D49" s="13" t="str">
        <f>архикад_устрпроём!I48</f>
        <v/>
      </c>
      <c r="E49" s="13">
        <f>архикад_устрпроём!E48</f>
        <v>0</v>
      </c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4"/>
    </row>
    <row r="50" spans="1:18" ht="33" x14ac:dyDescent="0.25">
      <c r="A50" s="12" t="str">
        <f t="shared" si="0"/>
        <v>устрпроем</v>
      </c>
      <c r="B50" s="13">
        <f>архикад_устрпроём!B49</f>
        <v>0</v>
      </c>
      <c r="C50" s="13"/>
      <c r="D50" s="13" t="str">
        <f>архикад_устрпроём!I49</f>
        <v/>
      </c>
      <c r="E50" s="13">
        <f>архикад_устрпроём!E49</f>
        <v>0</v>
      </c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4"/>
    </row>
    <row r="51" spans="1:18" ht="33" x14ac:dyDescent="0.25">
      <c r="A51" s="12" t="str">
        <f t="shared" si="0"/>
        <v>устрпроем</v>
      </c>
      <c r="B51" s="13">
        <f>архикад_устрпроём!B50</f>
        <v>0</v>
      </c>
      <c r="C51" s="13"/>
      <c r="D51" s="13" t="str">
        <f>архикад_устрпроём!I50</f>
        <v/>
      </c>
      <c r="E51" s="13">
        <f>архикад_устрпроём!E50</f>
        <v>0</v>
      </c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4"/>
    </row>
    <row r="52" spans="1:18" ht="33" x14ac:dyDescent="0.25">
      <c r="A52" s="12" t="str">
        <f t="shared" si="0"/>
        <v>устрпроем</v>
      </c>
      <c r="B52" s="13">
        <f>архикад_устрпроём!B51</f>
        <v>0</v>
      </c>
      <c r="C52" s="13"/>
      <c r="D52" s="13" t="str">
        <f>архикад_устрпроём!I51</f>
        <v/>
      </c>
      <c r="E52" s="13">
        <f>архикад_устрпроём!E51</f>
        <v>0</v>
      </c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4"/>
    </row>
    <row r="53" spans="1:18" ht="33" x14ac:dyDescent="0.25">
      <c r="A53" s="12" t="str">
        <f t="shared" si="0"/>
        <v>устрпроем</v>
      </c>
      <c r="B53" s="13">
        <f>архикад_устрпроём!B52</f>
        <v>0</v>
      </c>
      <c r="C53" s="13"/>
      <c r="D53" s="13" t="str">
        <f>архикад_устрпроём!I52</f>
        <v/>
      </c>
      <c r="E53" s="13">
        <f>архикад_устрпроём!E52</f>
        <v>0</v>
      </c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4"/>
    </row>
    <row r="54" spans="1:18" ht="33" x14ac:dyDescent="0.25">
      <c r="A54" s="12" t="str">
        <f t="shared" si="0"/>
        <v>устрпроем</v>
      </c>
      <c r="B54" s="13">
        <f>архикад_устрпроём!B53</f>
        <v>0</v>
      </c>
      <c r="C54" s="13"/>
      <c r="D54" s="13" t="str">
        <f>архикад_устрпроём!I53</f>
        <v/>
      </c>
      <c r="E54" s="13">
        <f>архикад_устрпроём!E53</f>
        <v>0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4"/>
    </row>
    <row r="55" spans="1:18" ht="33" x14ac:dyDescent="0.25">
      <c r="A55" s="12" t="str">
        <f t="shared" si="0"/>
        <v>устрпроем</v>
      </c>
      <c r="B55" s="13">
        <f>архикад_устрпроём!B54</f>
        <v>0</v>
      </c>
      <c r="C55" s="13"/>
      <c r="D55" s="13" t="str">
        <f>архикад_устрпроём!I54</f>
        <v/>
      </c>
      <c r="E55" s="13">
        <f>архикад_устрпроём!E54</f>
        <v>0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4"/>
    </row>
    <row r="56" spans="1:18" ht="33" x14ac:dyDescent="0.25">
      <c r="A56" s="12" t="str">
        <f t="shared" si="0"/>
        <v>устрпроем</v>
      </c>
      <c r="B56" s="13">
        <f>архикад_устрпроём!B55</f>
        <v>0</v>
      </c>
      <c r="C56" s="13"/>
      <c r="D56" s="13" t="str">
        <f>архикад_устрпроём!I55</f>
        <v/>
      </c>
      <c r="E56" s="13">
        <f>архикад_устрпроём!E55</f>
        <v>0</v>
      </c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4"/>
    </row>
    <row r="57" spans="1:18" ht="33" x14ac:dyDescent="0.25">
      <c r="A57" s="12" t="str">
        <f t="shared" si="0"/>
        <v>устрпроем</v>
      </c>
      <c r="B57" s="13">
        <f>архикад_устрпроём!B56</f>
        <v>0</v>
      </c>
      <c r="C57" s="13"/>
      <c r="D57" s="13" t="str">
        <f>архикад_устрпроём!I56</f>
        <v/>
      </c>
      <c r="E57" s="13">
        <f>архикад_устрпроём!E56</f>
        <v>0</v>
      </c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4"/>
    </row>
    <row r="58" spans="1:18" ht="33" x14ac:dyDescent="0.25">
      <c r="A58" s="12" t="str">
        <f t="shared" si="0"/>
        <v>устрпроем</v>
      </c>
      <c r="B58" s="13">
        <f>архикад_устрпроём!B57</f>
        <v>0</v>
      </c>
      <c r="C58" s="13"/>
      <c r="D58" s="13" t="str">
        <f>архикад_устрпроём!I57</f>
        <v/>
      </c>
      <c r="E58" s="13">
        <f>архикад_устрпроём!E57</f>
        <v>0</v>
      </c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4"/>
    </row>
    <row r="59" spans="1:18" ht="33" x14ac:dyDescent="0.25">
      <c r="A59" s="12" t="str">
        <f t="shared" si="0"/>
        <v>устрпроем</v>
      </c>
      <c r="B59" s="13">
        <f>архикад_устрпроём!B58</f>
        <v>0</v>
      </c>
      <c r="C59" s="13"/>
      <c r="D59" s="13" t="str">
        <f>архикад_устрпроём!I58</f>
        <v/>
      </c>
      <c r="E59" s="13">
        <f>архикад_устрпроём!E58</f>
        <v>0</v>
      </c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4"/>
    </row>
    <row r="60" spans="1:18" ht="33" x14ac:dyDescent="0.25">
      <c r="A60" s="12" t="str">
        <f t="shared" si="0"/>
        <v>устрпроем</v>
      </c>
      <c r="B60" s="13">
        <f>архикад_устрпроём!B59</f>
        <v>0</v>
      </c>
      <c r="C60" s="13"/>
      <c r="D60" s="13" t="str">
        <f>архикад_устрпроём!I59</f>
        <v/>
      </c>
      <c r="E60" s="13">
        <f>архикад_устрпроём!E59</f>
        <v>0</v>
      </c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4"/>
    </row>
    <row r="61" spans="1:18" ht="33" x14ac:dyDescent="0.25">
      <c r="A61" s="12" t="str">
        <f t="shared" si="0"/>
        <v>устрпроем</v>
      </c>
      <c r="B61" s="13">
        <f>архикад_устрпроём!B60</f>
        <v>0</v>
      </c>
      <c r="C61" s="13"/>
      <c r="D61" s="13" t="str">
        <f>архикад_устрпроём!I60</f>
        <v/>
      </c>
      <c r="E61" s="13">
        <f>архикад_устрпроём!E60</f>
        <v>0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4"/>
    </row>
    <row r="62" spans="1:18" ht="33" x14ac:dyDescent="0.25">
      <c r="A62" s="12" t="str">
        <f t="shared" si="0"/>
        <v>устрпроем</v>
      </c>
      <c r="B62" s="13">
        <f>архикад_устрпроём!B61</f>
        <v>0</v>
      </c>
      <c r="C62" s="13"/>
      <c r="D62" s="13" t="str">
        <f>архикад_устрпроём!I61</f>
        <v/>
      </c>
      <c r="E62" s="13">
        <f>архикад_устрпроём!E61</f>
        <v>0</v>
      </c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4"/>
    </row>
    <row r="63" spans="1:18" ht="33" x14ac:dyDescent="0.25">
      <c r="A63" s="12" t="str">
        <f t="shared" si="0"/>
        <v>устрпроем</v>
      </c>
      <c r="B63" s="13">
        <f>архикад_устрпроём!B62</f>
        <v>0</v>
      </c>
      <c r="C63" s="13"/>
      <c r="D63" s="13" t="str">
        <f>архикад_устрпроём!I62</f>
        <v/>
      </c>
      <c r="E63" s="13">
        <f>архикад_устрпроём!E62</f>
        <v>0</v>
      </c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4"/>
    </row>
    <row r="64" spans="1:18" ht="33" x14ac:dyDescent="0.25">
      <c r="A64" s="12" t="str">
        <f t="shared" si="0"/>
        <v>устрпроем</v>
      </c>
      <c r="B64" s="13">
        <f>архикад_устрпроём!B63</f>
        <v>0</v>
      </c>
      <c r="C64" s="13"/>
      <c r="D64" s="13" t="str">
        <f>архикад_устрпроём!I63</f>
        <v/>
      </c>
      <c r="E64" s="13">
        <f>архикад_устрпроём!E63</f>
        <v>0</v>
      </c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4"/>
    </row>
    <row r="65" spans="1:18" ht="33" x14ac:dyDescent="0.25">
      <c r="A65" s="12" t="str">
        <f t="shared" si="0"/>
        <v>устрпроем</v>
      </c>
      <c r="B65" s="13">
        <f>архикад_устрпроём!B64</f>
        <v>0</v>
      </c>
      <c r="C65" s="13"/>
      <c r="D65" s="13" t="str">
        <f>архикад_устрпроём!I64</f>
        <v/>
      </c>
      <c r="E65" s="13">
        <f>архикад_устрпроём!E64</f>
        <v>0</v>
      </c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4"/>
    </row>
    <row r="66" spans="1:18" ht="33" x14ac:dyDescent="0.25">
      <c r="A66" s="12" t="str">
        <f t="shared" si="0"/>
        <v>устрпроем</v>
      </c>
      <c r="B66" s="13">
        <f>архикад_устрпроём!B65</f>
        <v>0</v>
      </c>
      <c r="C66" s="13"/>
      <c r="D66" s="13" t="str">
        <f>архикад_устрпроём!I65</f>
        <v/>
      </c>
      <c r="E66" s="13">
        <f>архикад_устрпроём!E65</f>
        <v>0</v>
      </c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4"/>
    </row>
    <row r="67" spans="1:18" ht="33" x14ac:dyDescent="0.25">
      <c r="A67" s="12" t="str">
        <f t="shared" si="0"/>
        <v>устрпроем</v>
      </c>
      <c r="B67" s="13">
        <f>архикад_устрпроём!B66</f>
        <v>0</v>
      </c>
      <c r="C67" s="13"/>
      <c r="D67" s="13" t="str">
        <f>архикад_устрпроём!I66</f>
        <v/>
      </c>
      <c r="E67" s="13">
        <f>архикад_устрпроём!E66</f>
        <v>0</v>
      </c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4"/>
    </row>
    <row r="68" spans="1:18" ht="33" x14ac:dyDescent="0.25">
      <c r="A68" s="12" t="str">
        <f t="shared" si="0"/>
        <v>устрпроем</v>
      </c>
      <c r="B68" s="13">
        <f>архикад_устрпроём!B67</f>
        <v>0</v>
      </c>
      <c r="C68" s="13"/>
      <c r="D68" s="13" t="str">
        <f>архикад_устрпроём!I67</f>
        <v/>
      </c>
      <c r="E68" s="13">
        <f>архикад_устрпроём!E67</f>
        <v>0</v>
      </c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4"/>
    </row>
    <row r="69" spans="1:18" ht="33" x14ac:dyDescent="0.25">
      <c r="A69" s="12" t="str">
        <f t="shared" ref="A69:A132" si="1">A68</f>
        <v>устрпроем</v>
      </c>
      <c r="B69" s="13">
        <f>архикад_устрпроём!B68</f>
        <v>0</v>
      </c>
      <c r="C69" s="13"/>
      <c r="D69" s="13" t="str">
        <f>архикад_устрпроём!I68</f>
        <v/>
      </c>
      <c r="E69" s="13">
        <f>архикад_устрпроём!E68</f>
        <v>0</v>
      </c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4"/>
    </row>
    <row r="70" spans="1:18" ht="33" x14ac:dyDescent="0.25">
      <c r="A70" s="12" t="str">
        <f t="shared" si="1"/>
        <v>устрпроем</v>
      </c>
      <c r="B70" s="13">
        <f>архикад_устрпроём!B69</f>
        <v>0</v>
      </c>
      <c r="C70" s="13"/>
      <c r="D70" s="13" t="str">
        <f>архикад_устрпроём!I69</f>
        <v/>
      </c>
      <c r="E70" s="13">
        <f>архикад_устрпроём!E69</f>
        <v>0</v>
      </c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4"/>
    </row>
    <row r="71" spans="1:18" ht="33" x14ac:dyDescent="0.25">
      <c r="A71" s="12" t="str">
        <f t="shared" si="1"/>
        <v>устрпроем</v>
      </c>
      <c r="B71" s="13">
        <f>архикад_устрпроём!B70</f>
        <v>0</v>
      </c>
      <c r="C71" s="13"/>
      <c r="D71" s="13" t="str">
        <f>архикад_устрпроём!I70</f>
        <v/>
      </c>
      <c r="E71" s="13">
        <f>архикад_устрпроём!E70</f>
        <v>0</v>
      </c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4"/>
    </row>
    <row r="72" spans="1:18" ht="33" x14ac:dyDescent="0.25">
      <c r="A72" s="12" t="str">
        <f t="shared" si="1"/>
        <v>устрпроем</v>
      </c>
      <c r="B72" s="13">
        <f>архикад_устрпроём!B71</f>
        <v>0</v>
      </c>
      <c r="C72" s="13"/>
      <c r="D72" s="13" t="str">
        <f>архикад_устрпроём!I71</f>
        <v/>
      </c>
      <c r="E72" s="13">
        <f>архикад_устрпроём!E71</f>
        <v>0</v>
      </c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4"/>
    </row>
    <row r="73" spans="1:18" ht="33" x14ac:dyDescent="0.25">
      <c r="A73" s="12" t="str">
        <f t="shared" si="1"/>
        <v>устрпроем</v>
      </c>
      <c r="B73" s="13">
        <f>архикад_устрпроём!B72</f>
        <v>0</v>
      </c>
      <c r="C73" s="13"/>
      <c r="D73" s="13" t="str">
        <f>архикад_устрпроём!I72</f>
        <v/>
      </c>
      <c r="E73" s="13">
        <f>архикад_устрпроём!E72</f>
        <v>0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4"/>
    </row>
    <row r="74" spans="1:18" ht="33" x14ac:dyDescent="0.25">
      <c r="A74" s="12" t="str">
        <f t="shared" si="1"/>
        <v>устрпроем</v>
      </c>
      <c r="B74" s="13">
        <f>архикад_устрпроём!B73</f>
        <v>0</v>
      </c>
      <c r="C74" s="13"/>
      <c r="D74" s="13" t="str">
        <f>архикад_устрпроём!I73</f>
        <v/>
      </c>
      <c r="E74" s="13">
        <f>архикад_устрпроём!E73</f>
        <v>0</v>
      </c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4"/>
    </row>
    <row r="75" spans="1:18" ht="33" x14ac:dyDescent="0.25">
      <c r="A75" s="12" t="str">
        <f t="shared" si="1"/>
        <v>устрпроем</v>
      </c>
      <c r="B75" s="13">
        <f>архикад_устрпроём!B74</f>
        <v>0</v>
      </c>
      <c r="C75" s="13"/>
      <c r="D75" s="13" t="str">
        <f>архикад_устрпроём!I74</f>
        <v/>
      </c>
      <c r="E75" s="13">
        <f>архикад_устрпроём!E74</f>
        <v>0</v>
      </c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4"/>
    </row>
    <row r="76" spans="1:18" ht="33" x14ac:dyDescent="0.25">
      <c r="A76" s="12" t="str">
        <f t="shared" si="1"/>
        <v>устрпроем</v>
      </c>
      <c r="B76" s="13">
        <f>архикад_устрпроём!B75</f>
        <v>0</v>
      </c>
      <c r="C76" s="13"/>
      <c r="D76" s="13" t="str">
        <f>архикад_устрпроём!I75</f>
        <v/>
      </c>
      <c r="E76" s="13">
        <f>архикад_устрпроём!E75</f>
        <v>0</v>
      </c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4"/>
    </row>
    <row r="77" spans="1:18" ht="33" x14ac:dyDescent="0.25">
      <c r="A77" s="12" t="str">
        <f t="shared" si="1"/>
        <v>устрпроем</v>
      </c>
      <c r="B77" s="13">
        <f>архикад_устрпроём!B76</f>
        <v>0</v>
      </c>
      <c r="C77" s="13"/>
      <c r="D77" s="13" t="str">
        <f>архикад_устрпроём!I76</f>
        <v/>
      </c>
      <c r="E77" s="13">
        <f>архикад_устрпроём!E76</f>
        <v>0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4"/>
    </row>
    <row r="78" spans="1:18" ht="33" x14ac:dyDescent="0.25">
      <c r="A78" s="12" t="str">
        <f t="shared" si="1"/>
        <v>устрпроем</v>
      </c>
      <c r="B78" s="13">
        <f>архикад_устрпроём!B77</f>
        <v>0</v>
      </c>
      <c r="C78" s="13"/>
      <c r="D78" s="13" t="str">
        <f>архикад_устрпроём!I77</f>
        <v/>
      </c>
      <c r="E78" s="13">
        <f>архикад_устрпроём!E77</f>
        <v>0</v>
      </c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4"/>
    </row>
    <row r="79" spans="1:18" ht="33" x14ac:dyDescent="0.25">
      <c r="A79" s="12" t="str">
        <f t="shared" si="1"/>
        <v>устрпроем</v>
      </c>
      <c r="B79" s="13">
        <f>архикад_устрпроём!B78</f>
        <v>0</v>
      </c>
      <c r="C79" s="13"/>
      <c r="D79" s="13" t="str">
        <f>архикад_устрпроём!I78</f>
        <v/>
      </c>
      <c r="E79" s="13">
        <f>архикад_устрпроём!E78</f>
        <v>0</v>
      </c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4"/>
    </row>
    <row r="80" spans="1:18" ht="33" x14ac:dyDescent="0.25">
      <c r="A80" s="12" t="str">
        <f t="shared" si="1"/>
        <v>устрпроем</v>
      </c>
      <c r="B80" s="13">
        <f>архикад_устрпроём!B79</f>
        <v>0</v>
      </c>
      <c r="C80" s="13"/>
      <c r="D80" s="13" t="str">
        <f>архикад_устрпроём!I79</f>
        <v/>
      </c>
      <c r="E80" s="13">
        <f>архикад_устрпроём!E79</f>
        <v>0</v>
      </c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4"/>
    </row>
    <row r="81" spans="1:18" ht="33" x14ac:dyDescent="0.25">
      <c r="A81" s="12" t="str">
        <f t="shared" si="1"/>
        <v>устрпроем</v>
      </c>
      <c r="B81" s="13">
        <f>архикад_устрпроём!B80</f>
        <v>0</v>
      </c>
      <c r="C81" s="13"/>
      <c r="D81" s="13" t="str">
        <f>архикад_устрпроём!I80</f>
        <v/>
      </c>
      <c r="E81" s="13">
        <f>архикад_устрпроём!E80</f>
        <v>0</v>
      </c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4"/>
    </row>
    <row r="82" spans="1:18" ht="33" x14ac:dyDescent="0.25">
      <c r="A82" s="12" t="str">
        <f t="shared" si="1"/>
        <v>устрпроем</v>
      </c>
      <c r="B82" s="13">
        <f>архикад_устрпроём!B81</f>
        <v>0</v>
      </c>
      <c r="C82" s="13"/>
      <c r="D82" s="13" t="str">
        <f>архикад_устрпроём!I81</f>
        <v/>
      </c>
      <c r="E82" s="13">
        <f>архикад_устрпроём!E81</f>
        <v>0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4"/>
    </row>
    <row r="83" spans="1:18" ht="33" x14ac:dyDescent="0.25">
      <c r="A83" s="12" t="str">
        <f t="shared" si="1"/>
        <v>устрпроем</v>
      </c>
      <c r="B83" s="13">
        <f>архикад_устрпроём!B82</f>
        <v>0</v>
      </c>
      <c r="C83" s="13"/>
      <c r="D83" s="13" t="str">
        <f>архикад_устрпроём!I82</f>
        <v/>
      </c>
      <c r="E83" s="13">
        <f>архикад_устрпроём!E82</f>
        <v>0</v>
      </c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4"/>
    </row>
    <row r="84" spans="1:18" ht="33" x14ac:dyDescent="0.25">
      <c r="A84" s="12" t="str">
        <f t="shared" si="1"/>
        <v>устрпроем</v>
      </c>
      <c r="B84" s="13">
        <f>архикад_устрпроём!B83</f>
        <v>0</v>
      </c>
      <c r="C84" s="13"/>
      <c r="D84" s="13" t="str">
        <f>архикад_устрпроём!I83</f>
        <v/>
      </c>
      <c r="E84" s="13">
        <f>архикад_устрпроём!E83</f>
        <v>0</v>
      </c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4"/>
    </row>
    <row r="85" spans="1:18" ht="33" x14ac:dyDescent="0.25">
      <c r="A85" s="12" t="str">
        <f t="shared" si="1"/>
        <v>устрпроем</v>
      </c>
      <c r="B85" s="13">
        <f>архикад_устрпроём!B84</f>
        <v>0</v>
      </c>
      <c r="C85" s="13"/>
      <c r="D85" s="13" t="str">
        <f>архикад_устрпроём!I84</f>
        <v/>
      </c>
      <c r="E85" s="13">
        <f>архикад_устрпроём!E84</f>
        <v>0</v>
      </c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4"/>
    </row>
    <row r="86" spans="1:18" ht="33" x14ac:dyDescent="0.25">
      <c r="A86" s="12" t="str">
        <f t="shared" si="1"/>
        <v>устрпроем</v>
      </c>
      <c r="B86" s="13">
        <f>архикад_устрпроём!B85</f>
        <v>0</v>
      </c>
      <c r="C86" s="13"/>
      <c r="D86" s="13" t="str">
        <f>архикад_устрпроём!I85</f>
        <v/>
      </c>
      <c r="E86" s="13">
        <f>архикад_устрпроём!E85</f>
        <v>0</v>
      </c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4"/>
    </row>
    <row r="87" spans="1:18" ht="33" x14ac:dyDescent="0.25">
      <c r="A87" s="12" t="str">
        <f t="shared" si="1"/>
        <v>устрпроем</v>
      </c>
      <c r="B87" s="13">
        <f>архикад_устрпроём!B86</f>
        <v>0</v>
      </c>
      <c r="C87" s="13"/>
      <c r="D87" s="13" t="str">
        <f>архикад_устрпроём!I86</f>
        <v/>
      </c>
      <c r="E87" s="13">
        <f>архикад_устрпроём!E86</f>
        <v>0</v>
      </c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4"/>
    </row>
    <row r="88" spans="1:18" ht="33" x14ac:dyDescent="0.25">
      <c r="A88" s="12" t="str">
        <f t="shared" si="1"/>
        <v>устрпроем</v>
      </c>
      <c r="B88" s="13">
        <f>архикад_устрпроём!B87</f>
        <v>0</v>
      </c>
      <c r="C88" s="13"/>
      <c r="D88" s="13" t="str">
        <f>архикад_устрпроём!I87</f>
        <v/>
      </c>
      <c r="E88" s="13">
        <f>архикад_устрпроём!E87</f>
        <v>0</v>
      </c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4"/>
    </row>
    <row r="89" spans="1:18" ht="33" x14ac:dyDescent="0.25">
      <c r="A89" s="12" t="str">
        <f t="shared" si="1"/>
        <v>устрпроем</v>
      </c>
      <c r="B89" s="13">
        <f>архикад_устрпроём!B88</f>
        <v>0</v>
      </c>
      <c r="C89" s="13"/>
      <c r="D89" s="13" t="str">
        <f>архикад_устрпроём!I88</f>
        <v/>
      </c>
      <c r="E89" s="13">
        <f>архикад_устрпроём!E88</f>
        <v>0</v>
      </c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4"/>
    </row>
    <row r="90" spans="1:18" ht="33" x14ac:dyDescent="0.25">
      <c r="A90" s="12" t="str">
        <f t="shared" si="1"/>
        <v>устрпроем</v>
      </c>
      <c r="B90" s="13">
        <f>архикад_устрпроём!B89</f>
        <v>0</v>
      </c>
      <c r="C90" s="13"/>
      <c r="D90" s="13" t="str">
        <f>архикад_устрпроём!I89</f>
        <v/>
      </c>
      <c r="E90" s="13">
        <f>архикад_устрпроём!E89</f>
        <v>0</v>
      </c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4"/>
    </row>
    <row r="91" spans="1:18" ht="33" x14ac:dyDescent="0.25">
      <c r="A91" s="12" t="str">
        <f t="shared" si="1"/>
        <v>устрпроем</v>
      </c>
      <c r="B91" s="13">
        <f>архикад_устрпроём!B90</f>
        <v>0</v>
      </c>
      <c r="C91" s="13"/>
      <c r="D91" s="13" t="str">
        <f>архикад_устрпроём!I90</f>
        <v/>
      </c>
      <c r="E91" s="13">
        <f>архикад_устрпроём!E90</f>
        <v>0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4"/>
    </row>
    <row r="92" spans="1:18" ht="33" x14ac:dyDescent="0.25">
      <c r="A92" s="12" t="str">
        <f t="shared" si="1"/>
        <v>устрпроем</v>
      </c>
      <c r="B92" s="13">
        <f>архикад_устрпроём!B91</f>
        <v>0</v>
      </c>
      <c r="C92" s="13"/>
      <c r="D92" s="13" t="str">
        <f>архикад_устрпроём!I91</f>
        <v/>
      </c>
      <c r="E92" s="13">
        <f>архикад_устрпроём!E91</f>
        <v>0</v>
      </c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4"/>
    </row>
    <row r="93" spans="1:18" ht="33" x14ac:dyDescent="0.25">
      <c r="A93" s="12" t="str">
        <f t="shared" si="1"/>
        <v>устрпроем</v>
      </c>
      <c r="B93" s="13">
        <f>архикад_устрпроём!B92</f>
        <v>0</v>
      </c>
      <c r="C93" s="13"/>
      <c r="D93" s="13" t="str">
        <f>архикад_устрпроём!I92</f>
        <v/>
      </c>
      <c r="E93" s="13">
        <f>архикад_устрпроём!E92</f>
        <v>0</v>
      </c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4"/>
    </row>
    <row r="94" spans="1:18" ht="33" x14ac:dyDescent="0.25">
      <c r="A94" s="12" t="str">
        <f t="shared" si="1"/>
        <v>устрпроем</v>
      </c>
      <c r="B94" s="13">
        <f>архикад_устрпроём!B93</f>
        <v>0</v>
      </c>
      <c r="C94" s="13"/>
      <c r="D94" s="13" t="str">
        <f>архикад_устрпроём!I93</f>
        <v/>
      </c>
      <c r="E94" s="13">
        <f>архикад_устрпроём!E93</f>
        <v>0</v>
      </c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4"/>
    </row>
    <row r="95" spans="1:18" ht="33" x14ac:dyDescent="0.25">
      <c r="A95" s="12" t="str">
        <f t="shared" si="1"/>
        <v>устрпроем</v>
      </c>
      <c r="B95" s="13">
        <f>архикад_устрпроём!B94</f>
        <v>0</v>
      </c>
      <c r="C95" s="13"/>
      <c r="D95" s="13" t="str">
        <f>архикад_устрпроём!I94</f>
        <v/>
      </c>
      <c r="E95" s="13">
        <f>архикад_устрпроём!E94</f>
        <v>0</v>
      </c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4"/>
    </row>
    <row r="96" spans="1:18" ht="33" x14ac:dyDescent="0.25">
      <c r="A96" s="12" t="str">
        <f t="shared" si="1"/>
        <v>устрпроем</v>
      </c>
      <c r="B96" s="13">
        <f>архикад_устрпроём!B95</f>
        <v>0</v>
      </c>
      <c r="C96" s="13"/>
      <c r="D96" s="13" t="str">
        <f>архикад_устрпроём!I95</f>
        <v/>
      </c>
      <c r="E96" s="13">
        <f>архикад_устрпроём!E95</f>
        <v>0</v>
      </c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4"/>
    </row>
    <row r="97" spans="1:18" ht="33" x14ac:dyDescent="0.25">
      <c r="A97" s="12" t="str">
        <f t="shared" si="1"/>
        <v>устрпроем</v>
      </c>
      <c r="B97" s="13">
        <f>архикад_устрпроём!B96</f>
        <v>0</v>
      </c>
      <c r="C97" s="13"/>
      <c r="D97" s="13" t="str">
        <f>архикад_устрпроём!I96</f>
        <v/>
      </c>
      <c r="E97" s="13">
        <f>архикад_устрпроём!E96</f>
        <v>0</v>
      </c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4"/>
    </row>
    <row r="98" spans="1:18" ht="33" x14ac:dyDescent="0.25">
      <c r="A98" s="12" t="str">
        <f t="shared" si="1"/>
        <v>устрпроем</v>
      </c>
      <c r="B98" s="13">
        <f>архикад_устрпроём!B97</f>
        <v>0</v>
      </c>
      <c r="C98" s="13"/>
      <c r="D98" s="13" t="str">
        <f>архикад_устрпроём!I97</f>
        <v/>
      </c>
      <c r="E98" s="13">
        <f>архикад_устрпроём!E97</f>
        <v>0</v>
      </c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4"/>
    </row>
    <row r="99" spans="1:18" ht="33" x14ac:dyDescent="0.25">
      <c r="A99" s="12" t="str">
        <f t="shared" si="1"/>
        <v>устрпроем</v>
      </c>
      <c r="B99" s="13">
        <f>архикад_устрпроём!B98</f>
        <v>0</v>
      </c>
      <c r="C99" s="13"/>
      <c r="D99" s="13" t="str">
        <f>архикад_устрпроём!I98</f>
        <v/>
      </c>
      <c r="E99" s="13">
        <f>архикад_устрпроём!E98</f>
        <v>0</v>
      </c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4"/>
    </row>
    <row r="100" spans="1:18" ht="33" x14ac:dyDescent="0.25">
      <c r="A100" s="12" t="str">
        <f t="shared" si="1"/>
        <v>устрпроем</v>
      </c>
      <c r="B100" s="13">
        <f>архикад_устрпроём!B99</f>
        <v>0</v>
      </c>
      <c r="C100" s="13"/>
      <c r="D100" s="13" t="str">
        <f>архикад_устрпроём!I99</f>
        <v/>
      </c>
      <c r="E100" s="13">
        <f>архикад_устрпроём!E99</f>
        <v>0</v>
      </c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4"/>
    </row>
    <row r="101" spans="1:18" ht="33" x14ac:dyDescent="0.25">
      <c r="A101" s="12" t="str">
        <f t="shared" si="1"/>
        <v>устрпроем</v>
      </c>
      <c r="B101" s="13">
        <f>архикад_устрпроём!B100</f>
        <v>0</v>
      </c>
      <c r="C101" s="13"/>
      <c r="D101" s="13" t="str">
        <f>архикад_устрпроём!I100</f>
        <v/>
      </c>
      <c r="E101" s="13">
        <f>архикад_устрпроём!E100</f>
        <v>0</v>
      </c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4"/>
    </row>
    <row r="102" spans="1:18" ht="33" x14ac:dyDescent="0.25">
      <c r="A102" s="12" t="str">
        <f t="shared" si="1"/>
        <v>устрпроем</v>
      </c>
      <c r="B102" s="13">
        <f>архикад_устрпроём!B101</f>
        <v>0</v>
      </c>
      <c r="C102" s="13"/>
      <c r="D102" s="13" t="str">
        <f>архикад_устрпроём!I101</f>
        <v/>
      </c>
      <c r="E102" s="13">
        <f>архикад_устрпроём!E101</f>
        <v>0</v>
      </c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4"/>
    </row>
    <row r="103" spans="1:18" ht="33" x14ac:dyDescent="0.25">
      <c r="A103" s="12" t="str">
        <f t="shared" si="1"/>
        <v>устрпроем</v>
      </c>
      <c r="B103" s="13">
        <f>архикад_устрпроём!B102</f>
        <v>0</v>
      </c>
      <c r="C103" s="13"/>
      <c r="D103" s="13" t="str">
        <f>архикад_устрпроём!I102</f>
        <v/>
      </c>
      <c r="E103" s="13">
        <f>архикад_устрпроём!E102</f>
        <v>0</v>
      </c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4"/>
    </row>
    <row r="104" spans="1:18" ht="33" x14ac:dyDescent="0.25">
      <c r="A104" s="12" t="str">
        <f t="shared" si="1"/>
        <v>устрпроем</v>
      </c>
      <c r="B104" s="13">
        <f>архикад_устрпроём!B103</f>
        <v>0</v>
      </c>
      <c r="C104" s="13"/>
      <c r="D104" s="13" t="str">
        <f>архикад_устрпроём!I103</f>
        <v/>
      </c>
      <c r="E104" s="13">
        <f>архикад_устрпроём!E103</f>
        <v>0</v>
      </c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4"/>
    </row>
    <row r="105" spans="1:18" ht="33" x14ac:dyDescent="0.25">
      <c r="A105" s="12" t="str">
        <f t="shared" si="1"/>
        <v>устрпроем</v>
      </c>
      <c r="B105" s="13">
        <f>архикад_устрпроём!B104</f>
        <v>0</v>
      </c>
      <c r="C105" s="13"/>
      <c r="D105" s="13" t="str">
        <f>архикад_устрпроём!I104</f>
        <v/>
      </c>
      <c r="E105" s="13">
        <f>архикад_устрпроём!E104</f>
        <v>0</v>
      </c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4"/>
    </row>
    <row r="106" spans="1:18" ht="33" x14ac:dyDescent="0.25">
      <c r="A106" s="12" t="str">
        <f t="shared" si="1"/>
        <v>устрпроем</v>
      </c>
      <c r="B106" s="13">
        <f>архикад_устрпроём!B105</f>
        <v>0</v>
      </c>
      <c r="C106" s="13"/>
      <c r="D106" s="13" t="str">
        <f>архикад_устрпроём!I105</f>
        <v/>
      </c>
      <c r="E106" s="13">
        <f>архикад_устрпроём!E105</f>
        <v>0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4"/>
    </row>
    <row r="107" spans="1:18" ht="33" x14ac:dyDescent="0.25">
      <c r="A107" s="12" t="str">
        <f t="shared" si="1"/>
        <v>устрпроем</v>
      </c>
      <c r="B107" s="13">
        <f>архикад_устрпроём!B106</f>
        <v>0</v>
      </c>
      <c r="C107" s="13"/>
      <c r="D107" s="13" t="str">
        <f>архикад_устрпроём!I106</f>
        <v/>
      </c>
      <c r="E107" s="13">
        <f>архикад_устрпроём!E106</f>
        <v>0</v>
      </c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4"/>
    </row>
    <row r="108" spans="1:18" ht="33" x14ac:dyDescent="0.25">
      <c r="A108" s="12" t="str">
        <f t="shared" si="1"/>
        <v>устрпроем</v>
      </c>
      <c r="B108" s="13">
        <f>архикад_устрпроём!B107</f>
        <v>0</v>
      </c>
      <c r="C108" s="13"/>
      <c r="D108" s="13" t="str">
        <f>архикад_устрпроём!I107</f>
        <v/>
      </c>
      <c r="E108" s="13">
        <f>архикад_устрпроём!E107</f>
        <v>0</v>
      </c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4"/>
    </row>
    <row r="109" spans="1:18" ht="33" x14ac:dyDescent="0.25">
      <c r="A109" s="12" t="str">
        <f t="shared" si="1"/>
        <v>устрпроем</v>
      </c>
      <c r="B109" s="13">
        <f>архикад_устрпроём!B108</f>
        <v>0</v>
      </c>
      <c r="C109" s="13"/>
      <c r="D109" s="13" t="str">
        <f>архикад_устрпроём!I108</f>
        <v/>
      </c>
      <c r="E109" s="13">
        <f>архикад_устрпроём!E108</f>
        <v>0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4"/>
    </row>
    <row r="110" spans="1:18" ht="33" x14ac:dyDescent="0.25">
      <c r="A110" s="12" t="str">
        <f t="shared" si="1"/>
        <v>устрпроем</v>
      </c>
      <c r="B110" s="13">
        <f>архикад_устрпроём!B109</f>
        <v>0</v>
      </c>
      <c r="C110" s="13"/>
      <c r="D110" s="13" t="str">
        <f>архикад_устрпроём!I109</f>
        <v/>
      </c>
      <c r="E110" s="13">
        <f>архикад_устрпроём!E109</f>
        <v>0</v>
      </c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4"/>
    </row>
    <row r="111" spans="1:18" ht="33" x14ac:dyDescent="0.25">
      <c r="A111" s="12" t="str">
        <f t="shared" si="1"/>
        <v>устрпроем</v>
      </c>
      <c r="B111" s="13">
        <f>архикад_устрпроём!B110</f>
        <v>0</v>
      </c>
      <c r="C111" s="13"/>
      <c r="D111" s="13" t="str">
        <f>архикад_устрпроём!I110</f>
        <v/>
      </c>
      <c r="E111" s="13">
        <f>архикад_устрпроём!E110</f>
        <v>0</v>
      </c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4"/>
    </row>
    <row r="112" spans="1:18" ht="33" x14ac:dyDescent="0.25">
      <c r="A112" s="12" t="str">
        <f t="shared" si="1"/>
        <v>устрпроем</v>
      </c>
      <c r="B112" s="13">
        <f>архикад_устрпроём!B111</f>
        <v>0</v>
      </c>
      <c r="C112" s="13"/>
      <c r="D112" s="13" t="str">
        <f>архикад_устрпроём!I111</f>
        <v/>
      </c>
      <c r="E112" s="13">
        <f>архикад_устрпроём!E111</f>
        <v>0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4"/>
    </row>
    <row r="113" spans="1:18" ht="33" x14ac:dyDescent="0.25">
      <c r="A113" s="12" t="str">
        <f t="shared" si="1"/>
        <v>устрпроем</v>
      </c>
      <c r="B113" s="13">
        <f>архикад_устрпроём!B112</f>
        <v>0</v>
      </c>
      <c r="C113" s="13"/>
      <c r="D113" s="13" t="str">
        <f>архикад_устрпроём!I112</f>
        <v/>
      </c>
      <c r="E113" s="13">
        <f>архикад_устрпроём!E112</f>
        <v>0</v>
      </c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4"/>
    </row>
    <row r="114" spans="1:18" ht="33" x14ac:dyDescent="0.25">
      <c r="A114" s="12" t="str">
        <f t="shared" si="1"/>
        <v>устрпроем</v>
      </c>
      <c r="B114" s="13">
        <f>архикад_устрпроём!B113</f>
        <v>0</v>
      </c>
      <c r="C114" s="13"/>
      <c r="D114" s="13" t="str">
        <f>архикад_устрпроём!I113</f>
        <v/>
      </c>
      <c r="E114" s="13">
        <f>архикад_устрпроём!E113</f>
        <v>0</v>
      </c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4"/>
    </row>
    <row r="115" spans="1:18" ht="33" x14ac:dyDescent="0.25">
      <c r="A115" s="12" t="str">
        <f t="shared" si="1"/>
        <v>устрпроем</v>
      </c>
      <c r="B115" s="13">
        <f>архикад_устрпроём!B114</f>
        <v>0</v>
      </c>
      <c r="C115" s="13"/>
      <c r="D115" s="13" t="str">
        <f>архикад_устрпроём!I114</f>
        <v/>
      </c>
      <c r="E115" s="13">
        <f>архикад_устрпроём!E114</f>
        <v>0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4"/>
    </row>
    <row r="116" spans="1:18" ht="33" x14ac:dyDescent="0.25">
      <c r="A116" s="12" t="str">
        <f t="shared" si="1"/>
        <v>устрпроем</v>
      </c>
      <c r="B116" s="13">
        <f>архикад_устрпроём!B115</f>
        <v>0</v>
      </c>
      <c r="C116" s="13"/>
      <c r="D116" s="13" t="str">
        <f>архикад_устрпроём!I115</f>
        <v/>
      </c>
      <c r="E116" s="13">
        <f>архикад_устрпроём!E115</f>
        <v>0</v>
      </c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4"/>
    </row>
    <row r="117" spans="1:18" ht="33" x14ac:dyDescent="0.25">
      <c r="A117" s="12" t="str">
        <f t="shared" si="1"/>
        <v>устрпроем</v>
      </c>
      <c r="B117" s="13">
        <f>архикад_устрпроём!B116</f>
        <v>0</v>
      </c>
      <c r="C117" s="13"/>
      <c r="D117" s="13" t="str">
        <f>архикад_устрпроём!I116</f>
        <v/>
      </c>
      <c r="E117" s="13">
        <f>архикад_устрпроём!E116</f>
        <v>0</v>
      </c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4"/>
    </row>
    <row r="118" spans="1:18" ht="33" x14ac:dyDescent="0.25">
      <c r="A118" s="12" t="str">
        <f t="shared" si="1"/>
        <v>устрпроем</v>
      </c>
      <c r="B118" s="13">
        <f>архикад_устрпроём!B117</f>
        <v>0</v>
      </c>
      <c r="C118" s="13"/>
      <c r="D118" s="13" t="str">
        <f>архикад_устрпроём!I117</f>
        <v/>
      </c>
      <c r="E118" s="13">
        <f>архикад_устрпроём!E117</f>
        <v>0</v>
      </c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4"/>
    </row>
    <row r="119" spans="1:18" ht="33" x14ac:dyDescent="0.25">
      <c r="A119" s="12" t="str">
        <f t="shared" si="1"/>
        <v>устрпроем</v>
      </c>
      <c r="B119" s="13">
        <f>архикад_устрпроём!B118</f>
        <v>0</v>
      </c>
      <c r="C119" s="13"/>
      <c r="D119" s="13" t="str">
        <f>архикад_устрпроём!I118</f>
        <v/>
      </c>
      <c r="E119" s="13">
        <f>архикад_устрпроём!E118</f>
        <v>0</v>
      </c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4"/>
    </row>
    <row r="120" spans="1:18" ht="33" x14ac:dyDescent="0.25">
      <c r="A120" s="12" t="str">
        <f t="shared" si="1"/>
        <v>устрпроем</v>
      </c>
      <c r="B120" s="13">
        <f>архикад_устрпроём!B119</f>
        <v>0</v>
      </c>
      <c r="C120" s="13"/>
      <c r="D120" s="13" t="str">
        <f>архикад_устрпроём!I119</f>
        <v/>
      </c>
      <c r="E120" s="13">
        <f>архикад_устрпроём!E119</f>
        <v>0</v>
      </c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4"/>
    </row>
    <row r="121" spans="1:18" ht="33" x14ac:dyDescent="0.25">
      <c r="A121" s="12" t="str">
        <f t="shared" si="1"/>
        <v>устрпроем</v>
      </c>
      <c r="B121" s="13">
        <f>архикад_устрпроём!B120</f>
        <v>0</v>
      </c>
      <c r="C121" s="13"/>
      <c r="D121" s="13" t="str">
        <f>архикад_устрпроём!I120</f>
        <v/>
      </c>
      <c r="E121" s="13">
        <f>архикад_устрпроём!E120</f>
        <v>0</v>
      </c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4"/>
    </row>
    <row r="122" spans="1:18" ht="33" x14ac:dyDescent="0.25">
      <c r="A122" s="12" t="str">
        <f t="shared" si="1"/>
        <v>устрпроем</v>
      </c>
      <c r="B122" s="13">
        <f>архикад_устрпроём!B121</f>
        <v>0</v>
      </c>
      <c r="C122" s="13"/>
      <c r="D122" s="13" t="str">
        <f>архикад_устрпроём!I121</f>
        <v/>
      </c>
      <c r="E122" s="13">
        <f>архикад_устрпроём!E121</f>
        <v>0</v>
      </c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4"/>
    </row>
    <row r="123" spans="1:18" ht="33" x14ac:dyDescent="0.25">
      <c r="A123" s="12" t="str">
        <f t="shared" si="1"/>
        <v>устрпроем</v>
      </c>
      <c r="B123" s="13">
        <f>архикад_устрпроём!B122</f>
        <v>0</v>
      </c>
      <c r="C123" s="13"/>
      <c r="D123" s="13" t="str">
        <f>архикад_устрпроём!I122</f>
        <v/>
      </c>
      <c r="E123" s="13">
        <f>архикад_устрпроём!E122</f>
        <v>0</v>
      </c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4"/>
    </row>
    <row r="124" spans="1:18" ht="33" x14ac:dyDescent="0.25">
      <c r="A124" s="12" t="str">
        <f t="shared" si="1"/>
        <v>устрпроем</v>
      </c>
      <c r="B124" s="13">
        <f>архикад_устрпроём!B123</f>
        <v>0</v>
      </c>
      <c r="C124" s="13"/>
      <c r="D124" s="13" t="str">
        <f>архикад_устрпроём!I123</f>
        <v/>
      </c>
      <c r="E124" s="13">
        <f>архикад_устрпроём!E123</f>
        <v>0</v>
      </c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4"/>
    </row>
    <row r="125" spans="1:18" ht="33" x14ac:dyDescent="0.25">
      <c r="A125" s="12" t="str">
        <f t="shared" si="1"/>
        <v>устрпроем</v>
      </c>
      <c r="B125" s="13">
        <f>архикад_устрпроём!B124</f>
        <v>0</v>
      </c>
      <c r="C125" s="13"/>
      <c r="D125" s="13" t="str">
        <f>архикад_устрпроём!I124</f>
        <v/>
      </c>
      <c r="E125" s="13">
        <f>архикад_устрпроём!E124</f>
        <v>0</v>
      </c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4"/>
    </row>
    <row r="126" spans="1:18" ht="33" x14ac:dyDescent="0.25">
      <c r="A126" s="12" t="str">
        <f t="shared" si="1"/>
        <v>устрпроем</v>
      </c>
      <c r="B126" s="13">
        <f>архикад_устрпроём!B125</f>
        <v>0</v>
      </c>
      <c r="C126" s="13"/>
      <c r="D126" s="13" t="str">
        <f>архикад_устрпроём!I125</f>
        <v/>
      </c>
      <c r="E126" s="13">
        <f>архикад_устрпроём!E125</f>
        <v>0</v>
      </c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4"/>
    </row>
    <row r="127" spans="1:18" ht="33" x14ac:dyDescent="0.25">
      <c r="A127" s="12" t="str">
        <f t="shared" si="1"/>
        <v>устрпроем</v>
      </c>
      <c r="B127" s="13">
        <f>архикад_устрпроём!B126</f>
        <v>0</v>
      </c>
      <c r="C127" s="13"/>
      <c r="D127" s="13" t="str">
        <f>архикад_устрпроём!I126</f>
        <v/>
      </c>
      <c r="E127" s="13">
        <f>архикад_устрпроём!E126</f>
        <v>0</v>
      </c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4"/>
    </row>
    <row r="128" spans="1:18" ht="33" x14ac:dyDescent="0.25">
      <c r="A128" s="12" t="str">
        <f t="shared" si="1"/>
        <v>устрпроем</v>
      </c>
      <c r="B128" s="13">
        <f>архикад_устрпроём!B127</f>
        <v>0</v>
      </c>
      <c r="C128" s="13"/>
      <c r="D128" s="13" t="str">
        <f>архикад_устрпроём!I127</f>
        <v/>
      </c>
      <c r="E128" s="13">
        <f>архикад_устрпроём!E127</f>
        <v>0</v>
      </c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4"/>
    </row>
    <row r="129" spans="1:18" ht="33" x14ac:dyDescent="0.25">
      <c r="A129" s="12" t="str">
        <f t="shared" si="1"/>
        <v>устрпроем</v>
      </c>
      <c r="B129" s="13">
        <f>архикад_устрпроём!B128</f>
        <v>0</v>
      </c>
      <c r="C129" s="13"/>
      <c r="D129" s="13" t="str">
        <f>архикад_устрпроём!I128</f>
        <v/>
      </c>
      <c r="E129" s="13">
        <f>архикад_устрпроём!E128</f>
        <v>0</v>
      </c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4"/>
    </row>
    <row r="130" spans="1:18" ht="33" x14ac:dyDescent="0.25">
      <c r="A130" s="12" t="str">
        <f t="shared" si="1"/>
        <v>устрпроем</v>
      </c>
      <c r="B130" s="13">
        <f>архикад_устрпроём!B129</f>
        <v>0</v>
      </c>
      <c r="C130" s="13"/>
      <c r="D130" s="13" t="str">
        <f>архикад_устрпроём!I129</f>
        <v/>
      </c>
      <c r="E130" s="13">
        <f>архикад_устрпроём!E129</f>
        <v>0</v>
      </c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4"/>
    </row>
    <row r="131" spans="1:18" ht="33" x14ac:dyDescent="0.25">
      <c r="A131" s="12" t="str">
        <f t="shared" si="1"/>
        <v>устрпроем</v>
      </c>
      <c r="B131" s="13">
        <f>архикад_устрпроём!B130</f>
        <v>0</v>
      </c>
      <c r="C131" s="13"/>
      <c r="D131" s="13" t="str">
        <f>архикад_устрпроём!I130</f>
        <v/>
      </c>
      <c r="E131" s="13">
        <f>архикад_устрпроём!E130</f>
        <v>0</v>
      </c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4"/>
    </row>
    <row r="132" spans="1:18" ht="33" x14ac:dyDescent="0.25">
      <c r="A132" s="12" t="str">
        <f t="shared" si="1"/>
        <v>устрпроем</v>
      </c>
      <c r="B132" s="13">
        <f>архикад_устрпроём!B131</f>
        <v>0</v>
      </c>
      <c r="C132" s="13"/>
      <c r="D132" s="13" t="str">
        <f>архикад_устрпроём!I131</f>
        <v/>
      </c>
      <c r="E132" s="13">
        <f>архикад_устрпроём!E131</f>
        <v>0</v>
      </c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4"/>
    </row>
    <row r="133" spans="1:18" ht="33" x14ac:dyDescent="0.25">
      <c r="A133" s="12" t="str">
        <f t="shared" ref="A133:A196" si="2">A132</f>
        <v>устрпроем</v>
      </c>
      <c r="B133" s="13">
        <f>архикад_устрпроём!B132</f>
        <v>0</v>
      </c>
      <c r="C133" s="13"/>
      <c r="D133" s="13" t="str">
        <f>архикад_устрпроём!I132</f>
        <v/>
      </c>
      <c r="E133" s="13">
        <f>архикад_устрпроём!E132</f>
        <v>0</v>
      </c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4"/>
    </row>
    <row r="134" spans="1:18" ht="33" x14ac:dyDescent="0.25">
      <c r="A134" s="12" t="str">
        <f t="shared" si="2"/>
        <v>устрпроем</v>
      </c>
      <c r="B134" s="13">
        <f>архикад_устрпроём!B133</f>
        <v>0</v>
      </c>
      <c r="C134" s="13"/>
      <c r="D134" s="13" t="str">
        <f>архикад_устрпроём!I133</f>
        <v/>
      </c>
      <c r="E134" s="13">
        <f>архикад_устрпроём!E133</f>
        <v>0</v>
      </c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4"/>
    </row>
    <row r="135" spans="1:18" ht="33" x14ac:dyDescent="0.25">
      <c r="A135" s="12" t="str">
        <f t="shared" si="2"/>
        <v>устрпроем</v>
      </c>
      <c r="B135" s="13">
        <f>архикад_устрпроём!B134</f>
        <v>0</v>
      </c>
      <c r="C135" s="13"/>
      <c r="D135" s="13" t="str">
        <f>архикад_устрпроём!I134</f>
        <v/>
      </c>
      <c r="E135" s="13">
        <f>архикад_устрпроём!E134</f>
        <v>0</v>
      </c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4"/>
    </row>
    <row r="136" spans="1:18" ht="33" x14ac:dyDescent="0.25">
      <c r="A136" s="12" t="str">
        <f t="shared" si="2"/>
        <v>устрпроем</v>
      </c>
      <c r="B136" s="13">
        <f>архикад_устрпроём!B135</f>
        <v>0</v>
      </c>
      <c r="C136" s="13"/>
      <c r="D136" s="13" t="str">
        <f>архикад_устрпроём!I135</f>
        <v/>
      </c>
      <c r="E136" s="13">
        <f>архикад_устрпроём!E135</f>
        <v>0</v>
      </c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4"/>
    </row>
    <row r="137" spans="1:18" ht="33" x14ac:dyDescent="0.25">
      <c r="A137" s="12" t="str">
        <f t="shared" si="2"/>
        <v>устрпроем</v>
      </c>
      <c r="B137" s="13">
        <f>архикад_устрпроём!B136</f>
        <v>0</v>
      </c>
      <c r="C137" s="13"/>
      <c r="D137" s="13" t="str">
        <f>архикад_устрпроём!I136</f>
        <v/>
      </c>
      <c r="E137" s="13">
        <f>архикад_устрпроём!E136</f>
        <v>0</v>
      </c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4"/>
    </row>
    <row r="138" spans="1:18" ht="33" x14ac:dyDescent="0.25">
      <c r="A138" s="12" t="str">
        <f t="shared" si="2"/>
        <v>устрпроем</v>
      </c>
      <c r="B138" s="13">
        <f>архикад_устрпроём!B137</f>
        <v>0</v>
      </c>
      <c r="C138" s="13"/>
      <c r="D138" s="13" t="str">
        <f>архикад_устрпроём!I137</f>
        <v/>
      </c>
      <c r="E138" s="13">
        <f>архикад_устрпроём!E137</f>
        <v>0</v>
      </c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4"/>
    </row>
    <row r="139" spans="1:18" ht="33" x14ac:dyDescent="0.25">
      <c r="A139" s="12" t="str">
        <f t="shared" si="2"/>
        <v>устрпроем</v>
      </c>
      <c r="B139" s="13">
        <f>архикад_устрпроём!B138</f>
        <v>0</v>
      </c>
      <c r="C139" s="13"/>
      <c r="D139" s="13" t="str">
        <f>архикад_устрпроём!I138</f>
        <v/>
      </c>
      <c r="E139" s="13">
        <f>архикад_устрпроём!E138</f>
        <v>0</v>
      </c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4"/>
    </row>
    <row r="140" spans="1:18" ht="33" x14ac:dyDescent="0.25">
      <c r="A140" s="12" t="str">
        <f t="shared" si="2"/>
        <v>устрпроем</v>
      </c>
      <c r="B140" s="13">
        <f>архикад_устрпроём!B139</f>
        <v>0</v>
      </c>
      <c r="C140" s="13"/>
      <c r="D140" s="13" t="str">
        <f>архикад_устрпроём!I139</f>
        <v/>
      </c>
      <c r="E140" s="13">
        <f>архикад_устрпроём!E139</f>
        <v>0</v>
      </c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4"/>
    </row>
    <row r="141" spans="1:18" ht="33" x14ac:dyDescent="0.25">
      <c r="A141" s="12" t="str">
        <f t="shared" si="2"/>
        <v>устрпроем</v>
      </c>
      <c r="B141" s="13">
        <f>архикад_устрпроём!B140</f>
        <v>0</v>
      </c>
      <c r="C141" s="13"/>
      <c r="D141" s="13" t="str">
        <f>архикад_устрпроём!I140</f>
        <v/>
      </c>
      <c r="E141" s="13">
        <f>архикад_устрпроём!E140</f>
        <v>0</v>
      </c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4"/>
    </row>
    <row r="142" spans="1:18" ht="33" x14ac:dyDescent="0.25">
      <c r="A142" s="12" t="str">
        <f t="shared" si="2"/>
        <v>устрпроем</v>
      </c>
      <c r="B142" s="13">
        <f>архикад_устрпроём!B141</f>
        <v>0</v>
      </c>
      <c r="C142" s="13"/>
      <c r="D142" s="13" t="str">
        <f>архикад_устрпроём!I141</f>
        <v/>
      </c>
      <c r="E142" s="13">
        <f>архикад_устрпроём!E141</f>
        <v>0</v>
      </c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4"/>
    </row>
    <row r="143" spans="1:18" ht="33" x14ac:dyDescent="0.25">
      <c r="A143" s="12" t="str">
        <f t="shared" si="2"/>
        <v>устрпроем</v>
      </c>
      <c r="B143" s="13">
        <f>архикад_устрпроём!B142</f>
        <v>0</v>
      </c>
      <c r="C143" s="13"/>
      <c r="D143" s="13" t="str">
        <f>архикад_устрпроём!I142</f>
        <v/>
      </c>
      <c r="E143" s="13">
        <f>архикад_устрпроём!E142</f>
        <v>0</v>
      </c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4"/>
    </row>
    <row r="144" spans="1:18" ht="33" x14ac:dyDescent="0.25">
      <c r="A144" s="12" t="str">
        <f t="shared" si="2"/>
        <v>устрпроем</v>
      </c>
      <c r="B144" s="13">
        <f>архикад_устрпроём!B143</f>
        <v>0</v>
      </c>
      <c r="C144" s="13"/>
      <c r="D144" s="13" t="str">
        <f>архикад_устрпроём!I143</f>
        <v/>
      </c>
      <c r="E144" s="13">
        <f>архикад_устрпроём!E143</f>
        <v>0</v>
      </c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4"/>
    </row>
    <row r="145" spans="1:18" ht="33" x14ac:dyDescent="0.25">
      <c r="A145" s="12" t="str">
        <f t="shared" si="2"/>
        <v>устрпроем</v>
      </c>
      <c r="B145" s="13">
        <f>архикад_устрпроём!B144</f>
        <v>0</v>
      </c>
      <c r="C145" s="13"/>
      <c r="D145" s="13" t="str">
        <f>архикад_устрпроём!I144</f>
        <v/>
      </c>
      <c r="E145" s="13">
        <f>архикад_устрпроём!E144</f>
        <v>0</v>
      </c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4"/>
    </row>
    <row r="146" spans="1:18" ht="33" x14ac:dyDescent="0.25">
      <c r="A146" s="12" t="str">
        <f t="shared" si="2"/>
        <v>устрпроем</v>
      </c>
      <c r="B146" s="13">
        <f>архикад_устрпроём!B145</f>
        <v>0</v>
      </c>
      <c r="C146" s="13"/>
      <c r="D146" s="13" t="str">
        <f>архикад_устрпроём!I145</f>
        <v/>
      </c>
      <c r="E146" s="13">
        <f>архикад_устрпроём!E145</f>
        <v>0</v>
      </c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4"/>
    </row>
    <row r="147" spans="1:18" ht="33" x14ac:dyDescent="0.25">
      <c r="A147" s="12" t="str">
        <f t="shared" si="2"/>
        <v>устрпроем</v>
      </c>
      <c r="B147" s="13">
        <f>архикад_устрпроём!B146</f>
        <v>0</v>
      </c>
      <c r="C147" s="13"/>
      <c r="D147" s="13" t="str">
        <f>архикад_устрпроём!I146</f>
        <v/>
      </c>
      <c r="E147" s="13">
        <f>архикад_устрпроём!E146</f>
        <v>0</v>
      </c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4"/>
    </row>
    <row r="148" spans="1:18" ht="33" x14ac:dyDescent="0.25">
      <c r="A148" s="12" t="str">
        <f t="shared" si="2"/>
        <v>устрпроем</v>
      </c>
      <c r="B148" s="13">
        <f>архикад_устрпроём!B147</f>
        <v>0</v>
      </c>
      <c r="C148" s="13"/>
      <c r="D148" s="13" t="str">
        <f>архикад_устрпроём!I147</f>
        <v/>
      </c>
      <c r="E148" s="13">
        <f>архикад_устрпроём!E147</f>
        <v>0</v>
      </c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4"/>
    </row>
    <row r="149" spans="1:18" ht="33" x14ac:dyDescent="0.25">
      <c r="A149" s="12" t="str">
        <f t="shared" si="2"/>
        <v>устрпроем</v>
      </c>
      <c r="B149" s="13">
        <f>архикад_устрпроём!B148</f>
        <v>0</v>
      </c>
      <c r="C149" s="13"/>
      <c r="D149" s="13" t="str">
        <f>архикад_устрпроём!I148</f>
        <v/>
      </c>
      <c r="E149" s="13">
        <f>архикад_устрпроём!E148</f>
        <v>0</v>
      </c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4"/>
    </row>
    <row r="150" spans="1:18" ht="33" x14ac:dyDescent="0.25">
      <c r="A150" s="12" t="str">
        <f t="shared" si="2"/>
        <v>устрпроем</v>
      </c>
      <c r="B150" s="13">
        <f>архикад_устрпроём!B149</f>
        <v>0</v>
      </c>
      <c r="C150" s="13"/>
      <c r="D150" s="13" t="str">
        <f>архикад_устрпроём!I149</f>
        <v/>
      </c>
      <c r="E150" s="13">
        <f>архикад_устрпроём!E149</f>
        <v>0</v>
      </c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4"/>
    </row>
    <row r="151" spans="1:18" ht="33" x14ac:dyDescent="0.25">
      <c r="A151" s="12" t="str">
        <f t="shared" si="2"/>
        <v>устрпроем</v>
      </c>
      <c r="B151" s="13">
        <f>архикад_устрпроём!B150</f>
        <v>0</v>
      </c>
      <c r="C151" s="13"/>
      <c r="D151" s="13" t="str">
        <f>архикад_устрпроём!I150</f>
        <v/>
      </c>
      <c r="E151" s="13">
        <f>архикад_устрпроём!E150</f>
        <v>0</v>
      </c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4"/>
    </row>
    <row r="152" spans="1:18" ht="33" x14ac:dyDescent="0.25">
      <c r="A152" s="12" t="str">
        <f t="shared" si="2"/>
        <v>устрпроем</v>
      </c>
      <c r="B152" s="13">
        <f>архикад_устрпроём!B151</f>
        <v>0</v>
      </c>
      <c r="C152" s="13"/>
      <c r="D152" s="13" t="str">
        <f>архикад_устрпроём!I151</f>
        <v/>
      </c>
      <c r="E152" s="13">
        <f>архикад_устрпроём!E151</f>
        <v>0</v>
      </c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4"/>
    </row>
    <row r="153" spans="1:18" ht="33" x14ac:dyDescent="0.25">
      <c r="A153" s="12" t="str">
        <f t="shared" si="2"/>
        <v>устрпроем</v>
      </c>
      <c r="B153" s="13">
        <f>архикад_устрпроём!B152</f>
        <v>0</v>
      </c>
      <c r="C153" s="13"/>
      <c r="D153" s="13" t="str">
        <f>архикад_устрпроём!I152</f>
        <v/>
      </c>
      <c r="E153" s="13">
        <f>архикад_устрпроём!E152</f>
        <v>0</v>
      </c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4"/>
    </row>
    <row r="154" spans="1:18" ht="33" x14ac:dyDescent="0.25">
      <c r="A154" s="12" t="str">
        <f t="shared" si="2"/>
        <v>устрпроем</v>
      </c>
      <c r="B154" s="13">
        <f>архикад_устрпроём!B153</f>
        <v>0</v>
      </c>
      <c r="C154" s="13"/>
      <c r="D154" s="13" t="str">
        <f>архикад_устрпроём!I153</f>
        <v/>
      </c>
      <c r="E154" s="13">
        <f>архикад_устрпроём!E153</f>
        <v>0</v>
      </c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4"/>
    </row>
    <row r="155" spans="1:18" ht="33" x14ac:dyDescent="0.25">
      <c r="A155" s="12" t="str">
        <f t="shared" si="2"/>
        <v>устрпроем</v>
      </c>
      <c r="B155" s="13">
        <f>архикад_устрпроём!B154</f>
        <v>0</v>
      </c>
      <c r="C155" s="13"/>
      <c r="D155" s="13" t="str">
        <f>архикад_устрпроём!I154</f>
        <v/>
      </c>
      <c r="E155" s="13">
        <f>архикад_устрпроём!E154</f>
        <v>0</v>
      </c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4"/>
    </row>
    <row r="156" spans="1:18" ht="33" x14ac:dyDescent="0.25">
      <c r="A156" s="12" t="str">
        <f t="shared" si="2"/>
        <v>устрпроем</v>
      </c>
      <c r="B156" s="13">
        <f>архикад_устрпроём!B155</f>
        <v>0</v>
      </c>
      <c r="C156" s="13"/>
      <c r="D156" s="13" t="str">
        <f>архикад_устрпроём!I155</f>
        <v/>
      </c>
      <c r="E156" s="13">
        <f>архикад_устрпроём!E155</f>
        <v>0</v>
      </c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4"/>
    </row>
    <row r="157" spans="1:18" ht="33" x14ac:dyDescent="0.25">
      <c r="A157" s="12" t="str">
        <f t="shared" si="2"/>
        <v>устрпроем</v>
      </c>
      <c r="B157" s="13">
        <f>архикад_устрпроём!B156</f>
        <v>0</v>
      </c>
      <c r="C157" s="13"/>
      <c r="D157" s="13" t="str">
        <f>архикад_устрпроём!I156</f>
        <v/>
      </c>
      <c r="E157" s="13">
        <f>архикад_устрпроём!E156</f>
        <v>0</v>
      </c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4"/>
    </row>
    <row r="158" spans="1:18" ht="33" x14ac:dyDescent="0.25">
      <c r="A158" s="12" t="str">
        <f t="shared" si="2"/>
        <v>устрпроем</v>
      </c>
      <c r="B158" s="13">
        <f>архикад_устрпроём!B157</f>
        <v>0</v>
      </c>
      <c r="C158" s="13"/>
      <c r="D158" s="13" t="str">
        <f>архикад_устрпроём!I157</f>
        <v/>
      </c>
      <c r="E158" s="13">
        <f>архикад_устрпроём!E157</f>
        <v>0</v>
      </c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4"/>
    </row>
    <row r="159" spans="1:18" ht="33" x14ac:dyDescent="0.25">
      <c r="A159" s="12" t="str">
        <f t="shared" si="2"/>
        <v>устрпроем</v>
      </c>
      <c r="B159" s="13">
        <f>архикад_устрпроём!B158</f>
        <v>0</v>
      </c>
      <c r="C159" s="13"/>
      <c r="D159" s="13" t="str">
        <f>архикад_устрпроём!I158</f>
        <v/>
      </c>
      <c r="E159" s="13">
        <f>архикад_устрпроём!E158</f>
        <v>0</v>
      </c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4"/>
    </row>
    <row r="160" spans="1:18" ht="33" x14ac:dyDescent="0.25">
      <c r="A160" s="12" t="str">
        <f t="shared" si="2"/>
        <v>устрпроем</v>
      </c>
      <c r="B160" s="13">
        <f>архикад_устрпроём!B159</f>
        <v>0</v>
      </c>
      <c r="C160" s="13"/>
      <c r="D160" s="13" t="str">
        <f>архикад_устрпроём!I159</f>
        <v/>
      </c>
      <c r="E160" s="13">
        <f>архикад_устрпроём!E159</f>
        <v>0</v>
      </c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4"/>
    </row>
    <row r="161" spans="1:18" ht="33" x14ac:dyDescent="0.25">
      <c r="A161" s="12" t="str">
        <f t="shared" si="2"/>
        <v>устрпроем</v>
      </c>
      <c r="B161" s="13">
        <f>архикад_устрпроём!B160</f>
        <v>0</v>
      </c>
      <c r="C161" s="13"/>
      <c r="D161" s="13" t="str">
        <f>архикад_устрпроём!I160</f>
        <v/>
      </c>
      <c r="E161" s="13">
        <f>архикад_устрпроём!E160</f>
        <v>0</v>
      </c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4"/>
    </row>
    <row r="162" spans="1:18" ht="33" x14ac:dyDescent="0.25">
      <c r="A162" s="12" t="str">
        <f t="shared" si="2"/>
        <v>устрпроем</v>
      </c>
      <c r="B162" s="13">
        <f>архикад_устрпроём!B161</f>
        <v>0</v>
      </c>
      <c r="C162" s="13"/>
      <c r="D162" s="13" t="str">
        <f>архикад_устрпроём!I161</f>
        <v/>
      </c>
      <c r="E162" s="13">
        <f>архикад_устрпроём!E161</f>
        <v>0</v>
      </c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4"/>
    </row>
    <row r="163" spans="1:18" ht="33" x14ac:dyDescent="0.25">
      <c r="A163" s="12" t="str">
        <f t="shared" si="2"/>
        <v>устрпроем</v>
      </c>
      <c r="B163" s="13">
        <f>архикад_устрпроём!B162</f>
        <v>0</v>
      </c>
      <c r="C163" s="13"/>
      <c r="D163" s="13" t="str">
        <f>архикад_устрпроём!I162</f>
        <v/>
      </c>
      <c r="E163" s="13">
        <f>архикад_устрпроём!E162</f>
        <v>0</v>
      </c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4"/>
    </row>
    <row r="164" spans="1:18" ht="33" x14ac:dyDescent="0.25">
      <c r="A164" s="12" t="str">
        <f t="shared" si="2"/>
        <v>устрпроем</v>
      </c>
      <c r="B164" s="13">
        <f>архикад_устрпроём!B163</f>
        <v>0</v>
      </c>
      <c r="C164" s="13"/>
      <c r="D164" s="13" t="str">
        <f>архикад_устрпроём!I163</f>
        <v/>
      </c>
      <c r="E164" s="13">
        <f>архикад_устрпроём!E163</f>
        <v>0</v>
      </c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4"/>
    </row>
    <row r="165" spans="1:18" ht="33" x14ac:dyDescent="0.25">
      <c r="A165" s="12" t="str">
        <f t="shared" si="2"/>
        <v>устрпроем</v>
      </c>
      <c r="B165" s="13">
        <f>архикад_устрпроём!B164</f>
        <v>0</v>
      </c>
      <c r="C165" s="13"/>
      <c r="D165" s="13" t="str">
        <f>архикад_устрпроём!I164</f>
        <v/>
      </c>
      <c r="E165" s="13">
        <f>архикад_устрпроём!E164</f>
        <v>0</v>
      </c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4"/>
    </row>
    <row r="166" spans="1:18" ht="33" x14ac:dyDescent="0.25">
      <c r="A166" s="12" t="str">
        <f t="shared" si="2"/>
        <v>устрпроем</v>
      </c>
      <c r="B166" s="13">
        <f>архикад_устрпроём!B165</f>
        <v>0</v>
      </c>
      <c r="C166" s="13"/>
      <c r="D166" s="13" t="str">
        <f>архикад_устрпроём!I165</f>
        <v/>
      </c>
      <c r="E166" s="13">
        <f>архикад_устрпроём!E165</f>
        <v>0</v>
      </c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4"/>
    </row>
    <row r="167" spans="1:18" ht="33" x14ac:dyDescent="0.25">
      <c r="A167" s="12" t="str">
        <f t="shared" si="2"/>
        <v>устрпроем</v>
      </c>
      <c r="B167" s="13">
        <f>архикад_устрпроём!B166</f>
        <v>0</v>
      </c>
      <c r="C167" s="13"/>
      <c r="D167" s="13" t="str">
        <f>архикад_устрпроём!I166</f>
        <v/>
      </c>
      <c r="E167" s="13">
        <f>архикад_устрпроём!E166</f>
        <v>0</v>
      </c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4"/>
    </row>
    <row r="168" spans="1:18" ht="33" x14ac:dyDescent="0.25">
      <c r="A168" s="12" t="str">
        <f t="shared" si="2"/>
        <v>устрпроем</v>
      </c>
      <c r="B168" s="13">
        <f>архикад_устрпроём!B167</f>
        <v>0</v>
      </c>
      <c r="C168" s="13"/>
      <c r="D168" s="13" t="str">
        <f>архикад_устрпроём!I167</f>
        <v/>
      </c>
      <c r="E168" s="13">
        <f>архикад_устрпроём!E167</f>
        <v>0</v>
      </c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4"/>
    </row>
    <row r="169" spans="1:18" ht="33" x14ac:dyDescent="0.25">
      <c r="A169" s="12" t="str">
        <f t="shared" si="2"/>
        <v>устрпроем</v>
      </c>
      <c r="B169" s="13">
        <f>архикад_устрпроём!B168</f>
        <v>0</v>
      </c>
      <c r="C169" s="13"/>
      <c r="D169" s="13" t="str">
        <f>архикад_устрпроём!I168</f>
        <v/>
      </c>
      <c r="E169" s="13">
        <f>архикад_устрпроём!E168</f>
        <v>0</v>
      </c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4"/>
    </row>
    <row r="170" spans="1:18" ht="33" x14ac:dyDescent="0.25">
      <c r="A170" s="12" t="str">
        <f t="shared" si="2"/>
        <v>устрпроем</v>
      </c>
      <c r="B170" s="13">
        <f>архикад_устрпроём!B169</f>
        <v>0</v>
      </c>
      <c r="C170" s="13"/>
      <c r="D170" s="13" t="str">
        <f>архикад_устрпроём!I169</f>
        <v/>
      </c>
      <c r="E170" s="13">
        <f>архикад_устрпроём!E169</f>
        <v>0</v>
      </c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4"/>
    </row>
    <row r="171" spans="1:18" ht="33" x14ac:dyDescent="0.25">
      <c r="A171" s="12" t="str">
        <f t="shared" si="2"/>
        <v>устрпроем</v>
      </c>
      <c r="B171" s="13">
        <f>архикад_устрпроём!B170</f>
        <v>0</v>
      </c>
      <c r="C171" s="13"/>
      <c r="D171" s="13" t="str">
        <f>архикад_устрпроём!I170</f>
        <v/>
      </c>
      <c r="E171" s="13">
        <f>архикад_устрпроём!E170</f>
        <v>0</v>
      </c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4"/>
    </row>
    <row r="172" spans="1:18" ht="33" x14ac:dyDescent="0.25">
      <c r="A172" s="12" t="str">
        <f t="shared" si="2"/>
        <v>устрпроем</v>
      </c>
      <c r="B172" s="13">
        <f>архикад_устрпроём!B171</f>
        <v>0</v>
      </c>
      <c r="C172" s="13"/>
      <c r="D172" s="13" t="str">
        <f>архикад_устрпроём!I171</f>
        <v/>
      </c>
      <c r="E172" s="13">
        <f>архикад_устрпроём!E171</f>
        <v>0</v>
      </c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4"/>
    </row>
    <row r="173" spans="1:18" ht="33" x14ac:dyDescent="0.25">
      <c r="A173" s="12" t="str">
        <f t="shared" si="2"/>
        <v>устрпроем</v>
      </c>
      <c r="B173" s="13">
        <f>архикад_устрпроём!B172</f>
        <v>0</v>
      </c>
      <c r="C173" s="13"/>
      <c r="D173" s="13" t="str">
        <f>архикад_устрпроём!I172</f>
        <v/>
      </c>
      <c r="E173" s="13">
        <f>архикад_устрпроём!E172</f>
        <v>0</v>
      </c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4"/>
    </row>
    <row r="174" spans="1:18" ht="33" x14ac:dyDescent="0.25">
      <c r="A174" s="12" t="str">
        <f t="shared" si="2"/>
        <v>устрпроем</v>
      </c>
      <c r="B174" s="13">
        <f>архикад_устрпроём!B173</f>
        <v>0</v>
      </c>
      <c r="C174" s="13"/>
      <c r="D174" s="13" t="str">
        <f>архикад_устрпроём!I173</f>
        <v/>
      </c>
      <c r="E174" s="13">
        <f>архикад_устрпроём!E173</f>
        <v>0</v>
      </c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4"/>
    </row>
    <row r="175" spans="1:18" ht="33" x14ac:dyDescent="0.25">
      <c r="A175" s="12" t="str">
        <f t="shared" si="2"/>
        <v>устрпроем</v>
      </c>
      <c r="B175" s="13">
        <f>архикад_устрпроём!B174</f>
        <v>0</v>
      </c>
      <c r="C175" s="13"/>
      <c r="D175" s="13" t="str">
        <f>архикад_устрпроём!I174</f>
        <v/>
      </c>
      <c r="E175" s="13">
        <f>архикад_устрпроём!E174</f>
        <v>0</v>
      </c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4"/>
    </row>
    <row r="176" spans="1:18" ht="33" x14ac:dyDescent="0.25">
      <c r="A176" s="12" t="str">
        <f t="shared" si="2"/>
        <v>устрпроем</v>
      </c>
      <c r="B176" s="13">
        <f>архикад_устрпроём!B175</f>
        <v>0</v>
      </c>
      <c r="C176" s="13"/>
      <c r="D176" s="13" t="str">
        <f>архикад_устрпроём!I175</f>
        <v/>
      </c>
      <c r="E176" s="13">
        <f>архикад_устрпроём!E175</f>
        <v>0</v>
      </c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4"/>
    </row>
    <row r="177" spans="1:18" ht="33" x14ac:dyDescent="0.25">
      <c r="A177" s="12" t="str">
        <f t="shared" si="2"/>
        <v>устрпроем</v>
      </c>
      <c r="B177" s="13">
        <f>архикад_устрпроём!B176</f>
        <v>0</v>
      </c>
      <c r="C177" s="13"/>
      <c r="D177" s="13" t="str">
        <f>архикад_устрпроём!I176</f>
        <v/>
      </c>
      <c r="E177" s="13">
        <f>архикад_устрпроём!E176</f>
        <v>0</v>
      </c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4"/>
    </row>
    <row r="178" spans="1:18" ht="33" x14ac:dyDescent="0.25">
      <c r="A178" s="12" t="str">
        <f t="shared" si="2"/>
        <v>устрпроем</v>
      </c>
      <c r="B178" s="13">
        <f>архикад_устрпроём!B177</f>
        <v>0</v>
      </c>
      <c r="C178" s="13"/>
      <c r="D178" s="13" t="str">
        <f>архикад_устрпроём!I177</f>
        <v/>
      </c>
      <c r="E178" s="13">
        <f>архикад_устрпроём!E177</f>
        <v>0</v>
      </c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4"/>
    </row>
    <row r="179" spans="1:18" ht="33" x14ac:dyDescent="0.25">
      <c r="A179" s="12" t="str">
        <f t="shared" si="2"/>
        <v>устрпроем</v>
      </c>
      <c r="B179" s="13">
        <f>архикад_устрпроём!B178</f>
        <v>0</v>
      </c>
      <c r="C179" s="13"/>
      <c r="D179" s="13" t="str">
        <f>архикад_устрпроём!I178</f>
        <v/>
      </c>
      <c r="E179" s="13">
        <f>архикад_устрпроём!E178</f>
        <v>0</v>
      </c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4"/>
    </row>
    <row r="180" spans="1:18" ht="33" x14ac:dyDescent="0.25">
      <c r="A180" s="12" t="str">
        <f t="shared" si="2"/>
        <v>устрпроем</v>
      </c>
      <c r="B180" s="13">
        <f>архикад_устрпроём!B179</f>
        <v>0</v>
      </c>
      <c r="C180" s="13"/>
      <c r="D180" s="13" t="str">
        <f>архикад_устрпроём!I179</f>
        <v/>
      </c>
      <c r="E180" s="13">
        <f>архикад_устрпроём!E179</f>
        <v>0</v>
      </c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4"/>
    </row>
    <row r="181" spans="1:18" ht="33" x14ac:dyDescent="0.25">
      <c r="A181" s="12" t="str">
        <f t="shared" si="2"/>
        <v>устрпроем</v>
      </c>
      <c r="B181" s="13">
        <f>архикад_устрпроём!B180</f>
        <v>0</v>
      </c>
      <c r="C181" s="13"/>
      <c r="D181" s="13" t="str">
        <f>архикад_устрпроём!I180</f>
        <v/>
      </c>
      <c r="E181" s="13">
        <f>архикад_устрпроём!E180</f>
        <v>0</v>
      </c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4"/>
    </row>
    <row r="182" spans="1:18" ht="33" x14ac:dyDescent="0.25">
      <c r="A182" s="12" t="str">
        <f t="shared" si="2"/>
        <v>устрпроем</v>
      </c>
      <c r="B182" s="13">
        <f>архикад_устрпроём!B181</f>
        <v>0</v>
      </c>
      <c r="C182" s="13"/>
      <c r="D182" s="13" t="str">
        <f>архикад_устрпроём!I181</f>
        <v/>
      </c>
      <c r="E182" s="13">
        <f>архикад_устрпроём!E181</f>
        <v>0</v>
      </c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4"/>
    </row>
    <row r="183" spans="1:18" ht="33" x14ac:dyDescent="0.25">
      <c r="A183" s="12" t="str">
        <f t="shared" si="2"/>
        <v>устрпроем</v>
      </c>
      <c r="B183" s="13">
        <f>архикад_устрпроём!B182</f>
        <v>0</v>
      </c>
      <c r="C183" s="13"/>
      <c r="D183" s="13" t="str">
        <f>архикад_устрпроём!I182</f>
        <v/>
      </c>
      <c r="E183" s="13">
        <f>архикад_устрпроём!E182</f>
        <v>0</v>
      </c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4"/>
    </row>
    <row r="184" spans="1:18" ht="33" x14ac:dyDescent="0.25">
      <c r="A184" s="12" t="str">
        <f t="shared" si="2"/>
        <v>устрпроем</v>
      </c>
      <c r="B184" s="13">
        <f>архикад_устрпроём!B183</f>
        <v>0</v>
      </c>
      <c r="C184" s="13"/>
      <c r="D184" s="13" t="str">
        <f>архикад_устрпроём!I183</f>
        <v/>
      </c>
      <c r="E184" s="13">
        <f>архикад_устрпроём!E183</f>
        <v>0</v>
      </c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4"/>
    </row>
    <row r="185" spans="1:18" ht="33" x14ac:dyDescent="0.25">
      <c r="A185" s="12" t="str">
        <f t="shared" si="2"/>
        <v>устрпроем</v>
      </c>
      <c r="B185" s="13">
        <f>архикад_устрпроём!B184</f>
        <v>0</v>
      </c>
      <c r="C185" s="13"/>
      <c r="D185" s="13" t="str">
        <f>архикад_устрпроём!I184</f>
        <v/>
      </c>
      <c r="E185" s="13">
        <f>архикад_устрпроём!E184</f>
        <v>0</v>
      </c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4"/>
    </row>
    <row r="186" spans="1:18" ht="33" x14ac:dyDescent="0.25">
      <c r="A186" s="12" t="str">
        <f t="shared" si="2"/>
        <v>устрпроем</v>
      </c>
      <c r="B186" s="13">
        <f>архикад_устрпроём!B185</f>
        <v>0</v>
      </c>
      <c r="C186" s="13"/>
      <c r="D186" s="13" t="str">
        <f>архикад_устрпроём!I185</f>
        <v/>
      </c>
      <c r="E186" s="13">
        <f>архикад_устрпроём!E185</f>
        <v>0</v>
      </c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4"/>
    </row>
    <row r="187" spans="1:18" ht="33" x14ac:dyDescent="0.25">
      <c r="A187" s="12" t="str">
        <f t="shared" si="2"/>
        <v>устрпроем</v>
      </c>
      <c r="B187" s="13">
        <f>архикад_устрпроём!B186</f>
        <v>0</v>
      </c>
      <c r="C187" s="13"/>
      <c r="D187" s="13" t="str">
        <f>архикад_устрпроём!I186</f>
        <v/>
      </c>
      <c r="E187" s="13">
        <f>архикад_устрпроём!E186</f>
        <v>0</v>
      </c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4"/>
    </row>
    <row r="188" spans="1:18" ht="33" x14ac:dyDescent="0.25">
      <c r="A188" s="12" t="str">
        <f t="shared" si="2"/>
        <v>устрпроем</v>
      </c>
      <c r="B188" s="13">
        <f>архикад_устрпроём!B187</f>
        <v>0</v>
      </c>
      <c r="C188" s="13"/>
      <c r="D188" s="13" t="str">
        <f>архикад_устрпроём!I187</f>
        <v/>
      </c>
      <c r="E188" s="13">
        <f>архикад_устрпроём!E187</f>
        <v>0</v>
      </c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4"/>
    </row>
    <row r="189" spans="1:18" ht="33" x14ac:dyDescent="0.25">
      <c r="A189" s="12" t="str">
        <f t="shared" si="2"/>
        <v>устрпроем</v>
      </c>
      <c r="B189" s="13">
        <f>архикад_устрпроём!B188</f>
        <v>0</v>
      </c>
      <c r="C189" s="13"/>
      <c r="D189" s="13" t="str">
        <f>архикад_устрпроём!I188</f>
        <v/>
      </c>
      <c r="E189" s="13">
        <f>архикад_устрпроём!E188</f>
        <v>0</v>
      </c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4"/>
    </row>
    <row r="190" spans="1:18" ht="33" x14ac:dyDescent="0.25">
      <c r="A190" s="12" t="str">
        <f t="shared" si="2"/>
        <v>устрпроем</v>
      </c>
      <c r="B190" s="13">
        <f>архикад_устрпроём!B189</f>
        <v>0</v>
      </c>
      <c r="C190" s="13"/>
      <c r="D190" s="13" t="str">
        <f>архикад_устрпроём!I189</f>
        <v/>
      </c>
      <c r="E190" s="13">
        <f>архикад_устрпроём!E189</f>
        <v>0</v>
      </c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4"/>
    </row>
    <row r="191" spans="1:18" ht="33" x14ac:dyDescent="0.25">
      <c r="A191" s="12" t="str">
        <f t="shared" si="2"/>
        <v>устрпроем</v>
      </c>
      <c r="B191" s="13">
        <f>архикад_устрпроём!B190</f>
        <v>0</v>
      </c>
      <c r="C191" s="13"/>
      <c r="D191" s="13" t="str">
        <f>архикад_устрпроём!I190</f>
        <v/>
      </c>
      <c r="E191" s="13">
        <f>архикад_устрпроём!E190</f>
        <v>0</v>
      </c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4"/>
    </row>
    <row r="192" spans="1:18" ht="33" x14ac:dyDescent="0.25">
      <c r="A192" s="12" t="str">
        <f t="shared" si="2"/>
        <v>устрпроем</v>
      </c>
      <c r="B192" s="13">
        <f>архикад_устрпроём!B191</f>
        <v>0</v>
      </c>
      <c r="C192" s="13"/>
      <c r="D192" s="13" t="str">
        <f>архикад_устрпроём!I191</f>
        <v/>
      </c>
      <c r="E192" s="13">
        <f>архикад_устрпроём!E191</f>
        <v>0</v>
      </c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4"/>
    </row>
    <row r="193" spans="1:18" ht="33" x14ac:dyDescent="0.25">
      <c r="A193" s="12" t="str">
        <f t="shared" si="2"/>
        <v>устрпроем</v>
      </c>
      <c r="B193" s="13">
        <f>архикад_устрпроём!B192</f>
        <v>0</v>
      </c>
      <c r="C193" s="13"/>
      <c r="D193" s="13" t="str">
        <f>архикад_устрпроём!I192</f>
        <v/>
      </c>
      <c r="E193" s="13">
        <f>архикад_устрпроём!E192</f>
        <v>0</v>
      </c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4"/>
    </row>
    <row r="194" spans="1:18" ht="33" x14ac:dyDescent="0.25">
      <c r="A194" s="12" t="str">
        <f t="shared" si="2"/>
        <v>устрпроем</v>
      </c>
      <c r="B194" s="13">
        <f>архикад_устрпроём!B193</f>
        <v>0</v>
      </c>
      <c r="C194" s="13"/>
      <c r="D194" s="13" t="str">
        <f>архикад_устрпроём!I193</f>
        <v/>
      </c>
      <c r="E194" s="13">
        <f>архикад_устрпроём!E193</f>
        <v>0</v>
      </c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4"/>
    </row>
    <row r="195" spans="1:18" ht="33" x14ac:dyDescent="0.25">
      <c r="A195" s="12" t="str">
        <f t="shared" si="2"/>
        <v>устрпроем</v>
      </c>
      <c r="B195" s="13">
        <f>архикад_устрпроём!B194</f>
        <v>0</v>
      </c>
      <c r="C195" s="13"/>
      <c r="D195" s="13" t="str">
        <f>архикад_устрпроём!I194</f>
        <v/>
      </c>
      <c r="E195" s="13">
        <f>архикад_устрпроём!E194</f>
        <v>0</v>
      </c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4"/>
    </row>
    <row r="196" spans="1:18" ht="33" x14ac:dyDescent="0.25">
      <c r="A196" s="12" t="str">
        <f t="shared" si="2"/>
        <v>устрпроем</v>
      </c>
      <c r="B196" s="13">
        <f>архикад_устрпроём!B195</f>
        <v>0</v>
      </c>
      <c r="C196" s="13"/>
      <c r="D196" s="13" t="str">
        <f>архикад_устрпроём!I195</f>
        <v/>
      </c>
      <c r="E196" s="13">
        <f>архикад_устрпроём!E195</f>
        <v>0</v>
      </c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4"/>
    </row>
    <row r="197" spans="1:18" ht="33" x14ac:dyDescent="0.25">
      <c r="A197" s="12" t="str">
        <f t="shared" ref="A197:A210" si="3">A196</f>
        <v>устрпроем</v>
      </c>
      <c r="B197" s="13">
        <f>архикад_устрпроём!B196</f>
        <v>0</v>
      </c>
      <c r="C197" s="13"/>
      <c r="D197" s="13" t="str">
        <f>архикад_устрпроём!I196</f>
        <v/>
      </c>
      <c r="E197" s="13">
        <f>архикад_устрпроём!E196</f>
        <v>0</v>
      </c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4"/>
    </row>
    <row r="198" spans="1:18" ht="33" x14ac:dyDescent="0.25">
      <c r="A198" s="12" t="str">
        <f t="shared" si="3"/>
        <v>устрпроем</v>
      </c>
      <c r="B198" s="13">
        <f>архикад_устрпроём!B197</f>
        <v>0</v>
      </c>
      <c r="C198" s="13"/>
      <c r="D198" s="13" t="str">
        <f>архикад_устрпроём!I197</f>
        <v/>
      </c>
      <c r="E198" s="13">
        <f>архикад_устрпроём!E197</f>
        <v>0</v>
      </c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4"/>
    </row>
    <row r="199" spans="1:18" ht="33" x14ac:dyDescent="0.25">
      <c r="A199" s="12" t="str">
        <f t="shared" si="3"/>
        <v>устрпроем</v>
      </c>
      <c r="B199" s="13">
        <f>архикад_устрпроём!B198</f>
        <v>0</v>
      </c>
      <c r="C199" s="13"/>
      <c r="D199" s="13" t="str">
        <f>архикад_устрпроём!I198</f>
        <v/>
      </c>
      <c r="E199" s="13">
        <f>архикад_устрпроём!E198</f>
        <v>0</v>
      </c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4"/>
    </row>
    <row r="200" spans="1:18" ht="33" x14ac:dyDescent="0.25">
      <c r="A200" s="12" t="str">
        <f t="shared" si="3"/>
        <v>устрпроем</v>
      </c>
      <c r="B200" s="13">
        <f>архикад_устрпроём!B199</f>
        <v>0</v>
      </c>
      <c r="C200" s="13"/>
      <c r="D200" s="13" t="str">
        <f>архикад_устрпроём!I199</f>
        <v/>
      </c>
      <c r="E200" s="13">
        <f>архикад_устрпроём!E199</f>
        <v>0</v>
      </c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4"/>
    </row>
    <row r="201" spans="1:18" ht="33" x14ac:dyDescent="0.25">
      <c r="A201" s="12" t="str">
        <f t="shared" si="3"/>
        <v>устрпроем</v>
      </c>
      <c r="B201" s="13">
        <f>архикад_устрпроём!B200</f>
        <v>0</v>
      </c>
      <c r="C201" s="13"/>
      <c r="D201" s="13" t="str">
        <f>архикад_устрпроём!I200</f>
        <v/>
      </c>
      <c r="E201" s="13">
        <f>архикад_устрпроём!E200</f>
        <v>0</v>
      </c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4"/>
    </row>
    <row r="202" spans="1:18" ht="33" x14ac:dyDescent="0.25">
      <c r="A202" s="12" t="str">
        <f t="shared" si="3"/>
        <v>устрпроем</v>
      </c>
      <c r="B202" s="13">
        <f>архикад_устрпроём!B201</f>
        <v>0</v>
      </c>
      <c r="C202" s="13"/>
      <c r="D202" s="13" t="str">
        <f>архикад_устрпроём!I201</f>
        <v/>
      </c>
      <c r="E202" s="13">
        <f>архикад_устрпроём!E201</f>
        <v>0</v>
      </c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4"/>
    </row>
    <row r="203" spans="1:18" ht="33" x14ac:dyDescent="0.25">
      <c r="A203" s="12" t="str">
        <f t="shared" si="3"/>
        <v>устрпроем</v>
      </c>
      <c r="B203" s="13">
        <f>архикад_устрпроём!B202</f>
        <v>0</v>
      </c>
      <c r="C203" s="13"/>
      <c r="D203" s="13" t="str">
        <f>архикад_устрпроём!I202</f>
        <v/>
      </c>
      <c r="E203" s="13">
        <f>архикад_устрпроём!E202</f>
        <v>0</v>
      </c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4"/>
    </row>
    <row r="204" spans="1:18" ht="33" x14ac:dyDescent="0.25">
      <c r="A204" s="12" t="str">
        <f t="shared" si="3"/>
        <v>устрпроем</v>
      </c>
      <c r="B204" s="13">
        <f>архикад_устрпроём!B203</f>
        <v>0</v>
      </c>
      <c r="C204" s="13"/>
      <c r="D204" s="13" t="str">
        <f>архикад_устрпроём!I203</f>
        <v/>
      </c>
      <c r="E204" s="13">
        <f>архикад_устрпроём!E203</f>
        <v>0</v>
      </c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4"/>
    </row>
    <row r="205" spans="1:18" ht="33" x14ac:dyDescent="0.25">
      <c r="A205" s="12" t="str">
        <f t="shared" si="3"/>
        <v>устрпроем</v>
      </c>
      <c r="B205" s="13">
        <f>архикад_устрпроём!B204</f>
        <v>0</v>
      </c>
      <c r="C205" s="13"/>
      <c r="D205" s="13" t="str">
        <f>архикад_устрпроём!I204</f>
        <v/>
      </c>
      <c r="E205" s="13">
        <f>архикад_устрпроём!E204</f>
        <v>0</v>
      </c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4"/>
    </row>
    <row r="206" spans="1:18" ht="33" x14ac:dyDescent="0.25">
      <c r="A206" s="12" t="str">
        <f t="shared" si="3"/>
        <v>устрпроем</v>
      </c>
      <c r="B206" s="13">
        <f>архикад_устрпроём!B205</f>
        <v>0</v>
      </c>
      <c r="C206" s="13"/>
      <c r="D206" s="13" t="str">
        <f>архикад_устрпроём!I205</f>
        <v/>
      </c>
      <c r="E206" s="13">
        <f>архикад_устрпроём!E205</f>
        <v>0</v>
      </c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4"/>
    </row>
    <row r="207" spans="1:18" ht="33" x14ac:dyDescent="0.25">
      <c r="A207" s="12" t="str">
        <f t="shared" si="3"/>
        <v>устрпроем</v>
      </c>
      <c r="B207" s="13">
        <f>архикад_устрпроём!B206</f>
        <v>0</v>
      </c>
      <c r="C207" s="13"/>
      <c r="D207" s="13" t="str">
        <f>архикад_устрпроём!I206</f>
        <v/>
      </c>
      <c r="E207" s="13">
        <f>архикад_устрпроём!E206</f>
        <v>0</v>
      </c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4"/>
    </row>
    <row r="208" spans="1:18" ht="33" x14ac:dyDescent="0.25">
      <c r="A208" s="12" t="str">
        <f t="shared" si="3"/>
        <v>устрпроем</v>
      </c>
      <c r="B208" s="13">
        <f>архикад_устрпроём!B207</f>
        <v>0</v>
      </c>
      <c r="C208" s="13"/>
      <c r="D208" s="13" t="str">
        <f>архикад_устрпроём!I207</f>
        <v/>
      </c>
      <c r="E208" s="13">
        <f>архикад_устрпроём!E207</f>
        <v>0</v>
      </c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4"/>
    </row>
    <row r="209" spans="1:18" ht="33" x14ac:dyDescent="0.25">
      <c r="A209" s="12" t="str">
        <f t="shared" si="3"/>
        <v>устрпроем</v>
      </c>
      <c r="B209" s="13">
        <f>архикад_устрпроём!B208</f>
        <v>0</v>
      </c>
      <c r="C209" s="13"/>
      <c r="D209" s="13" t="str">
        <f>архикад_устрпроём!I208</f>
        <v/>
      </c>
      <c r="E209" s="13">
        <f>архикад_устрпроём!E208</f>
        <v>0</v>
      </c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4"/>
    </row>
    <row r="210" spans="1:18" ht="33.75" thickBot="1" x14ac:dyDescent="0.3">
      <c r="A210" s="15" t="str">
        <f t="shared" si="3"/>
        <v>устрпроем</v>
      </c>
      <c r="B210" s="16">
        <f>архикад_устрпроём!B209</f>
        <v>0</v>
      </c>
      <c r="C210" s="16"/>
      <c r="D210" s="16" t="str">
        <f>архикад_устрпроём!I209</f>
        <v/>
      </c>
      <c r="E210" s="16">
        <f>архикад_устрпроём!E209</f>
        <v>0</v>
      </c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210 H2:Q2 K1 R1">
    <cfRule type="containsText" dxfId="100" priority="1" stopIfTrue="1" operator="containsText" text="ИЗ ФАЙЛА">
      <formula>NOT(ISERROR(SEARCH("ИЗ ФАЙЛА",A1)))</formula>
    </cfRule>
    <cfRule type="containsText" dxfId="99" priority="2" stopIfTrue="1" operator="containsText" text="!!!!">
      <formula>NOT(ISERROR(SEARCH("!!!!",A1)))</formula>
    </cfRule>
    <cfRule type="containsText" dxfId="98" priority="3" stopIfTrue="1" operator="containsText" text=" Изделия ">
      <formula>NOT(ISERROR(SEARCH(" Изделия ",A1)))</formula>
    </cfRule>
    <cfRule type="containsText" dxfId="97" priority="4" stopIfTrue="1" operator="containsText" text=" Прокат ">
      <formula>NOT(ISERROR(SEARCH(" Прокат ",A1)))</formula>
    </cfRule>
    <cfRule type="containsText" dxfId="96" priority="5" stopIfTrue="1" operator="containsText" text=" Сборочные единицы ">
      <formula>NOT(ISERROR(SEARCH(" Сборочные единицы ",A1)))</formula>
    </cfRule>
    <cfRule type="containsText" dxfId="95" priority="6" stopIfTrue="1" operator="containsText" text=" Материалы ">
      <formula>NOT(ISERROR(SEARCH(" Материалы ",A1)))</formula>
    </cfRule>
    <cfRule type="containsText" dxfId="94" priority="7" stopIfTrue="1" operator="containsText" text=", на ">
      <formula>NOT(ISERROR(SEARCH(", на ",A1)))</formula>
    </cfRule>
    <cfRule type="containsText" dxfId="93" priority="8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>
          <x14:formula1>
            <xm:f>'!System'!$AN$1:$AN$6</xm:f>
          </x14:formula1>
          <xm:sqref>G3:G210</xm:sqref>
        </x14:dataValidation>
        <x14:dataValidation type="list" allowBlank="1" showInputMessage="1" showErrorMessage="1">
          <x14:formula1>
            <xm:f>'!System'!$T$1:$AB$1</xm:f>
          </x14:formula1>
          <xm:sqref>J3:J210</xm:sqref>
        </x14:dataValidation>
        <x14:dataValidation type="list" allowBlank="1" showInputMessage="1" showErrorMessage="1">
          <x14:formula1>
            <xm:f>'!System'!$A$1:$R$1</xm:f>
          </x14:formula1>
          <xm:sqref>L3:L210</xm:sqref>
        </x14:dataValidation>
        <x14:dataValidation type="list" allowBlank="1" showInputMessage="1" showErrorMessage="1">
          <x14:formula1>
            <xm:f>'!System'!$AC$1:$AM$1</xm:f>
          </x14:formula1>
          <xm:sqref>O3:O210</xm:sqref>
        </x14:dataValidation>
        <x14:dataValidation type="list" allowBlank="1" showInputMessage="1" showErrorMessage="1">
          <x14:formula1>
            <xm:f>'!System'!$AO$1:$AO$5</xm:f>
          </x14:formula1>
          <xm:sqref>P3:P210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R210"/>
  <sheetViews>
    <sheetView workbookViewId="0">
      <selection sqref="A1:A2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</cols>
  <sheetData>
    <row r="1" spans="1:18" ht="16.5" x14ac:dyDescent="0.25">
      <c r="A1" s="34" t="s">
        <v>2395</v>
      </c>
      <c r="B1" s="27" t="s">
        <v>2388</v>
      </c>
      <c r="C1" s="27" t="s">
        <v>2389</v>
      </c>
      <c r="D1" s="27" t="s">
        <v>2390</v>
      </c>
      <c r="E1" s="27" t="s">
        <v>2396</v>
      </c>
      <c r="F1" s="27" t="s">
        <v>2397</v>
      </c>
      <c r="G1" s="27" t="s">
        <v>2398</v>
      </c>
      <c r="H1" s="29" t="s">
        <v>2400</v>
      </c>
      <c r="I1" s="30"/>
      <c r="J1" s="31"/>
      <c r="K1" s="29" t="s">
        <v>2404</v>
      </c>
      <c r="L1" s="30"/>
      <c r="M1" s="30"/>
      <c r="N1" s="30"/>
      <c r="O1" s="30"/>
      <c r="P1" s="30"/>
      <c r="Q1" s="31"/>
      <c r="R1" s="32" t="s">
        <v>2399</v>
      </c>
    </row>
    <row r="2" spans="1:18" ht="66" x14ac:dyDescent="0.25">
      <c r="A2" s="35"/>
      <c r="B2" s="28"/>
      <c r="C2" s="28"/>
      <c r="D2" s="28"/>
      <c r="E2" s="28"/>
      <c r="F2" s="28"/>
      <c r="G2" s="28"/>
      <c r="H2" s="13" t="s">
        <v>2401</v>
      </c>
      <c r="I2" s="13" t="s">
        <v>2402</v>
      </c>
      <c r="J2" s="13" t="s">
        <v>2403</v>
      </c>
      <c r="K2" s="13" t="s">
        <v>2405</v>
      </c>
      <c r="L2" s="13" t="s">
        <v>2406</v>
      </c>
      <c r="M2" s="13" t="s">
        <v>2407</v>
      </c>
      <c r="N2" s="13" t="s">
        <v>2408</v>
      </c>
      <c r="O2" s="13" t="s">
        <v>2409</v>
      </c>
      <c r="P2" s="13" t="s">
        <v>2410</v>
      </c>
      <c r="Q2" s="13" t="s">
        <v>2411</v>
      </c>
      <c r="R2" s="33"/>
    </row>
    <row r="3" spans="1:18" ht="16.5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66" x14ac:dyDescent="0.25">
      <c r="A4" s="12" t="s">
        <v>2474</v>
      </c>
      <c r="B4" s="13" t="str">
        <f>архикад_закпроём!B3</f>
        <v>Д11</v>
      </c>
      <c r="C4" s="13"/>
      <c r="D4" s="13" t="str">
        <f>архикад_закпроём!I3</f>
        <v>Закладка кирпичом дверного проёма 680x2100(h)мм. в стене толщиной 120мм.</v>
      </c>
      <c r="E4" s="13">
        <f>архикад_закпроём!E3</f>
        <v>2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</row>
    <row r="5" spans="1:18" ht="66" x14ac:dyDescent="0.25">
      <c r="A5" s="12" t="str">
        <f t="shared" ref="A5:A68" si="0">A4</f>
        <v>закпроем</v>
      </c>
      <c r="B5" s="13" t="str">
        <f>архикад_закпроём!B4</f>
        <v>Д12</v>
      </c>
      <c r="C5" s="13"/>
      <c r="D5" s="13" t="str">
        <f>архикад_закпроём!I4</f>
        <v>Закладка кирпичом дверного проёма 1000x2100(h)мм. в стене толщиной 120мм.</v>
      </c>
      <c r="E5" s="13">
        <f>архикад_закпроём!E4</f>
        <v>3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4"/>
    </row>
    <row r="6" spans="1:18" ht="66" x14ac:dyDescent="0.25">
      <c r="A6" s="12" t="str">
        <f t="shared" si="0"/>
        <v>закпроем</v>
      </c>
      <c r="B6" s="13" t="str">
        <f>архикад_закпроём!B5</f>
        <v>Д13</v>
      </c>
      <c r="C6" s="13"/>
      <c r="D6" s="13" t="str">
        <f>архикад_закпроём!I5</f>
        <v>Закладка кирпичом дверного проёма 700x2100(h)мм. в стене толщиной 120мм.</v>
      </c>
      <c r="E6" s="13">
        <f>архикад_закпроём!E5</f>
        <v>1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4"/>
    </row>
    <row r="7" spans="1:18" ht="66" x14ac:dyDescent="0.25">
      <c r="A7" s="12" t="str">
        <f t="shared" si="0"/>
        <v>закпроем</v>
      </c>
      <c r="B7" s="13" t="str">
        <f>архикад_закпроём!B6</f>
        <v>Д13</v>
      </c>
      <c r="C7" s="13"/>
      <c r="D7" s="13" t="str">
        <f>архикад_закпроём!I6</f>
        <v>Закладка кирпичом дверного проёма 730x2100(h)мм. в стене толщиной 120мм.</v>
      </c>
      <c r="E7" s="13">
        <f>архикад_закпроём!E6</f>
        <v>1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4"/>
    </row>
    <row r="8" spans="1:18" ht="66" x14ac:dyDescent="0.25">
      <c r="A8" s="12" t="str">
        <f t="shared" si="0"/>
        <v>закпроем</v>
      </c>
      <c r="B8" s="13" t="str">
        <f>архикад_закпроём!B7</f>
        <v>Д14</v>
      </c>
      <c r="C8" s="13"/>
      <c r="D8" s="13" t="str">
        <f>архикад_закпроём!I7</f>
        <v>Закладка кирпичом дверного проёма 910x2100(h)мм. в стене толщиной 120мм.</v>
      </c>
      <c r="E8" s="13">
        <f>архикад_закпроём!E7</f>
        <v>1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4"/>
    </row>
    <row r="9" spans="1:18" ht="66" x14ac:dyDescent="0.25">
      <c r="A9" s="12" t="str">
        <f t="shared" si="0"/>
        <v>закпроем</v>
      </c>
      <c r="B9" s="13" t="str">
        <f>архикад_закпроём!B8</f>
        <v>Д15</v>
      </c>
      <c r="C9" s="13"/>
      <c r="D9" s="13" t="str">
        <f>архикад_закпроём!I8</f>
        <v>Закладка кирпичом дверного проёма 1420x2100(h)мм. в стене толщиной 120мм.</v>
      </c>
      <c r="E9" s="13">
        <f>архикад_закпроём!E8</f>
        <v>1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4"/>
    </row>
    <row r="10" spans="1:18" ht="66" x14ac:dyDescent="0.25">
      <c r="A10" s="12" t="str">
        <f t="shared" si="0"/>
        <v>закпроем</v>
      </c>
      <c r="B10" s="13" t="str">
        <f>архикад_закпроём!B9</f>
        <v>Д10</v>
      </c>
      <c r="C10" s="13"/>
      <c r="D10" s="13" t="str">
        <f>архикад_закпроём!I9</f>
        <v>Закладка кирпичом дверного проёма 2150x2100(h)мм. в стене толщиной 510мм.</v>
      </c>
      <c r="E10" s="13">
        <f>архикад_закпроём!E9</f>
        <v>1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1:18" ht="66" x14ac:dyDescent="0.25">
      <c r="A11" s="12" t="str">
        <f t="shared" si="0"/>
        <v>закпроем</v>
      </c>
      <c r="B11" s="13" t="str">
        <f>архикад_закпроём!B10</f>
        <v>Д16</v>
      </c>
      <c r="C11" s="13"/>
      <c r="D11" s="13" t="str">
        <f>архикад_закпроём!I10</f>
        <v>Закладка кирпичом дверного проёма 800x2100(h)мм. в стене толщиной 510мм.</v>
      </c>
      <c r="E11" s="13">
        <f>архикад_закпроём!E10</f>
        <v>1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1:18" ht="33" x14ac:dyDescent="0.25">
      <c r="A12" s="12" t="str">
        <f t="shared" si="0"/>
        <v>закпроем</v>
      </c>
      <c r="B12" s="13">
        <f>архикад_закпроём!B11</f>
        <v>0</v>
      </c>
      <c r="C12" s="13"/>
      <c r="D12" s="13" t="str">
        <f>архикад_закпроём!I11</f>
        <v/>
      </c>
      <c r="E12" s="13">
        <f>архикад_закпроём!E11</f>
        <v>0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1:18" ht="33" x14ac:dyDescent="0.25">
      <c r="A13" s="12" t="str">
        <f t="shared" si="0"/>
        <v>закпроем</v>
      </c>
      <c r="B13" s="13">
        <f>архикад_закпроём!B12</f>
        <v>0</v>
      </c>
      <c r="C13" s="13"/>
      <c r="D13" s="13" t="str">
        <f>архикад_закпроём!I12</f>
        <v/>
      </c>
      <c r="E13" s="13">
        <f>архикад_закпроём!E12</f>
        <v>0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</row>
    <row r="14" spans="1:18" ht="33" x14ac:dyDescent="0.25">
      <c r="A14" s="12" t="str">
        <f t="shared" si="0"/>
        <v>закпроем</v>
      </c>
      <c r="B14" s="13">
        <f>архикад_закпроём!B13</f>
        <v>0</v>
      </c>
      <c r="C14" s="13"/>
      <c r="D14" s="13" t="str">
        <f>архикад_закпроём!I13</f>
        <v/>
      </c>
      <c r="E14" s="13">
        <f>архикад_закпроём!E13</f>
        <v>0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1:18" ht="33" x14ac:dyDescent="0.25">
      <c r="A15" s="12" t="str">
        <f t="shared" si="0"/>
        <v>закпроем</v>
      </c>
      <c r="B15" s="13">
        <f>архикад_закпроём!B14</f>
        <v>0</v>
      </c>
      <c r="C15" s="13"/>
      <c r="D15" s="13" t="str">
        <f>архикад_закпроём!I14</f>
        <v/>
      </c>
      <c r="E15" s="13">
        <f>архикад_закпроём!E14</f>
        <v>0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1:18" ht="33" x14ac:dyDescent="0.25">
      <c r="A16" s="12" t="str">
        <f t="shared" si="0"/>
        <v>закпроем</v>
      </c>
      <c r="B16" s="13">
        <f>архикад_закпроём!B15</f>
        <v>0</v>
      </c>
      <c r="C16" s="13"/>
      <c r="D16" s="13" t="str">
        <f>архикад_закпроём!I15</f>
        <v/>
      </c>
      <c r="E16" s="13">
        <f>архикад_закпроём!E15</f>
        <v>0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1:18" ht="33" x14ac:dyDescent="0.25">
      <c r="A17" s="12" t="str">
        <f t="shared" si="0"/>
        <v>закпроем</v>
      </c>
      <c r="B17" s="13">
        <f>архикад_закпроём!B16</f>
        <v>0</v>
      </c>
      <c r="C17" s="13"/>
      <c r="D17" s="13" t="str">
        <f>архикад_закпроём!I16</f>
        <v/>
      </c>
      <c r="E17" s="13">
        <f>архикад_закпроём!E16</f>
        <v>0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1:18" ht="33" x14ac:dyDescent="0.25">
      <c r="A18" s="12" t="str">
        <f t="shared" si="0"/>
        <v>закпроем</v>
      </c>
      <c r="B18" s="13">
        <f>архикад_закпроём!B17</f>
        <v>0</v>
      </c>
      <c r="C18" s="13"/>
      <c r="D18" s="13" t="str">
        <f>архикад_закпроём!I17</f>
        <v/>
      </c>
      <c r="E18" s="13">
        <f>архикад_закпроём!E17</f>
        <v>0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1:18" ht="33" x14ac:dyDescent="0.25">
      <c r="A19" s="12" t="str">
        <f t="shared" si="0"/>
        <v>закпроем</v>
      </c>
      <c r="B19" s="13">
        <f>архикад_закпроём!B18</f>
        <v>0</v>
      </c>
      <c r="C19" s="13"/>
      <c r="D19" s="13" t="str">
        <f>архикад_закпроём!I18</f>
        <v/>
      </c>
      <c r="E19" s="13">
        <f>архикад_закпроём!E18</f>
        <v>0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1:18" ht="33" x14ac:dyDescent="0.25">
      <c r="A20" s="12" t="str">
        <f t="shared" si="0"/>
        <v>закпроем</v>
      </c>
      <c r="B20" s="13">
        <f>архикад_закпроём!B19</f>
        <v>0</v>
      </c>
      <c r="C20" s="13"/>
      <c r="D20" s="13" t="str">
        <f>архикад_закпроём!I19</f>
        <v/>
      </c>
      <c r="E20" s="13">
        <f>архикад_закпроём!E19</f>
        <v>0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4"/>
    </row>
    <row r="21" spans="1:18" ht="33" x14ac:dyDescent="0.25">
      <c r="A21" s="12" t="str">
        <f t="shared" si="0"/>
        <v>закпроем</v>
      </c>
      <c r="B21" s="13">
        <f>архикад_закпроём!B20</f>
        <v>0</v>
      </c>
      <c r="C21" s="13"/>
      <c r="D21" s="13" t="str">
        <f>архикад_закпроём!I20</f>
        <v/>
      </c>
      <c r="E21" s="13">
        <f>архикад_закпроём!E20</f>
        <v>0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1:18" ht="33" x14ac:dyDescent="0.25">
      <c r="A22" s="12" t="str">
        <f t="shared" si="0"/>
        <v>закпроем</v>
      </c>
      <c r="B22" s="13">
        <f>архикад_закпроём!B21</f>
        <v>0</v>
      </c>
      <c r="C22" s="13"/>
      <c r="D22" s="13" t="str">
        <f>архикад_закпроём!I21</f>
        <v/>
      </c>
      <c r="E22" s="13">
        <f>архикад_закпроём!E21</f>
        <v>0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1:18" ht="33" x14ac:dyDescent="0.25">
      <c r="A23" s="12" t="str">
        <f t="shared" si="0"/>
        <v>закпроем</v>
      </c>
      <c r="B23" s="13">
        <f>архикад_закпроём!B22</f>
        <v>0</v>
      </c>
      <c r="C23" s="13"/>
      <c r="D23" s="13" t="str">
        <f>архикад_закпроём!I22</f>
        <v/>
      </c>
      <c r="E23" s="13">
        <f>архикад_закпроём!E22</f>
        <v>0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4"/>
    </row>
    <row r="24" spans="1:18" ht="33" x14ac:dyDescent="0.25">
      <c r="A24" s="12" t="str">
        <f t="shared" si="0"/>
        <v>закпроем</v>
      </c>
      <c r="B24" s="13">
        <f>архикад_закпроём!B23</f>
        <v>0</v>
      </c>
      <c r="C24" s="13"/>
      <c r="D24" s="13" t="str">
        <f>архикад_закпроём!I23</f>
        <v/>
      </c>
      <c r="E24" s="13">
        <f>архикад_закпроём!E23</f>
        <v>0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4"/>
    </row>
    <row r="25" spans="1:18" ht="33" x14ac:dyDescent="0.25">
      <c r="A25" s="12" t="str">
        <f t="shared" si="0"/>
        <v>закпроем</v>
      </c>
      <c r="B25" s="13">
        <f>архикад_закпроём!B24</f>
        <v>0</v>
      </c>
      <c r="C25" s="13"/>
      <c r="D25" s="13" t="str">
        <f>архикад_закпроём!I24</f>
        <v/>
      </c>
      <c r="E25" s="13">
        <f>архикад_закпроём!E24</f>
        <v>0</v>
      </c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1:18" ht="33" x14ac:dyDescent="0.25">
      <c r="A26" s="12" t="str">
        <f t="shared" si="0"/>
        <v>закпроем</v>
      </c>
      <c r="B26" s="13">
        <f>архикад_закпроём!B25</f>
        <v>0</v>
      </c>
      <c r="C26" s="13"/>
      <c r="D26" s="13" t="str">
        <f>архикад_закпроём!I25</f>
        <v/>
      </c>
      <c r="E26" s="13">
        <f>архикад_закпроём!E25</f>
        <v>0</v>
      </c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  <row r="27" spans="1:18" ht="33" x14ac:dyDescent="0.25">
      <c r="A27" s="12" t="str">
        <f t="shared" si="0"/>
        <v>закпроем</v>
      </c>
      <c r="B27" s="13">
        <f>архикад_закпроём!B26</f>
        <v>0</v>
      </c>
      <c r="C27" s="13"/>
      <c r="D27" s="13" t="str">
        <f>архикад_закпроём!I26</f>
        <v/>
      </c>
      <c r="E27" s="13">
        <f>архикад_закпроём!E26</f>
        <v>0</v>
      </c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4"/>
    </row>
    <row r="28" spans="1:18" ht="33" x14ac:dyDescent="0.25">
      <c r="A28" s="12" t="str">
        <f t="shared" si="0"/>
        <v>закпроем</v>
      </c>
      <c r="B28" s="13">
        <f>архикад_закпроём!B27</f>
        <v>0</v>
      </c>
      <c r="C28" s="13"/>
      <c r="D28" s="13" t="str">
        <f>архикад_закпроём!I27</f>
        <v/>
      </c>
      <c r="E28" s="13">
        <f>архикад_закпроём!E27</f>
        <v>0</v>
      </c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  <row r="29" spans="1:18" ht="33" x14ac:dyDescent="0.25">
      <c r="A29" s="12" t="str">
        <f t="shared" si="0"/>
        <v>закпроем</v>
      </c>
      <c r="B29" s="13">
        <f>архикад_закпроём!B28</f>
        <v>0</v>
      </c>
      <c r="C29" s="13"/>
      <c r="D29" s="13" t="str">
        <f>архикад_закпроём!I28</f>
        <v/>
      </c>
      <c r="E29" s="13">
        <f>архикад_закпроём!E28</f>
        <v>0</v>
      </c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4"/>
    </row>
    <row r="30" spans="1:18" ht="33" x14ac:dyDescent="0.25">
      <c r="A30" s="12" t="str">
        <f t="shared" si="0"/>
        <v>закпроем</v>
      </c>
      <c r="B30" s="13">
        <f>архикад_закпроём!B29</f>
        <v>0</v>
      </c>
      <c r="C30" s="13"/>
      <c r="D30" s="13" t="str">
        <f>архикад_закпроём!I29</f>
        <v/>
      </c>
      <c r="E30" s="13">
        <f>архикад_закпроём!E29</f>
        <v>0</v>
      </c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1:18" ht="33" x14ac:dyDescent="0.25">
      <c r="A31" s="12" t="str">
        <f t="shared" si="0"/>
        <v>закпроем</v>
      </c>
      <c r="B31" s="13">
        <f>архикад_закпроём!B30</f>
        <v>0</v>
      </c>
      <c r="C31" s="13"/>
      <c r="D31" s="13" t="str">
        <f>архикад_закпроём!I30</f>
        <v/>
      </c>
      <c r="E31" s="13">
        <f>архикад_закпроём!E30</f>
        <v>0</v>
      </c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1:18" ht="33" x14ac:dyDescent="0.25">
      <c r="A32" s="12" t="str">
        <f t="shared" si="0"/>
        <v>закпроем</v>
      </c>
      <c r="B32" s="13">
        <f>архикад_закпроём!B31</f>
        <v>0</v>
      </c>
      <c r="C32" s="13"/>
      <c r="D32" s="13" t="str">
        <f>архикад_закпроём!I31</f>
        <v/>
      </c>
      <c r="E32" s="13">
        <f>архикад_закпроём!E31</f>
        <v>0</v>
      </c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</row>
    <row r="33" spans="1:18" ht="33" x14ac:dyDescent="0.25">
      <c r="A33" s="12" t="str">
        <f t="shared" si="0"/>
        <v>закпроем</v>
      </c>
      <c r="B33" s="13">
        <f>архикад_закпроём!B32</f>
        <v>0</v>
      </c>
      <c r="C33" s="13"/>
      <c r="D33" s="13" t="str">
        <f>архикад_закпроём!I32</f>
        <v/>
      </c>
      <c r="E33" s="13">
        <f>архикад_закпроём!E32</f>
        <v>0</v>
      </c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4"/>
    </row>
    <row r="34" spans="1:18" ht="33" x14ac:dyDescent="0.25">
      <c r="A34" s="12" t="str">
        <f t="shared" si="0"/>
        <v>закпроем</v>
      </c>
      <c r="B34" s="13">
        <f>архикад_закпроём!B33</f>
        <v>0</v>
      </c>
      <c r="C34" s="13"/>
      <c r="D34" s="13" t="str">
        <f>архикад_закпроём!I33</f>
        <v/>
      </c>
      <c r="E34" s="13">
        <f>архикад_закпроём!E33</f>
        <v>0</v>
      </c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4"/>
    </row>
    <row r="35" spans="1:18" ht="33" x14ac:dyDescent="0.25">
      <c r="A35" s="12" t="str">
        <f t="shared" si="0"/>
        <v>закпроем</v>
      </c>
      <c r="B35" s="13">
        <f>архикад_закпроём!B34</f>
        <v>0</v>
      </c>
      <c r="C35" s="13"/>
      <c r="D35" s="13" t="str">
        <f>архикад_закпроём!I34</f>
        <v/>
      </c>
      <c r="E35" s="13">
        <f>архикад_закпроём!E34</f>
        <v>0</v>
      </c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4"/>
    </row>
    <row r="36" spans="1:18" ht="33" x14ac:dyDescent="0.25">
      <c r="A36" s="12" t="str">
        <f t="shared" si="0"/>
        <v>закпроем</v>
      </c>
      <c r="B36" s="13">
        <f>архикад_закпроём!B35</f>
        <v>0</v>
      </c>
      <c r="C36" s="13"/>
      <c r="D36" s="13" t="str">
        <f>архикад_закпроём!I35</f>
        <v/>
      </c>
      <c r="E36" s="13">
        <f>архикад_закпроём!E35</f>
        <v>0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4"/>
    </row>
    <row r="37" spans="1:18" ht="33" x14ac:dyDescent="0.25">
      <c r="A37" s="12" t="str">
        <f t="shared" si="0"/>
        <v>закпроем</v>
      </c>
      <c r="B37" s="13">
        <f>архикад_закпроём!B36</f>
        <v>0</v>
      </c>
      <c r="C37" s="13"/>
      <c r="D37" s="13" t="str">
        <f>архикад_закпроём!I36</f>
        <v/>
      </c>
      <c r="E37" s="13">
        <f>архикад_закпроём!E36</f>
        <v>0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4"/>
    </row>
    <row r="38" spans="1:18" ht="33" x14ac:dyDescent="0.25">
      <c r="A38" s="12" t="str">
        <f t="shared" si="0"/>
        <v>закпроем</v>
      </c>
      <c r="B38" s="13">
        <f>архикад_закпроём!B37</f>
        <v>0</v>
      </c>
      <c r="C38" s="13"/>
      <c r="D38" s="13" t="str">
        <f>архикад_закпроём!I37</f>
        <v/>
      </c>
      <c r="E38" s="13">
        <f>архикад_закпроём!E37</f>
        <v>0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4"/>
    </row>
    <row r="39" spans="1:18" ht="33" x14ac:dyDescent="0.25">
      <c r="A39" s="12" t="str">
        <f t="shared" si="0"/>
        <v>закпроем</v>
      </c>
      <c r="B39" s="13">
        <f>архикад_закпроём!B38</f>
        <v>0</v>
      </c>
      <c r="C39" s="13"/>
      <c r="D39" s="13" t="str">
        <f>архикад_закпроём!I38</f>
        <v/>
      </c>
      <c r="E39" s="13">
        <f>архикад_закпроём!E38</f>
        <v>0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4"/>
    </row>
    <row r="40" spans="1:18" ht="33" x14ac:dyDescent="0.25">
      <c r="A40" s="12" t="str">
        <f t="shared" si="0"/>
        <v>закпроем</v>
      </c>
      <c r="B40" s="13">
        <f>архикад_закпроём!B39</f>
        <v>0</v>
      </c>
      <c r="C40" s="13"/>
      <c r="D40" s="13" t="str">
        <f>архикад_закпроём!I39</f>
        <v/>
      </c>
      <c r="E40" s="13">
        <f>архикад_закпроём!E39</f>
        <v>0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4"/>
    </row>
    <row r="41" spans="1:18" ht="33" x14ac:dyDescent="0.25">
      <c r="A41" s="12" t="str">
        <f t="shared" si="0"/>
        <v>закпроем</v>
      </c>
      <c r="B41" s="13">
        <f>архикад_закпроём!B40</f>
        <v>0</v>
      </c>
      <c r="C41" s="13"/>
      <c r="D41" s="13" t="str">
        <f>архикад_закпроём!I40</f>
        <v/>
      </c>
      <c r="E41" s="13">
        <f>архикад_закпроём!E40</f>
        <v>0</v>
      </c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</row>
    <row r="42" spans="1:18" ht="33" x14ac:dyDescent="0.25">
      <c r="A42" s="12" t="str">
        <f t="shared" si="0"/>
        <v>закпроем</v>
      </c>
      <c r="B42" s="13">
        <f>архикад_закпроём!B41</f>
        <v>0</v>
      </c>
      <c r="C42" s="13"/>
      <c r="D42" s="13" t="str">
        <f>архикад_закпроём!I41</f>
        <v/>
      </c>
      <c r="E42" s="13">
        <f>архикад_закпроём!E41</f>
        <v>0</v>
      </c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</row>
    <row r="43" spans="1:18" ht="33" x14ac:dyDescent="0.25">
      <c r="A43" s="12" t="str">
        <f t="shared" si="0"/>
        <v>закпроем</v>
      </c>
      <c r="B43" s="13">
        <f>архикад_закпроём!B42</f>
        <v>0</v>
      </c>
      <c r="C43" s="13"/>
      <c r="D43" s="13" t="str">
        <f>архикад_закпроём!I42</f>
        <v/>
      </c>
      <c r="E43" s="13">
        <f>архикад_закпроём!E42</f>
        <v>0</v>
      </c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</row>
    <row r="44" spans="1:18" ht="33" x14ac:dyDescent="0.25">
      <c r="A44" s="12" t="str">
        <f t="shared" si="0"/>
        <v>закпроем</v>
      </c>
      <c r="B44" s="13">
        <f>архикад_закпроём!B43</f>
        <v>0</v>
      </c>
      <c r="C44" s="13"/>
      <c r="D44" s="13" t="str">
        <f>архикад_закпроём!I43</f>
        <v/>
      </c>
      <c r="E44" s="13">
        <f>архикад_закпроём!E43</f>
        <v>0</v>
      </c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4"/>
    </row>
    <row r="45" spans="1:18" ht="33" x14ac:dyDescent="0.25">
      <c r="A45" s="12" t="str">
        <f t="shared" si="0"/>
        <v>закпроем</v>
      </c>
      <c r="B45" s="13">
        <f>архикад_закпроём!B44</f>
        <v>0</v>
      </c>
      <c r="C45" s="13"/>
      <c r="D45" s="13" t="str">
        <f>архикад_закпроём!I44</f>
        <v/>
      </c>
      <c r="E45" s="13">
        <f>архикад_закпроём!E44</f>
        <v>0</v>
      </c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4"/>
    </row>
    <row r="46" spans="1:18" ht="33" x14ac:dyDescent="0.25">
      <c r="A46" s="12" t="str">
        <f t="shared" si="0"/>
        <v>закпроем</v>
      </c>
      <c r="B46" s="13">
        <f>архикад_закпроём!B45</f>
        <v>0</v>
      </c>
      <c r="C46" s="13"/>
      <c r="D46" s="13" t="str">
        <f>архикад_закпроём!I45</f>
        <v/>
      </c>
      <c r="E46" s="13">
        <f>архикад_закпроём!E45</f>
        <v>0</v>
      </c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4"/>
    </row>
    <row r="47" spans="1:18" ht="33" x14ac:dyDescent="0.25">
      <c r="A47" s="12" t="str">
        <f t="shared" si="0"/>
        <v>закпроем</v>
      </c>
      <c r="B47" s="13">
        <f>архикад_закпроём!B46</f>
        <v>0</v>
      </c>
      <c r="C47" s="13"/>
      <c r="D47" s="13" t="str">
        <f>архикад_закпроём!I46</f>
        <v/>
      </c>
      <c r="E47" s="13">
        <f>архикад_закпроём!E46</f>
        <v>0</v>
      </c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4"/>
    </row>
    <row r="48" spans="1:18" ht="33" x14ac:dyDescent="0.25">
      <c r="A48" s="12" t="str">
        <f t="shared" si="0"/>
        <v>закпроем</v>
      </c>
      <c r="B48" s="13">
        <f>архикад_закпроём!B47</f>
        <v>0</v>
      </c>
      <c r="C48" s="13"/>
      <c r="D48" s="13" t="str">
        <f>архикад_закпроём!I47</f>
        <v/>
      </c>
      <c r="E48" s="13">
        <f>архикад_закпроём!E47</f>
        <v>0</v>
      </c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4"/>
    </row>
    <row r="49" spans="1:18" ht="33" x14ac:dyDescent="0.25">
      <c r="A49" s="12" t="str">
        <f t="shared" si="0"/>
        <v>закпроем</v>
      </c>
      <c r="B49" s="13">
        <f>архикад_закпроём!B48</f>
        <v>0</v>
      </c>
      <c r="C49" s="13"/>
      <c r="D49" s="13" t="str">
        <f>архикад_закпроём!I48</f>
        <v/>
      </c>
      <c r="E49" s="13">
        <f>архикад_закпроём!E48</f>
        <v>0</v>
      </c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4"/>
    </row>
    <row r="50" spans="1:18" ht="33" x14ac:dyDescent="0.25">
      <c r="A50" s="12" t="str">
        <f t="shared" si="0"/>
        <v>закпроем</v>
      </c>
      <c r="B50" s="13">
        <f>архикад_закпроём!B49</f>
        <v>0</v>
      </c>
      <c r="C50" s="13"/>
      <c r="D50" s="13" t="str">
        <f>архикад_закпроём!I49</f>
        <v/>
      </c>
      <c r="E50" s="13">
        <f>архикад_закпроём!E49</f>
        <v>0</v>
      </c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4"/>
    </row>
    <row r="51" spans="1:18" ht="33" x14ac:dyDescent="0.25">
      <c r="A51" s="12" t="str">
        <f t="shared" si="0"/>
        <v>закпроем</v>
      </c>
      <c r="B51" s="13">
        <f>архикад_закпроём!B50</f>
        <v>0</v>
      </c>
      <c r="C51" s="13"/>
      <c r="D51" s="13" t="str">
        <f>архикад_закпроём!I50</f>
        <v/>
      </c>
      <c r="E51" s="13">
        <f>архикад_закпроём!E50</f>
        <v>0</v>
      </c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4"/>
    </row>
    <row r="52" spans="1:18" ht="33" x14ac:dyDescent="0.25">
      <c r="A52" s="12" t="str">
        <f t="shared" si="0"/>
        <v>закпроем</v>
      </c>
      <c r="B52" s="13">
        <f>архикад_закпроём!B51</f>
        <v>0</v>
      </c>
      <c r="C52" s="13"/>
      <c r="D52" s="13" t="str">
        <f>архикад_закпроём!I51</f>
        <v/>
      </c>
      <c r="E52" s="13">
        <f>архикад_закпроём!E51</f>
        <v>0</v>
      </c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4"/>
    </row>
    <row r="53" spans="1:18" ht="33" x14ac:dyDescent="0.25">
      <c r="A53" s="12" t="str">
        <f t="shared" si="0"/>
        <v>закпроем</v>
      </c>
      <c r="B53" s="13">
        <f>архикад_закпроём!B52</f>
        <v>0</v>
      </c>
      <c r="C53" s="13"/>
      <c r="D53" s="13" t="str">
        <f>архикад_закпроём!I52</f>
        <v/>
      </c>
      <c r="E53" s="13">
        <f>архикад_закпроём!E52</f>
        <v>0</v>
      </c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4"/>
    </row>
    <row r="54" spans="1:18" ht="33" x14ac:dyDescent="0.25">
      <c r="A54" s="12" t="str">
        <f t="shared" si="0"/>
        <v>закпроем</v>
      </c>
      <c r="B54" s="13">
        <f>архикад_закпроём!B53</f>
        <v>0</v>
      </c>
      <c r="C54" s="13"/>
      <c r="D54" s="13" t="str">
        <f>архикад_закпроём!I53</f>
        <v/>
      </c>
      <c r="E54" s="13">
        <f>архикад_закпроём!E53</f>
        <v>0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4"/>
    </row>
    <row r="55" spans="1:18" ht="33" x14ac:dyDescent="0.25">
      <c r="A55" s="12" t="str">
        <f t="shared" si="0"/>
        <v>закпроем</v>
      </c>
      <c r="B55" s="13">
        <f>архикад_закпроём!B54</f>
        <v>0</v>
      </c>
      <c r="C55" s="13"/>
      <c r="D55" s="13" t="str">
        <f>архикад_закпроём!I54</f>
        <v/>
      </c>
      <c r="E55" s="13">
        <f>архикад_закпроём!E54</f>
        <v>0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4"/>
    </row>
    <row r="56" spans="1:18" ht="33" x14ac:dyDescent="0.25">
      <c r="A56" s="12" t="str">
        <f t="shared" si="0"/>
        <v>закпроем</v>
      </c>
      <c r="B56" s="13">
        <f>архикад_закпроём!B55</f>
        <v>0</v>
      </c>
      <c r="C56" s="13"/>
      <c r="D56" s="13" t="str">
        <f>архикад_закпроём!I55</f>
        <v/>
      </c>
      <c r="E56" s="13">
        <f>архикад_закпроём!E55</f>
        <v>0</v>
      </c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4"/>
    </row>
    <row r="57" spans="1:18" ht="33" x14ac:dyDescent="0.25">
      <c r="A57" s="12" t="str">
        <f t="shared" si="0"/>
        <v>закпроем</v>
      </c>
      <c r="B57" s="13">
        <f>архикад_закпроём!B56</f>
        <v>0</v>
      </c>
      <c r="C57" s="13"/>
      <c r="D57" s="13" t="str">
        <f>архикад_закпроём!I56</f>
        <v/>
      </c>
      <c r="E57" s="13">
        <f>архикад_закпроём!E56</f>
        <v>0</v>
      </c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4"/>
    </row>
    <row r="58" spans="1:18" ht="33" x14ac:dyDescent="0.25">
      <c r="A58" s="12" t="str">
        <f t="shared" si="0"/>
        <v>закпроем</v>
      </c>
      <c r="B58" s="13">
        <f>архикад_закпроём!B57</f>
        <v>0</v>
      </c>
      <c r="C58" s="13"/>
      <c r="D58" s="13" t="str">
        <f>архикад_закпроём!I57</f>
        <v/>
      </c>
      <c r="E58" s="13">
        <f>архикад_закпроём!E57</f>
        <v>0</v>
      </c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4"/>
    </row>
    <row r="59" spans="1:18" ht="33" x14ac:dyDescent="0.25">
      <c r="A59" s="12" t="str">
        <f t="shared" si="0"/>
        <v>закпроем</v>
      </c>
      <c r="B59" s="13">
        <f>архикад_закпроём!B58</f>
        <v>0</v>
      </c>
      <c r="C59" s="13"/>
      <c r="D59" s="13" t="str">
        <f>архикад_закпроём!I58</f>
        <v/>
      </c>
      <c r="E59" s="13">
        <f>архикад_закпроём!E58</f>
        <v>0</v>
      </c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4"/>
    </row>
    <row r="60" spans="1:18" ht="33" x14ac:dyDescent="0.25">
      <c r="A60" s="12" t="str">
        <f t="shared" si="0"/>
        <v>закпроем</v>
      </c>
      <c r="B60" s="13">
        <f>архикад_закпроём!B59</f>
        <v>0</v>
      </c>
      <c r="C60" s="13"/>
      <c r="D60" s="13" t="str">
        <f>архикад_закпроём!I59</f>
        <v/>
      </c>
      <c r="E60" s="13">
        <f>архикад_закпроём!E59</f>
        <v>0</v>
      </c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4"/>
    </row>
    <row r="61" spans="1:18" ht="33" x14ac:dyDescent="0.25">
      <c r="A61" s="12" t="str">
        <f t="shared" si="0"/>
        <v>закпроем</v>
      </c>
      <c r="B61" s="13">
        <f>архикад_закпроём!B60</f>
        <v>0</v>
      </c>
      <c r="C61" s="13"/>
      <c r="D61" s="13" t="str">
        <f>архикад_закпроём!I60</f>
        <v/>
      </c>
      <c r="E61" s="13">
        <f>архикад_закпроём!E60</f>
        <v>0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4"/>
    </row>
    <row r="62" spans="1:18" ht="33" x14ac:dyDescent="0.25">
      <c r="A62" s="12" t="str">
        <f t="shared" si="0"/>
        <v>закпроем</v>
      </c>
      <c r="B62" s="13">
        <f>архикад_закпроём!B61</f>
        <v>0</v>
      </c>
      <c r="C62" s="13"/>
      <c r="D62" s="13" t="str">
        <f>архикад_закпроём!I61</f>
        <v/>
      </c>
      <c r="E62" s="13">
        <f>архикад_закпроём!E61</f>
        <v>0</v>
      </c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4"/>
    </row>
    <row r="63" spans="1:18" ht="33" x14ac:dyDescent="0.25">
      <c r="A63" s="12" t="str">
        <f t="shared" si="0"/>
        <v>закпроем</v>
      </c>
      <c r="B63" s="13">
        <f>архикад_закпроём!B62</f>
        <v>0</v>
      </c>
      <c r="C63" s="13"/>
      <c r="D63" s="13" t="str">
        <f>архикад_закпроём!I62</f>
        <v/>
      </c>
      <c r="E63" s="13">
        <f>архикад_закпроём!E62</f>
        <v>0</v>
      </c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4"/>
    </row>
    <row r="64" spans="1:18" ht="33" x14ac:dyDescent="0.25">
      <c r="A64" s="12" t="str">
        <f t="shared" si="0"/>
        <v>закпроем</v>
      </c>
      <c r="B64" s="13">
        <f>архикад_закпроём!B63</f>
        <v>0</v>
      </c>
      <c r="C64" s="13"/>
      <c r="D64" s="13" t="str">
        <f>архикад_закпроём!I63</f>
        <v/>
      </c>
      <c r="E64" s="13">
        <f>архикад_закпроём!E63</f>
        <v>0</v>
      </c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4"/>
    </row>
    <row r="65" spans="1:18" ht="33" x14ac:dyDescent="0.25">
      <c r="A65" s="12" t="str">
        <f t="shared" si="0"/>
        <v>закпроем</v>
      </c>
      <c r="B65" s="13">
        <f>архикад_закпроём!B64</f>
        <v>0</v>
      </c>
      <c r="C65" s="13"/>
      <c r="D65" s="13" t="str">
        <f>архикад_закпроём!I64</f>
        <v/>
      </c>
      <c r="E65" s="13">
        <f>архикад_закпроём!E64</f>
        <v>0</v>
      </c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4"/>
    </row>
    <row r="66" spans="1:18" ht="33" x14ac:dyDescent="0.25">
      <c r="A66" s="12" t="str">
        <f t="shared" si="0"/>
        <v>закпроем</v>
      </c>
      <c r="B66" s="13">
        <f>архикад_закпроём!B65</f>
        <v>0</v>
      </c>
      <c r="C66" s="13"/>
      <c r="D66" s="13" t="str">
        <f>архикад_закпроём!I65</f>
        <v/>
      </c>
      <c r="E66" s="13">
        <f>архикад_закпроём!E65</f>
        <v>0</v>
      </c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4"/>
    </row>
    <row r="67" spans="1:18" ht="33" x14ac:dyDescent="0.25">
      <c r="A67" s="12" t="str">
        <f t="shared" si="0"/>
        <v>закпроем</v>
      </c>
      <c r="B67" s="13">
        <f>архикад_закпроём!B66</f>
        <v>0</v>
      </c>
      <c r="C67" s="13"/>
      <c r="D67" s="13" t="str">
        <f>архикад_закпроём!I66</f>
        <v/>
      </c>
      <c r="E67" s="13">
        <f>архикад_закпроём!E66</f>
        <v>0</v>
      </c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4"/>
    </row>
    <row r="68" spans="1:18" ht="33" x14ac:dyDescent="0.25">
      <c r="A68" s="12" t="str">
        <f t="shared" si="0"/>
        <v>закпроем</v>
      </c>
      <c r="B68" s="13">
        <f>архикад_закпроём!B67</f>
        <v>0</v>
      </c>
      <c r="C68" s="13"/>
      <c r="D68" s="13" t="str">
        <f>архикад_закпроём!I67</f>
        <v/>
      </c>
      <c r="E68" s="13">
        <f>архикад_закпроём!E67</f>
        <v>0</v>
      </c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4"/>
    </row>
    <row r="69" spans="1:18" ht="33" x14ac:dyDescent="0.25">
      <c r="A69" s="12" t="str">
        <f t="shared" ref="A69:A132" si="1">A68</f>
        <v>закпроем</v>
      </c>
      <c r="B69" s="13">
        <f>архикад_закпроём!B68</f>
        <v>0</v>
      </c>
      <c r="C69" s="13"/>
      <c r="D69" s="13" t="str">
        <f>архикад_закпроём!I68</f>
        <v/>
      </c>
      <c r="E69" s="13">
        <f>архикад_закпроём!E68</f>
        <v>0</v>
      </c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4"/>
    </row>
    <row r="70" spans="1:18" ht="33" x14ac:dyDescent="0.25">
      <c r="A70" s="12" t="str">
        <f t="shared" si="1"/>
        <v>закпроем</v>
      </c>
      <c r="B70" s="13">
        <f>архикад_закпроём!B69</f>
        <v>0</v>
      </c>
      <c r="C70" s="13"/>
      <c r="D70" s="13" t="str">
        <f>архикад_закпроём!I69</f>
        <v/>
      </c>
      <c r="E70" s="13">
        <f>архикад_закпроём!E69</f>
        <v>0</v>
      </c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4"/>
    </row>
    <row r="71" spans="1:18" ht="33" x14ac:dyDescent="0.25">
      <c r="A71" s="12" t="str">
        <f t="shared" si="1"/>
        <v>закпроем</v>
      </c>
      <c r="B71" s="13">
        <f>архикад_закпроём!B70</f>
        <v>0</v>
      </c>
      <c r="C71" s="13"/>
      <c r="D71" s="13" t="str">
        <f>архикад_закпроём!I70</f>
        <v/>
      </c>
      <c r="E71" s="13">
        <f>архикад_закпроём!E70</f>
        <v>0</v>
      </c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4"/>
    </row>
    <row r="72" spans="1:18" ht="33" x14ac:dyDescent="0.25">
      <c r="A72" s="12" t="str">
        <f t="shared" si="1"/>
        <v>закпроем</v>
      </c>
      <c r="B72" s="13">
        <f>архикад_закпроём!B71</f>
        <v>0</v>
      </c>
      <c r="C72" s="13"/>
      <c r="D72" s="13" t="str">
        <f>архикад_закпроём!I71</f>
        <v/>
      </c>
      <c r="E72" s="13">
        <f>архикад_закпроём!E71</f>
        <v>0</v>
      </c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4"/>
    </row>
    <row r="73" spans="1:18" ht="33" x14ac:dyDescent="0.25">
      <c r="A73" s="12" t="str">
        <f t="shared" si="1"/>
        <v>закпроем</v>
      </c>
      <c r="B73" s="13">
        <f>архикад_закпроём!B72</f>
        <v>0</v>
      </c>
      <c r="C73" s="13"/>
      <c r="D73" s="13" t="str">
        <f>архикад_закпроём!I72</f>
        <v/>
      </c>
      <c r="E73" s="13">
        <f>архикад_закпроём!E72</f>
        <v>0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4"/>
    </row>
    <row r="74" spans="1:18" ht="33" x14ac:dyDescent="0.25">
      <c r="A74" s="12" t="str">
        <f t="shared" si="1"/>
        <v>закпроем</v>
      </c>
      <c r="B74" s="13">
        <f>архикад_закпроём!B73</f>
        <v>0</v>
      </c>
      <c r="C74" s="13"/>
      <c r="D74" s="13" t="str">
        <f>архикад_закпроём!I73</f>
        <v/>
      </c>
      <c r="E74" s="13">
        <f>архикад_закпроём!E73</f>
        <v>0</v>
      </c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4"/>
    </row>
    <row r="75" spans="1:18" ht="33" x14ac:dyDescent="0.25">
      <c r="A75" s="12" t="str">
        <f t="shared" si="1"/>
        <v>закпроем</v>
      </c>
      <c r="B75" s="13">
        <f>архикад_закпроём!B74</f>
        <v>0</v>
      </c>
      <c r="C75" s="13"/>
      <c r="D75" s="13" t="str">
        <f>архикад_закпроём!I74</f>
        <v/>
      </c>
      <c r="E75" s="13">
        <f>архикад_закпроём!E74</f>
        <v>0</v>
      </c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4"/>
    </row>
    <row r="76" spans="1:18" ht="33" x14ac:dyDescent="0.25">
      <c r="A76" s="12" t="str">
        <f t="shared" si="1"/>
        <v>закпроем</v>
      </c>
      <c r="B76" s="13">
        <f>архикад_закпроём!B75</f>
        <v>0</v>
      </c>
      <c r="C76" s="13"/>
      <c r="D76" s="13" t="str">
        <f>архикад_закпроём!I75</f>
        <v/>
      </c>
      <c r="E76" s="13">
        <f>архикад_закпроём!E75</f>
        <v>0</v>
      </c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4"/>
    </row>
    <row r="77" spans="1:18" ht="33" x14ac:dyDescent="0.25">
      <c r="A77" s="12" t="str">
        <f t="shared" si="1"/>
        <v>закпроем</v>
      </c>
      <c r="B77" s="13">
        <f>архикад_закпроём!B76</f>
        <v>0</v>
      </c>
      <c r="C77" s="13"/>
      <c r="D77" s="13" t="str">
        <f>архикад_закпроём!I76</f>
        <v/>
      </c>
      <c r="E77" s="13">
        <f>архикад_закпроём!E76</f>
        <v>0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4"/>
    </row>
    <row r="78" spans="1:18" ht="33" x14ac:dyDescent="0.25">
      <c r="A78" s="12" t="str">
        <f t="shared" si="1"/>
        <v>закпроем</v>
      </c>
      <c r="B78" s="13">
        <f>архикад_закпроём!B77</f>
        <v>0</v>
      </c>
      <c r="C78" s="13"/>
      <c r="D78" s="13" t="str">
        <f>архикад_закпроём!I77</f>
        <v/>
      </c>
      <c r="E78" s="13">
        <f>архикад_закпроём!E77</f>
        <v>0</v>
      </c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4"/>
    </row>
    <row r="79" spans="1:18" ht="33" x14ac:dyDescent="0.25">
      <c r="A79" s="12" t="str">
        <f t="shared" si="1"/>
        <v>закпроем</v>
      </c>
      <c r="B79" s="13">
        <f>архикад_закпроём!B78</f>
        <v>0</v>
      </c>
      <c r="C79" s="13"/>
      <c r="D79" s="13" t="str">
        <f>архикад_закпроём!I78</f>
        <v/>
      </c>
      <c r="E79" s="13">
        <f>архикад_закпроём!E78</f>
        <v>0</v>
      </c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4"/>
    </row>
    <row r="80" spans="1:18" ht="33" x14ac:dyDescent="0.25">
      <c r="A80" s="12" t="str">
        <f t="shared" si="1"/>
        <v>закпроем</v>
      </c>
      <c r="B80" s="13">
        <f>архикад_закпроём!B79</f>
        <v>0</v>
      </c>
      <c r="C80" s="13"/>
      <c r="D80" s="13" t="str">
        <f>архикад_закпроём!I79</f>
        <v/>
      </c>
      <c r="E80" s="13">
        <f>архикад_закпроём!E79</f>
        <v>0</v>
      </c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4"/>
    </row>
    <row r="81" spans="1:18" ht="33" x14ac:dyDescent="0.25">
      <c r="A81" s="12" t="str">
        <f t="shared" si="1"/>
        <v>закпроем</v>
      </c>
      <c r="B81" s="13">
        <f>архикад_закпроём!B80</f>
        <v>0</v>
      </c>
      <c r="C81" s="13"/>
      <c r="D81" s="13" t="str">
        <f>архикад_закпроём!I80</f>
        <v/>
      </c>
      <c r="E81" s="13">
        <f>архикад_закпроём!E80</f>
        <v>0</v>
      </c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4"/>
    </row>
    <row r="82" spans="1:18" ht="33" x14ac:dyDescent="0.25">
      <c r="A82" s="12" t="str">
        <f t="shared" si="1"/>
        <v>закпроем</v>
      </c>
      <c r="B82" s="13">
        <f>архикад_закпроём!B81</f>
        <v>0</v>
      </c>
      <c r="C82" s="13"/>
      <c r="D82" s="13" t="str">
        <f>архикад_закпроём!I81</f>
        <v/>
      </c>
      <c r="E82" s="13">
        <f>архикад_закпроём!E81</f>
        <v>0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4"/>
    </row>
    <row r="83" spans="1:18" ht="33" x14ac:dyDescent="0.25">
      <c r="A83" s="12" t="str">
        <f t="shared" si="1"/>
        <v>закпроем</v>
      </c>
      <c r="B83" s="13">
        <f>архикад_закпроём!B82</f>
        <v>0</v>
      </c>
      <c r="C83" s="13"/>
      <c r="D83" s="13" t="str">
        <f>архикад_закпроём!I82</f>
        <v/>
      </c>
      <c r="E83" s="13">
        <f>архикад_закпроём!E82</f>
        <v>0</v>
      </c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4"/>
    </row>
    <row r="84" spans="1:18" ht="33" x14ac:dyDescent="0.25">
      <c r="A84" s="12" t="str">
        <f t="shared" si="1"/>
        <v>закпроем</v>
      </c>
      <c r="B84" s="13">
        <f>архикад_закпроём!B83</f>
        <v>0</v>
      </c>
      <c r="C84" s="13"/>
      <c r="D84" s="13" t="str">
        <f>архикад_закпроём!I83</f>
        <v/>
      </c>
      <c r="E84" s="13">
        <f>архикад_закпроём!E83</f>
        <v>0</v>
      </c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4"/>
    </row>
    <row r="85" spans="1:18" ht="33" x14ac:dyDescent="0.25">
      <c r="A85" s="12" t="str">
        <f t="shared" si="1"/>
        <v>закпроем</v>
      </c>
      <c r="B85" s="13">
        <f>архикад_закпроём!B84</f>
        <v>0</v>
      </c>
      <c r="C85" s="13"/>
      <c r="D85" s="13" t="str">
        <f>архикад_закпроём!I84</f>
        <v/>
      </c>
      <c r="E85" s="13">
        <f>архикад_закпроём!E84</f>
        <v>0</v>
      </c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4"/>
    </row>
    <row r="86" spans="1:18" ht="33" x14ac:dyDescent="0.25">
      <c r="A86" s="12" t="str">
        <f t="shared" si="1"/>
        <v>закпроем</v>
      </c>
      <c r="B86" s="13">
        <f>архикад_закпроём!B85</f>
        <v>0</v>
      </c>
      <c r="C86" s="13"/>
      <c r="D86" s="13" t="str">
        <f>архикад_закпроём!I85</f>
        <v/>
      </c>
      <c r="E86" s="13">
        <f>архикад_закпроём!E85</f>
        <v>0</v>
      </c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4"/>
    </row>
    <row r="87" spans="1:18" ht="33" x14ac:dyDescent="0.25">
      <c r="A87" s="12" t="str">
        <f t="shared" si="1"/>
        <v>закпроем</v>
      </c>
      <c r="B87" s="13">
        <f>архикад_закпроём!B86</f>
        <v>0</v>
      </c>
      <c r="C87" s="13"/>
      <c r="D87" s="13" t="str">
        <f>архикад_закпроём!I86</f>
        <v/>
      </c>
      <c r="E87" s="13">
        <f>архикад_закпроём!E86</f>
        <v>0</v>
      </c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4"/>
    </row>
    <row r="88" spans="1:18" ht="33" x14ac:dyDescent="0.25">
      <c r="A88" s="12" t="str">
        <f t="shared" si="1"/>
        <v>закпроем</v>
      </c>
      <c r="B88" s="13">
        <f>архикад_закпроём!B87</f>
        <v>0</v>
      </c>
      <c r="C88" s="13"/>
      <c r="D88" s="13" t="str">
        <f>архикад_закпроём!I87</f>
        <v/>
      </c>
      <c r="E88" s="13">
        <f>архикад_закпроём!E87</f>
        <v>0</v>
      </c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4"/>
    </row>
    <row r="89" spans="1:18" ht="33" x14ac:dyDescent="0.25">
      <c r="A89" s="12" t="str">
        <f t="shared" si="1"/>
        <v>закпроем</v>
      </c>
      <c r="B89" s="13">
        <f>архикад_закпроём!B88</f>
        <v>0</v>
      </c>
      <c r="C89" s="13"/>
      <c r="D89" s="13" t="str">
        <f>архикад_закпроём!I88</f>
        <v/>
      </c>
      <c r="E89" s="13">
        <f>архикад_закпроём!E88</f>
        <v>0</v>
      </c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4"/>
    </row>
    <row r="90" spans="1:18" ht="33" x14ac:dyDescent="0.25">
      <c r="A90" s="12" t="str">
        <f t="shared" si="1"/>
        <v>закпроем</v>
      </c>
      <c r="B90" s="13">
        <f>архикад_закпроём!B89</f>
        <v>0</v>
      </c>
      <c r="C90" s="13"/>
      <c r="D90" s="13" t="str">
        <f>архикад_закпроём!I89</f>
        <v/>
      </c>
      <c r="E90" s="13">
        <f>архикад_закпроём!E89</f>
        <v>0</v>
      </c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4"/>
    </row>
    <row r="91" spans="1:18" ht="33" x14ac:dyDescent="0.25">
      <c r="A91" s="12" t="str">
        <f t="shared" si="1"/>
        <v>закпроем</v>
      </c>
      <c r="B91" s="13">
        <f>архикад_закпроём!B90</f>
        <v>0</v>
      </c>
      <c r="C91" s="13"/>
      <c r="D91" s="13" t="str">
        <f>архикад_закпроём!I90</f>
        <v/>
      </c>
      <c r="E91" s="13">
        <f>архикад_закпроём!E90</f>
        <v>0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4"/>
    </row>
    <row r="92" spans="1:18" ht="33" x14ac:dyDescent="0.25">
      <c r="A92" s="12" t="str">
        <f t="shared" si="1"/>
        <v>закпроем</v>
      </c>
      <c r="B92" s="13">
        <f>архикад_закпроём!B91</f>
        <v>0</v>
      </c>
      <c r="C92" s="13"/>
      <c r="D92" s="13" t="str">
        <f>архикад_закпроём!I91</f>
        <v/>
      </c>
      <c r="E92" s="13">
        <f>архикад_закпроём!E91</f>
        <v>0</v>
      </c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4"/>
    </row>
    <row r="93" spans="1:18" ht="33" x14ac:dyDescent="0.25">
      <c r="A93" s="12" t="str">
        <f t="shared" si="1"/>
        <v>закпроем</v>
      </c>
      <c r="B93" s="13">
        <f>архикад_закпроём!B92</f>
        <v>0</v>
      </c>
      <c r="C93" s="13"/>
      <c r="D93" s="13" t="str">
        <f>архикад_закпроём!I92</f>
        <v/>
      </c>
      <c r="E93" s="13">
        <f>архикад_закпроём!E92</f>
        <v>0</v>
      </c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4"/>
    </row>
    <row r="94" spans="1:18" ht="33" x14ac:dyDescent="0.25">
      <c r="A94" s="12" t="str">
        <f t="shared" si="1"/>
        <v>закпроем</v>
      </c>
      <c r="B94" s="13">
        <f>архикад_закпроём!B93</f>
        <v>0</v>
      </c>
      <c r="C94" s="13"/>
      <c r="D94" s="13" t="str">
        <f>архикад_закпроём!I93</f>
        <v/>
      </c>
      <c r="E94" s="13">
        <f>архикад_закпроём!E93</f>
        <v>0</v>
      </c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4"/>
    </row>
    <row r="95" spans="1:18" ht="33" x14ac:dyDescent="0.25">
      <c r="A95" s="12" t="str">
        <f t="shared" si="1"/>
        <v>закпроем</v>
      </c>
      <c r="B95" s="13">
        <f>архикад_закпроём!B94</f>
        <v>0</v>
      </c>
      <c r="C95" s="13"/>
      <c r="D95" s="13" t="str">
        <f>архикад_закпроём!I94</f>
        <v/>
      </c>
      <c r="E95" s="13">
        <f>архикад_закпроём!E94</f>
        <v>0</v>
      </c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4"/>
    </row>
    <row r="96" spans="1:18" ht="33" x14ac:dyDescent="0.25">
      <c r="A96" s="12" t="str">
        <f t="shared" si="1"/>
        <v>закпроем</v>
      </c>
      <c r="B96" s="13">
        <f>архикад_закпроём!B95</f>
        <v>0</v>
      </c>
      <c r="C96" s="13"/>
      <c r="D96" s="13" t="str">
        <f>архикад_закпроём!I95</f>
        <v/>
      </c>
      <c r="E96" s="13">
        <f>архикад_закпроём!E95</f>
        <v>0</v>
      </c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4"/>
    </row>
    <row r="97" spans="1:18" ht="33" x14ac:dyDescent="0.25">
      <c r="A97" s="12" t="str">
        <f t="shared" si="1"/>
        <v>закпроем</v>
      </c>
      <c r="B97" s="13">
        <f>архикад_закпроём!B96</f>
        <v>0</v>
      </c>
      <c r="C97" s="13"/>
      <c r="D97" s="13" t="str">
        <f>архикад_закпроём!I96</f>
        <v/>
      </c>
      <c r="E97" s="13">
        <f>архикад_закпроём!E96</f>
        <v>0</v>
      </c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4"/>
    </row>
    <row r="98" spans="1:18" ht="33" x14ac:dyDescent="0.25">
      <c r="A98" s="12" t="str">
        <f t="shared" si="1"/>
        <v>закпроем</v>
      </c>
      <c r="B98" s="13">
        <f>архикад_закпроём!B97</f>
        <v>0</v>
      </c>
      <c r="C98" s="13"/>
      <c r="D98" s="13" t="str">
        <f>архикад_закпроём!I97</f>
        <v/>
      </c>
      <c r="E98" s="13">
        <f>архикад_закпроём!E97</f>
        <v>0</v>
      </c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4"/>
    </row>
    <row r="99" spans="1:18" ht="33" x14ac:dyDescent="0.25">
      <c r="A99" s="12" t="str">
        <f t="shared" si="1"/>
        <v>закпроем</v>
      </c>
      <c r="B99" s="13">
        <f>архикад_закпроём!B98</f>
        <v>0</v>
      </c>
      <c r="C99" s="13"/>
      <c r="D99" s="13" t="str">
        <f>архикад_закпроём!I98</f>
        <v/>
      </c>
      <c r="E99" s="13">
        <f>архикад_закпроём!E98</f>
        <v>0</v>
      </c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4"/>
    </row>
    <row r="100" spans="1:18" ht="33" x14ac:dyDescent="0.25">
      <c r="A100" s="12" t="str">
        <f t="shared" si="1"/>
        <v>закпроем</v>
      </c>
      <c r="B100" s="13">
        <f>архикад_закпроём!B99</f>
        <v>0</v>
      </c>
      <c r="C100" s="13"/>
      <c r="D100" s="13" t="str">
        <f>архикад_закпроём!I99</f>
        <v/>
      </c>
      <c r="E100" s="13">
        <f>архикад_закпроём!E99</f>
        <v>0</v>
      </c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4"/>
    </row>
    <row r="101" spans="1:18" ht="33" x14ac:dyDescent="0.25">
      <c r="A101" s="12" t="str">
        <f t="shared" si="1"/>
        <v>закпроем</v>
      </c>
      <c r="B101" s="13">
        <f>архикад_закпроём!B100</f>
        <v>0</v>
      </c>
      <c r="C101" s="13"/>
      <c r="D101" s="13" t="str">
        <f>архикад_закпроём!I100</f>
        <v/>
      </c>
      <c r="E101" s="13">
        <f>архикад_закпроём!E100</f>
        <v>0</v>
      </c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4"/>
    </row>
    <row r="102" spans="1:18" ht="33" x14ac:dyDescent="0.25">
      <c r="A102" s="12" t="str">
        <f t="shared" si="1"/>
        <v>закпроем</v>
      </c>
      <c r="B102" s="13">
        <f>архикад_закпроём!B101</f>
        <v>0</v>
      </c>
      <c r="C102" s="13"/>
      <c r="D102" s="13" t="str">
        <f>архикад_закпроём!I101</f>
        <v/>
      </c>
      <c r="E102" s="13">
        <f>архикад_закпроём!E101</f>
        <v>0</v>
      </c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4"/>
    </row>
    <row r="103" spans="1:18" ht="33" x14ac:dyDescent="0.25">
      <c r="A103" s="12" t="str">
        <f t="shared" si="1"/>
        <v>закпроем</v>
      </c>
      <c r="B103" s="13">
        <f>архикад_закпроём!B102</f>
        <v>0</v>
      </c>
      <c r="C103" s="13"/>
      <c r="D103" s="13" t="str">
        <f>архикад_закпроём!I102</f>
        <v/>
      </c>
      <c r="E103" s="13">
        <f>архикад_закпроём!E102</f>
        <v>0</v>
      </c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4"/>
    </row>
    <row r="104" spans="1:18" ht="33" x14ac:dyDescent="0.25">
      <c r="A104" s="12" t="str">
        <f t="shared" si="1"/>
        <v>закпроем</v>
      </c>
      <c r="B104" s="13">
        <f>архикад_закпроём!B103</f>
        <v>0</v>
      </c>
      <c r="C104" s="13"/>
      <c r="D104" s="13" t="str">
        <f>архикад_закпроём!I103</f>
        <v/>
      </c>
      <c r="E104" s="13">
        <f>архикад_закпроём!E103</f>
        <v>0</v>
      </c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4"/>
    </row>
    <row r="105" spans="1:18" ht="33" x14ac:dyDescent="0.25">
      <c r="A105" s="12" t="str">
        <f t="shared" si="1"/>
        <v>закпроем</v>
      </c>
      <c r="B105" s="13">
        <f>архикад_закпроём!B104</f>
        <v>0</v>
      </c>
      <c r="C105" s="13"/>
      <c r="D105" s="13" t="str">
        <f>архикад_закпроём!I104</f>
        <v/>
      </c>
      <c r="E105" s="13">
        <f>архикад_закпроём!E104</f>
        <v>0</v>
      </c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4"/>
    </row>
    <row r="106" spans="1:18" ht="33" x14ac:dyDescent="0.25">
      <c r="A106" s="12" t="str">
        <f t="shared" si="1"/>
        <v>закпроем</v>
      </c>
      <c r="B106" s="13">
        <f>архикад_закпроём!B105</f>
        <v>0</v>
      </c>
      <c r="C106" s="13"/>
      <c r="D106" s="13" t="str">
        <f>архикад_закпроём!I105</f>
        <v/>
      </c>
      <c r="E106" s="13">
        <f>архикад_закпроём!E105</f>
        <v>0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4"/>
    </row>
    <row r="107" spans="1:18" ht="33" x14ac:dyDescent="0.25">
      <c r="A107" s="12" t="str">
        <f t="shared" si="1"/>
        <v>закпроем</v>
      </c>
      <c r="B107" s="13">
        <f>архикад_закпроём!B106</f>
        <v>0</v>
      </c>
      <c r="C107" s="13"/>
      <c r="D107" s="13" t="str">
        <f>архикад_закпроём!I106</f>
        <v/>
      </c>
      <c r="E107" s="13">
        <f>архикад_закпроём!E106</f>
        <v>0</v>
      </c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4"/>
    </row>
    <row r="108" spans="1:18" ht="33" x14ac:dyDescent="0.25">
      <c r="A108" s="12" t="str">
        <f t="shared" si="1"/>
        <v>закпроем</v>
      </c>
      <c r="B108" s="13">
        <f>архикад_закпроём!B107</f>
        <v>0</v>
      </c>
      <c r="C108" s="13"/>
      <c r="D108" s="13" t="str">
        <f>архикад_закпроём!I107</f>
        <v/>
      </c>
      <c r="E108" s="13">
        <f>архикад_закпроём!E107</f>
        <v>0</v>
      </c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4"/>
    </row>
    <row r="109" spans="1:18" ht="33" x14ac:dyDescent="0.25">
      <c r="A109" s="12" t="str">
        <f t="shared" si="1"/>
        <v>закпроем</v>
      </c>
      <c r="B109" s="13">
        <f>архикад_закпроём!B108</f>
        <v>0</v>
      </c>
      <c r="C109" s="13"/>
      <c r="D109" s="13" t="str">
        <f>архикад_закпроём!I108</f>
        <v/>
      </c>
      <c r="E109" s="13">
        <f>архикад_закпроём!E108</f>
        <v>0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4"/>
    </row>
    <row r="110" spans="1:18" ht="33" x14ac:dyDescent="0.25">
      <c r="A110" s="12" t="str">
        <f t="shared" si="1"/>
        <v>закпроем</v>
      </c>
      <c r="B110" s="13">
        <f>архикад_закпроём!B109</f>
        <v>0</v>
      </c>
      <c r="C110" s="13"/>
      <c r="D110" s="13" t="str">
        <f>архикад_закпроём!I109</f>
        <v/>
      </c>
      <c r="E110" s="13">
        <f>архикад_закпроём!E109</f>
        <v>0</v>
      </c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4"/>
    </row>
    <row r="111" spans="1:18" ht="33" x14ac:dyDescent="0.25">
      <c r="A111" s="12" t="str">
        <f t="shared" si="1"/>
        <v>закпроем</v>
      </c>
      <c r="B111" s="13">
        <f>архикад_закпроём!B110</f>
        <v>0</v>
      </c>
      <c r="C111" s="13"/>
      <c r="D111" s="13" t="str">
        <f>архикад_закпроём!I110</f>
        <v/>
      </c>
      <c r="E111" s="13">
        <f>архикад_закпроём!E110</f>
        <v>0</v>
      </c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4"/>
    </row>
    <row r="112" spans="1:18" ht="33" x14ac:dyDescent="0.25">
      <c r="A112" s="12" t="str">
        <f t="shared" si="1"/>
        <v>закпроем</v>
      </c>
      <c r="B112" s="13">
        <f>архикад_закпроём!B111</f>
        <v>0</v>
      </c>
      <c r="C112" s="13"/>
      <c r="D112" s="13" t="str">
        <f>архикад_закпроём!I111</f>
        <v/>
      </c>
      <c r="E112" s="13">
        <f>архикад_закпроём!E111</f>
        <v>0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4"/>
    </row>
    <row r="113" spans="1:18" ht="33" x14ac:dyDescent="0.25">
      <c r="A113" s="12" t="str">
        <f t="shared" si="1"/>
        <v>закпроем</v>
      </c>
      <c r="B113" s="13">
        <f>архикад_закпроём!B112</f>
        <v>0</v>
      </c>
      <c r="C113" s="13"/>
      <c r="D113" s="13" t="str">
        <f>архикад_закпроём!I112</f>
        <v/>
      </c>
      <c r="E113" s="13">
        <f>архикад_закпроём!E112</f>
        <v>0</v>
      </c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4"/>
    </row>
    <row r="114" spans="1:18" ht="33" x14ac:dyDescent="0.25">
      <c r="A114" s="12" t="str">
        <f t="shared" si="1"/>
        <v>закпроем</v>
      </c>
      <c r="B114" s="13">
        <f>архикад_закпроём!B113</f>
        <v>0</v>
      </c>
      <c r="C114" s="13"/>
      <c r="D114" s="13" t="str">
        <f>архикад_закпроём!I113</f>
        <v/>
      </c>
      <c r="E114" s="13">
        <f>архикад_закпроём!E113</f>
        <v>0</v>
      </c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4"/>
    </row>
    <row r="115" spans="1:18" ht="33" x14ac:dyDescent="0.25">
      <c r="A115" s="12" t="str">
        <f t="shared" si="1"/>
        <v>закпроем</v>
      </c>
      <c r="B115" s="13">
        <f>архикад_закпроём!B114</f>
        <v>0</v>
      </c>
      <c r="C115" s="13"/>
      <c r="D115" s="13" t="str">
        <f>архикад_закпроём!I114</f>
        <v/>
      </c>
      <c r="E115" s="13">
        <f>архикад_закпроём!E114</f>
        <v>0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4"/>
    </row>
    <row r="116" spans="1:18" ht="33" x14ac:dyDescent="0.25">
      <c r="A116" s="12" t="str">
        <f t="shared" si="1"/>
        <v>закпроем</v>
      </c>
      <c r="B116" s="13">
        <f>архикад_закпроём!B115</f>
        <v>0</v>
      </c>
      <c r="C116" s="13"/>
      <c r="D116" s="13" t="str">
        <f>архикад_закпроём!I115</f>
        <v/>
      </c>
      <c r="E116" s="13">
        <f>архикад_закпроём!E115</f>
        <v>0</v>
      </c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4"/>
    </row>
    <row r="117" spans="1:18" ht="33" x14ac:dyDescent="0.25">
      <c r="A117" s="12" t="str">
        <f t="shared" si="1"/>
        <v>закпроем</v>
      </c>
      <c r="B117" s="13">
        <f>архикад_закпроём!B116</f>
        <v>0</v>
      </c>
      <c r="C117" s="13"/>
      <c r="D117" s="13" t="str">
        <f>архикад_закпроём!I116</f>
        <v/>
      </c>
      <c r="E117" s="13">
        <f>архикад_закпроём!E116</f>
        <v>0</v>
      </c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4"/>
    </row>
    <row r="118" spans="1:18" ht="33" x14ac:dyDescent="0.25">
      <c r="A118" s="12" t="str">
        <f t="shared" si="1"/>
        <v>закпроем</v>
      </c>
      <c r="B118" s="13">
        <f>архикад_закпроём!B117</f>
        <v>0</v>
      </c>
      <c r="C118" s="13"/>
      <c r="D118" s="13" t="str">
        <f>архикад_закпроём!I117</f>
        <v/>
      </c>
      <c r="E118" s="13">
        <f>архикад_закпроём!E117</f>
        <v>0</v>
      </c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4"/>
    </row>
    <row r="119" spans="1:18" ht="33" x14ac:dyDescent="0.25">
      <c r="A119" s="12" t="str">
        <f t="shared" si="1"/>
        <v>закпроем</v>
      </c>
      <c r="B119" s="13">
        <f>архикад_закпроём!B118</f>
        <v>0</v>
      </c>
      <c r="C119" s="13"/>
      <c r="D119" s="13" t="str">
        <f>архикад_закпроём!I118</f>
        <v/>
      </c>
      <c r="E119" s="13">
        <f>архикад_закпроём!E118</f>
        <v>0</v>
      </c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4"/>
    </row>
    <row r="120" spans="1:18" ht="33" x14ac:dyDescent="0.25">
      <c r="A120" s="12" t="str">
        <f t="shared" si="1"/>
        <v>закпроем</v>
      </c>
      <c r="B120" s="13">
        <f>архикад_закпроём!B119</f>
        <v>0</v>
      </c>
      <c r="C120" s="13"/>
      <c r="D120" s="13" t="str">
        <f>архикад_закпроём!I119</f>
        <v/>
      </c>
      <c r="E120" s="13">
        <f>архикад_закпроём!E119</f>
        <v>0</v>
      </c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4"/>
    </row>
    <row r="121" spans="1:18" ht="33" x14ac:dyDescent="0.25">
      <c r="A121" s="12" t="str">
        <f t="shared" si="1"/>
        <v>закпроем</v>
      </c>
      <c r="B121" s="13">
        <f>архикад_закпроём!B120</f>
        <v>0</v>
      </c>
      <c r="C121" s="13"/>
      <c r="D121" s="13" t="str">
        <f>архикад_закпроём!I120</f>
        <v/>
      </c>
      <c r="E121" s="13">
        <f>архикад_закпроём!E120</f>
        <v>0</v>
      </c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4"/>
    </row>
    <row r="122" spans="1:18" ht="33" x14ac:dyDescent="0.25">
      <c r="A122" s="12" t="str">
        <f t="shared" si="1"/>
        <v>закпроем</v>
      </c>
      <c r="B122" s="13">
        <f>архикад_закпроём!B121</f>
        <v>0</v>
      </c>
      <c r="C122" s="13"/>
      <c r="D122" s="13" t="str">
        <f>архикад_закпроём!I121</f>
        <v/>
      </c>
      <c r="E122" s="13">
        <f>архикад_закпроём!E121</f>
        <v>0</v>
      </c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4"/>
    </row>
    <row r="123" spans="1:18" ht="33" x14ac:dyDescent="0.25">
      <c r="A123" s="12" t="str">
        <f t="shared" si="1"/>
        <v>закпроем</v>
      </c>
      <c r="B123" s="13">
        <f>архикад_закпроём!B122</f>
        <v>0</v>
      </c>
      <c r="C123" s="13"/>
      <c r="D123" s="13" t="str">
        <f>архикад_закпроём!I122</f>
        <v/>
      </c>
      <c r="E123" s="13">
        <f>архикад_закпроём!E122</f>
        <v>0</v>
      </c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4"/>
    </row>
    <row r="124" spans="1:18" ht="33" x14ac:dyDescent="0.25">
      <c r="A124" s="12" t="str">
        <f t="shared" si="1"/>
        <v>закпроем</v>
      </c>
      <c r="B124" s="13">
        <f>архикад_закпроём!B123</f>
        <v>0</v>
      </c>
      <c r="C124" s="13"/>
      <c r="D124" s="13" t="str">
        <f>архикад_закпроём!I123</f>
        <v/>
      </c>
      <c r="E124" s="13">
        <f>архикад_закпроём!E123</f>
        <v>0</v>
      </c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4"/>
    </row>
    <row r="125" spans="1:18" ht="33" x14ac:dyDescent="0.25">
      <c r="A125" s="12" t="str">
        <f t="shared" si="1"/>
        <v>закпроем</v>
      </c>
      <c r="B125" s="13">
        <f>архикад_закпроём!B124</f>
        <v>0</v>
      </c>
      <c r="C125" s="13"/>
      <c r="D125" s="13" t="str">
        <f>архикад_закпроём!I124</f>
        <v/>
      </c>
      <c r="E125" s="13">
        <f>архикад_закпроём!E124</f>
        <v>0</v>
      </c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4"/>
    </row>
    <row r="126" spans="1:18" ht="33" x14ac:dyDescent="0.25">
      <c r="A126" s="12" t="str">
        <f t="shared" si="1"/>
        <v>закпроем</v>
      </c>
      <c r="B126" s="13">
        <f>архикад_закпроём!B125</f>
        <v>0</v>
      </c>
      <c r="C126" s="13"/>
      <c r="D126" s="13" t="str">
        <f>архикад_закпроём!I125</f>
        <v/>
      </c>
      <c r="E126" s="13">
        <f>архикад_закпроём!E125</f>
        <v>0</v>
      </c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4"/>
    </row>
    <row r="127" spans="1:18" ht="33" x14ac:dyDescent="0.25">
      <c r="A127" s="12" t="str">
        <f t="shared" si="1"/>
        <v>закпроем</v>
      </c>
      <c r="B127" s="13">
        <f>архикад_закпроём!B126</f>
        <v>0</v>
      </c>
      <c r="C127" s="13"/>
      <c r="D127" s="13" t="str">
        <f>архикад_закпроём!I126</f>
        <v/>
      </c>
      <c r="E127" s="13">
        <f>архикад_закпроём!E126</f>
        <v>0</v>
      </c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4"/>
    </row>
    <row r="128" spans="1:18" ht="33" x14ac:dyDescent="0.25">
      <c r="A128" s="12" t="str">
        <f t="shared" si="1"/>
        <v>закпроем</v>
      </c>
      <c r="B128" s="13">
        <f>архикад_закпроём!B127</f>
        <v>0</v>
      </c>
      <c r="C128" s="13"/>
      <c r="D128" s="13" t="str">
        <f>архикад_закпроём!I127</f>
        <v/>
      </c>
      <c r="E128" s="13">
        <f>архикад_закпроём!E127</f>
        <v>0</v>
      </c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4"/>
    </row>
    <row r="129" spans="1:18" ht="33" x14ac:dyDescent="0.25">
      <c r="A129" s="12" t="str">
        <f t="shared" si="1"/>
        <v>закпроем</v>
      </c>
      <c r="B129" s="13">
        <f>архикад_закпроём!B128</f>
        <v>0</v>
      </c>
      <c r="C129" s="13"/>
      <c r="D129" s="13" t="str">
        <f>архикад_закпроём!I128</f>
        <v/>
      </c>
      <c r="E129" s="13">
        <f>архикад_закпроём!E128</f>
        <v>0</v>
      </c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4"/>
    </row>
    <row r="130" spans="1:18" ht="33" x14ac:dyDescent="0.25">
      <c r="A130" s="12" t="str">
        <f t="shared" si="1"/>
        <v>закпроем</v>
      </c>
      <c r="B130" s="13">
        <f>архикад_закпроём!B129</f>
        <v>0</v>
      </c>
      <c r="C130" s="13"/>
      <c r="D130" s="13" t="str">
        <f>архикад_закпроём!I129</f>
        <v/>
      </c>
      <c r="E130" s="13">
        <f>архикад_закпроём!E129</f>
        <v>0</v>
      </c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4"/>
    </row>
    <row r="131" spans="1:18" ht="33" x14ac:dyDescent="0.25">
      <c r="A131" s="12" t="str">
        <f t="shared" si="1"/>
        <v>закпроем</v>
      </c>
      <c r="B131" s="13">
        <f>архикад_закпроём!B130</f>
        <v>0</v>
      </c>
      <c r="C131" s="13"/>
      <c r="D131" s="13" t="str">
        <f>архикад_закпроём!I130</f>
        <v/>
      </c>
      <c r="E131" s="13">
        <f>архикад_закпроём!E130</f>
        <v>0</v>
      </c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4"/>
    </row>
    <row r="132" spans="1:18" ht="33" x14ac:dyDescent="0.25">
      <c r="A132" s="12" t="str">
        <f t="shared" si="1"/>
        <v>закпроем</v>
      </c>
      <c r="B132" s="13">
        <f>архикад_закпроём!B131</f>
        <v>0</v>
      </c>
      <c r="C132" s="13"/>
      <c r="D132" s="13" t="str">
        <f>архикад_закпроём!I131</f>
        <v/>
      </c>
      <c r="E132" s="13">
        <f>архикад_закпроём!E131</f>
        <v>0</v>
      </c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4"/>
    </row>
    <row r="133" spans="1:18" ht="33" x14ac:dyDescent="0.25">
      <c r="A133" s="12" t="str">
        <f t="shared" ref="A133:A196" si="2">A132</f>
        <v>закпроем</v>
      </c>
      <c r="B133" s="13">
        <f>архикад_закпроём!B132</f>
        <v>0</v>
      </c>
      <c r="C133" s="13"/>
      <c r="D133" s="13" t="str">
        <f>архикад_закпроём!I132</f>
        <v/>
      </c>
      <c r="E133" s="13">
        <f>архикад_закпроём!E132</f>
        <v>0</v>
      </c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4"/>
    </row>
    <row r="134" spans="1:18" ht="33" x14ac:dyDescent="0.25">
      <c r="A134" s="12" t="str">
        <f t="shared" si="2"/>
        <v>закпроем</v>
      </c>
      <c r="B134" s="13">
        <f>архикад_закпроём!B133</f>
        <v>0</v>
      </c>
      <c r="C134" s="13"/>
      <c r="D134" s="13" t="str">
        <f>архикад_закпроём!I133</f>
        <v/>
      </c>
      <c r="E134" s="13">
        <f>архикад_закпроём!E133</f>
        <v>0</v>
      </c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4"/>
    </row>
    <row r="135" spans="1:18" ht="33" x14ac:dyDescent="0.25">
      <c r="A135" s="12" t="str">
        <f t="shared" si="2"/>
        <v>закпроем</v>
      </c>
      <c r="B135" s="13">
        <f>архикад_закпроём!B134</f>
        <v>0</v>
      </c>
      <c r="C135" s="13"/>
      <c r="D135" s="13" t="str">
        <f>архикад_закпроём!I134</f>
        <v/>
      </c>
      <c r="E135" s="13">
        <f>архикад_закпроём!E134</f>
        <v>0</v>
      </c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4"/>
    </row>
    <row r="136" spans="1:18" ht="33" x14ac:dyDescent="0.25">
      <c r="A136" s="12" t="str">
        <f t="shared" si="2"/>
        <v>закпроем</v>
      </c>
      <c r="B136" s="13">
        <f>архикад_закпроём!B135</f>
        <v>0</v>
      </c>
      <c r="C136" s="13"/>
      <c r="D136" s="13" t="str">
        <f>архикад_закпроём!I135</f>
        <v/>
      </c>
      <c r="E136" s="13">
        <f>архикад_закпроём!E135</f>
        <v>0</v>
      </c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4"/>
    </row>
    <row r="137" spans="1:18" ht="33" x14ac:dyDescent="0.25">
      <c r="A137" s="12" t="str">
        <f t="shared" si="2"/>
        <v>закпроем</v>
      </c>
      <c r="B137" s="13">
        <f>архикад_закпроём!B136</f>
        <v>0</v>
      </c>
      <c r="C137" s="13"/>
      <c r="D137" s="13" t="str">
        <f>архикад_закпроём!I136</f>
        <v/>
      </c>
      <c r="E137" s="13">
        <f>архикад_закпроём!E136</f>
        <v>0</v>
      </c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4"/>
    </row>
    <row r="138" spans="1:18" ht="33" x14ac:dyDescent="0.25">
      <c r="A138" s="12" t="str">
        <f t="shared" si="2"/>
        <v>закпроем</v>
      </c>
      <c r="B138" s="13">
        <f>архикад_закпроём!B137</f>
        <v>0</v>
      </c>
      <c r="C138" s="13"/>
      <c r="D138" s="13" t="str">
        <f>архикад_закпроём!I137</f>
        <v/>
      </c>
      <c r="E138" s="13">
        <f>архикад_закпроём!E137</f>
        <v>0</v>
      </c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4"/>
    </row>
    <row r="139" spans="1:18" ht="33" x14ac:dyDescent="0.25">
      <c r="A139" s="12" t="str">
        <f t="shared" si="2"/>
        <v>закпроем</v>
      </c>
      <c r="B139" s="13">
        <f>архикад_закпроём!B138</f>
        <v>0</v>
      </c>
      <c r="C139" s="13"/>
      <c r="D139" s="13" t="str">
        <f>архикад_закпроём!I138</f>
        <v/>
      </c>
      <c r="E139" s="13">
        <f>архикад_закпроём!E138</f>
        <v>0</v>
      </c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4"/>
    </row>
    <row r="140" spans="1:18" ht="33" x14ac:dyDescent="0.25">
      <c r="A140" s="12" t="str">
        <f t="shared" si="2"/>
        <v>закпроем</v>
      </c>
      <c r="B140" s="13">
        <f>архикад_закпроём!B139</f>
        <v>0</v>
      </c>
      <c r="C140" s="13"/>
      <c r="D140" s="13" t="str">
        <f>архикад_закпроём!I139</f>
        <v/>
      </c>
      <c r="E140" s="13">
        <f>архикад_закпроём!E139</f>
        <v>0</v>
      </c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4"/>
    </row>
    <row r="141" spans="1:18" ht="33" x14ac:dyDescent="0.25">
      <c r="A141" s="12" t="str">
        <f t="shared" si="2"/>
        <v>закпроем</v>
      </c>
      <c r="B141" s="13">
        <f>архикад_закпроём!B140</f>
        <v>0</v>
      </c>
      <c r="C141" s="13"/>
      <c r="D141" s="13" t="str">
        <f>архикад_закпроём!I140</f>
        <v/>
      </c>
      <c r="E141" s="13">
        <f>архикад_закпроём!E140</f>
        <v>0</v>
      </c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4"/>
    </row>
    <row r="142" spans="1:18" ht="33" x14ac:dyDescent="0.25">
      <c r="A142" s="12" t="str">
        <f t="shared" si="2"/>
        <v>закпроем</v>
      </c>
      <c r="B142" s="13">
        <f>архикад_закпроём!B141</f>
        <v>0</v>
      </c>
      <c r="C142" s="13"/>
      <c r="D142" s="13" t="str">
        <f>архикад_закпроём!I141</f>
        <v/>
      </c>
      <c r="E142" s="13">
        <f>архикад_закпроём!E141</f>
        <v>0</v>
      </c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4"/>
    </row>
    <row r="143" spans="1:18" ht="33" x14ac:dyDescent="0.25">
      <c r="A143" s="12" t="str">
        <f t="shared" si="2"/>
        <v>закпроем</v>
      </c>
      <c r="B143" s="13">
        <f>архикад_закпроём!B142</f>
        <v>0</v>
      </c>
      <c r="C143" s="13"/>
      <c r="D143" s="13" t="str">
        <f>архикад_закпроём!I142</f>
        <v/>
      </c>
      <c r="E143" s="13">
        <f>архикад_закпроём!E142</f>
        <v>0</v>
      </c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4"/>
    </row>
    <row r="144" spans="1:18" ht="33" x14ac:dyDescent="0.25">
      <c r="A144" s="12" t="str">
        <f t="shared" si="2"/>
        <v>закпроем</v>
      </c>
      <c r="B144" s="13">
        <f>архикад_закпроём!B143</f>
        <v>0</v>
      </c>
      <c r="C144" s="13"/>
      <c r="D144" s="13" t="str">
        <f>архикад_закпроём!I143</f>
        <v/>
      </c>
      <c r="E144" s="13">
        <f>архикад_закпроём!E143</f>
        <v>0</v>
      </c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4"/>
    </row>
    <row r="145" spans="1:18" ht="33" x14ac:dyDescent="0.25">
      <c r="A145" s="12" t="str">
        <f t="shared" si="2"/>
        <v>закпроем</v>
      </c>
      <c r="B145" s="13">
        <f>архикад_закпроём!B144</f>
        <v>0</v>
      </c>
      <c r="C145" s="13"/>
      <c r="D145" s="13" t="str">
        <f>архикад_закпроём!I144</f>
        <v/>
      </c>
      <c r="E145" s="13">
        <f>архикад_закпроём!E144</f>
        <v>0</v>
      </c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4"/>
    </row>
    <row r="146" spans="1:18" ht="33" x14ac:dyDescent="0.25">
      <c r="A146" s="12" t="str">
        <f t="shared" si="2"/>
        <v>закпроем</v>
      </c>
      <c r="B146" s="13">
        <f>архикад_закпроём!B145</f>
        <v>0</v>
      </c>
      <c r="C146" s="13"/>
      <c r="D146" s="13" t="str">
        <f>архикад_закпроём!I145</f>
        <v/>
      </c>
      <c r="E146" s="13">
        <f>архикад_закпроём!E145</f>
        <v>0</v>
      </c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4"/>
    </row>
    <row r="147" spans="1:18" ht="33" x14ac:dyDescent="0.25">
      <c r="A147" s="12" t="str">
        <f t="shared" si="2"/>
        <v>закпроем</v>
      </c>
      <c r="B147" s="13">
        <f>архикад_закпроём!B146</f>
        <v>0</v>
      </c>
      <c r="C147" s="13"/>
      <c r="D147" s="13" t="str">
        <f>архикад_закпроём!I146</f>
        <v/>
      </c>
      <c r="E147" s="13">
        <f>архикад_закпроём!E146</f>
        <v>0</v>
      </c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4"/>
    </row>
    <row r="148" spans="1:18" ht="33" x14ac:dyDescent="0.25">
      <c r="A148" s="12" t="str">
        <f t="shared" si="2"/>
        <v>закпроем</v>
      </c>
      <c r="B148" s="13">
        <f>архикад_закпроём!B147</f>
        <v>0</v>
      </c>
      <c r="C148" s="13"/>
      <c r="D148" s="13" t="str">
        <f>архикад_закпроём!I147</f>
        <v/>
      </c>
      <c r="E148" s="13">
        <f>архикад_закпроём!E147</f>
        <v>0</v>
      </c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4"/>
    </row>
    <row r="149" spans="1:18" ht="33" x14ac:dyDescent="0.25">
      <c r="A149" s="12" t="str">
        <f t="shared" si="2"/>
        <v>закпроем</v>
      </c>
      <c r="B149" s="13">
        <f>архикад_закпроём!B148</f>
        <v>0</v>
      </c>
      <c r="C149" s="13"/>
      <c r="D149" s="13" t="str">
        <f>архикад_закпроём!I148</f>
        <v/>
      </c>
      <c r="E149" s="13">
        <f>архикад_закпроём!E148</f>
        <v>0</v>
      </c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4"/>
    </row>
    <row r="150" spans="1:18" ht="33" x14ac:dyDescent="0.25">
      <c r="A150" s="12" t="str">
        <f t="shared" si="2"/>
        <v>закпроем</v>
      </c>
      <c r="B150" s="13">
        <f>архикад_закпроём!B149</f>
        <v>0</v>
      </c>
      <c r="C150" s="13"/>
      <c r="D150" s="13" t="str">
        <f>архикад_закпроём!I149</f>
        <v/>
      </c>
      <c r="E150" s="13">
        <f>архикад_закпроём!E149</f>
        <v>0</v>
      </c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4"/>
    </row>
    <row r="151" spans="1:18" ht="33" x14ac:dyDescent="0.25">
      <c r="A151" s="12" t="str">
        <f t="shared" si="2"/>
        <v>закпроем</v>
      </c>
      <c r="B151" s="13">
        <f>архикад_закпроём!B150</f>
        <v>0</v>
      </c>
      <c r="C151" s="13"/>
      <c r="D151" s="13" t="str">
        <f>архикад_закпроём!I150</f>
        <v/>
      </c>
      <c r="E151" s="13">
        <f>архикад_закпроём!E150</f>
        <v>0</v>
      </c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4"/>
    </row>
    <row r="152" spans="1:18" ht="33" x14ac:dyDescent="0.25">
      <c r="A152" s="12" t="str">
        <f t="shared" si="2"/>
        <v>закпроем</v>
      </c>
      <c r="B152" s="13">
        <f>архикад_закпроём!B151</f>
        <v>0</v>
      </c>
      <c r="C152" s="13"/>
      <c r="D152" s="13" t="str">
        <f>архикад_закпроём!I151</f>
        <v/>
      </c>
      <c r="E152" s="13">
        <f>архикад_закпроём!E151</f>
        <v>0</v>
      </c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4"/>
    </row>
    <row r="153" spans="1:18" ht="33" x14ac:dyDescent="0.25">
      <c r="A153" s="12" t="str">
        <f t="shared" si="2"/>
        <v>закпроем</v>
      </c>
      <c r="B153" s="13">
        <f>архикад_закпроём!B152</f>
        <v>0</v>
      </c>
      <c r="C153" s="13"/>
      <c r="D153" s="13" t="str">
        <f>архикад_закпроём!I152</f>
        <v/>
      </c>
      <c r="E153" s="13">
        <f>архикад_закпроём!E152</f>
        <v>0</v>
      </c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4"/>
    </row>
    <row r="154" spans="1:18" ht="33" x14ac:dyDescent="0.25">
      <c r="A154" s="12" t="str">
        <f t="shared" si="2"/>
        <v>закпроем</v>
      </c>
      <c r="B154" s="13">
        <f>архикад_закпроём!B153</f>
        <v>0</v>
      </c>
      <c r="C154" s="13"/>
      <c r="D154" s="13" t="str">
        <f>архикад_закпроём!I153</f>
        <v/>
      </c>
      <c r="E154" s="13">
        <f>архикад_закпроём!E153</f>
        <v>0</v>
      </c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4"/>
    </row>
    <row r="155" spans="1:18" ht="33" x14ac:dyDescent="0.25">
      <c r="A155" s="12" t="str">
        <f t="shared" si="2"/>
        <v>закпроем</v>
      </c>
      <c r="B155" s="13">
        <f>архикад_закпроём!B154</f>
        <v>0</v>
      </c>
      <c r="C155" s="13"/>
      <c r="D155" s="13" t="str">
        <f>архикад_закпроём!I154</f>
        <v/>
      </c>
      <c r="E155" s="13">
        <f>архикад_закпроём!E154</f>
        <v>0</v>
      </c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4"/>
    </row>
    <row r="156" spans="1:18" ht="33" x14ac:dyDescent="0.25">
      <c r="A156" s="12" t="str">
        <f t="shared" si="2"/>
        <v>закпроем</v>
      </c>
      <c r="B156" s="13">
        <f>архикад_закпроём!B155</f>
        <v>0</v>
      </c>
      <c r="C156" s="13"/>
      <c r="D156" s="13" t="str">
        <f>архикад_закпроём!I155</f>
        <v/>
      </c>
      <c r="E156" s="13">
        <f>архикад_закпроём!E155</f>
        <v>0</v>
      </c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4"/>
    </row>
    <row r="157" spans="1:18" ht="33" x14ac:dyDescent="0.25">
      <c r="A157" s="12" t="str">
        <f t="shared" si="2"/>
        <v>закпроем</v>
      </c>
      <c r="B157" s="13">
        <f>архикад_закпроём!B156</f>
        <v>0</v>
      </c>
      <c r="C157" s="13"/>
      <c r="D157" s="13" t="str">
        <f>архикад_закпроём!I156</f>
        <v/>
      </c>
      <c r="E157" s="13">
        <f>архикад_закпроём!E156</f>
        <v>0</v>
      </c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4"/>
    </row>
    <row r="158" spans="1:18" ht="33" x14ac:dyDescent="0.25">
      <c r="A158" s="12" t="str">
        <f t="shared" si="2"/>
        <v>закпроем</v>
      </c>
      <c r="B158" s="13">
        <f>архикад_закпроём!B157</f>
        <v>0</v>
      </c>
      <c r="C158" s="13"/>
      <c r="D158" s="13" t="str">
        <f>архикад_закпроём!I157</f>
        <v/>
      </c>
      <c r="E158" s="13">
        <f>архикад_закпроём!E157</f>
        <v>0</v>
      </c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4"/>
    </row>
    <row r="159" spans="1:18" ht="33" x14ac:dyDescent="0.25">
      <c r="A159" s="12" t="str">
        <f t="shared" si="2"/>
        <v>закпроем</v>
      </c>
      <c r="B159" s="13">
        <f>архикад_закпроём!B158</f>
        <v>0</v>
      </c>
      <c r="C159" s="13"/>
      <c r="D159" s="13" t="str">
        <f>архикад_закпроём!I158</f>
        <v/>
      </c>
      <c r="E159" s="13">
        <f>архикад_закпроём!E158</f>
        <v>0</v>
      </c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4"/>
    </row>
    <row r="160" spans="1:18" ht="33" x14ac:dyDescent="0.25">
      <c r="A160" s="12" t="str">
        <f t="shared" si="2"/>
        <v>закпроем</v>
      </c>
      <c r="B160" s="13">
        <f>архикад_закпроём!B159</f>
        <v>0</v>
      </c>
      <c r="C160" s="13"/>
      <c r="D160" s="13" t="str">
        <f>архикад_закпроём!I159</f>
        <v/>
      </c>
      <c r="E160" s="13">
        <f>архикад_закпроём!E159</f>
        <v>0</v>
      </c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4"/>
    </row>
    <row r="161" spans="1:18" ht="33" x14ac:dyDescent="0.25">
      <c r="A161" s="12" t="str">
        <f t="shared" si="2"/>
        <v>закпроем</v>
      </c>
      <c r="B161" s="13">
        <f>архикад_закпроём!B160</f>
        <v>0</v>
      </c>
      <c r="C161" s="13"/>
      <c r="D161" s="13" t="str">
        <f>архикад_закпроём!I160</f>
        <v/>
      </c>
      <c r="E161" s="13">
        <f>архикад_закпроём!E160</f>
        <v>0</v>
      </c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4"/>
    </row>
    <row r="162" spans="1:18" ht="33" x14ac:dyDescent="0.25">
      <c r="A162" s="12" t="str">
        <f t="shared" si="2"/>
        <v>закпроем</v>
      </c>
      <c r="B162" s="13">
        <f>архикад_закпроём!B161</f>
        <v>0</v>
      </c>
      <c r="C162" s="13"/>
      <c r="D162" s="13" t="str">
        <f>архикад_закпроём!I161</f>
        <v/>
      </c>
      <c r="E162" s="13">
        <f>архикад_закпроём!E161</f>
        <v>0</v>
      </c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4"/>
    </row>
    <row r="163" spans="1:18" ht="33" x14ac:dyDescent="0.25">
      <c r="A163" s="12" t="str">
        <f t="shared" si="2"/>
        <v>закпроем</v>
      </c>
      <c r="B163" s="13">
        <f>архикад_закпроём!B162</f>
        <v>0</v>
      </c>
      <c r="C163" s="13"/>
      <c r="D163" s="13" t="str">
        <f>архикад_закпроём!I162</f>
        <v/>
      </c>
      <c r="E163" s="13">
        <f>архикад_закпроём!E162</f>
        <v>0</v>
      </c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4"/>
    </row>
    <row r="164" spans="1:18" ht="33" x14ac:dyDescent="0.25">
      <c r="A164" s="12" t="str">
        <f t="shared" si="2"/>
        <v>закпроем</v>
      </c>
      <c r="B164" s="13">
        <f>архикад_закпроём!B163</f>
        <v>0</v>
      </c>
      <c r="C164" s="13"/>
      <c r="D164" s="13" t="str">
        <f>архикад_закпроём!I163</f>
        <v/>
      </c>
      <c r="E164" s="13">
        <f>архикад_закпроём!E163</f>
        <v>0</v>
      </c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4"/>
    </row>
    <row r="165" spans="1:18" ht="33" x14ac:dyDescent="0.25">
      <c r="A165" s="12" t="str">
        <f t="shared" si="2"/>
        <v>закпроем</v>
      </c>
      <c r="B165" s="13">
        <f>архикад_закпроём!B164</f>
        <v>0</v>
      </c>
      <c r="C165" s="13"/>
      <c r="D165" s="13" t="str">
        <f>архикад_закпроём!I164</f>
        <v/>
      </c>
      <c r="E165" s="13">
        <f>архикад_закпроём!E164</f>
        <v>0</v>
      </c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4"/>
    </row>
    <row r="166" spans="1:18" ht="33" x14ac:dyDescent="0.25">
      <c r="A166" s="12" t="str">
        <f t="shared" si="2"/>
        <v>закпроем</v>
      </c>
      <c r="B166" s="13">
        <f>архикад_закпроём!B165</f>
        <v>0</v>
      </c>
      <c r="C166" s="13"/>
      <c r="D166" s="13" t="str">
        <f>архикад_закпроём!I165</f>
        <v/>
      </c>
      <c r="E166" s="13">
        <f>архикад_закпроём!E165</f>
        <v>0</v>
      </c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4"/>
    </row>
    <row r="167" spans="1:18" ht="33" x14ac:dyDescent="0.25">
      <c r="A167" s="12" t="str">
        <f t="shared" si="2"/>
        <v>закпроем</v>
      </c>
      <c r="B167" s="13">
        <f>архикад_закпроём!B166</f>
        <v>0</v>
      </c>
      <c r="C167" s="13"/>
      <c r="D167" s="13" t="str">
        <f>архикад_закпроём!I166</f>
        <v/>
      </c>
      <c r="E167" s="13">
        <f>архикад_закпроём!E166</f>
        <v>0</v>
      </c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4"/>
    </row>
    <row r="168" spans="1:18" ht="33" x14ac:dyDescent="0.25">
      <c r="A168" s="12" t="str">
        <f t="shared" si="2"/>
        <v>закпроем</v>
      </c>
      <c r="B168" s="13">
        <f>архикад_закпроём!B167</f>
        <v>0</v>
      </c>
      <c r="C168" s="13"/>
      <c r="D168" s="13" t="str">
        <f>архикад_закпроём!I167</f>
        <v/>
      </c>
      <c r="E168" s="13">
        <f>архикад_закпроём!E167</f>
        <v>0</v>
      </c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4"/>
    </row>
    <row r="169" spans="1:18" ht="33" x14ac:dyDescent="0.25">
      <c r="A169" s="12" t="str">
        <f t="shared" si="2"/>
        <v>закпроем</v>
      </c>
      <c r="B169" s="13">
        <f>архикад_закпроём!B168</f>
        <v>0</v>
      </c>
      <c r="C169" s="13"/>
      <c r="D169" s="13" t="str">
        <f>архикад_закпроём!I168</f>
        <v/>
      </c>
      <c r="E169" s="13">
        <f>архикад_закпроём!E168</f>
        <v>0</v>
      </c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4"/>
    </row>
    <row r="170" spans="1:18" ht="33" x14ac:dyDescent="0.25">
      <c r="A170" s="12" t="str">
        <f t="shared" si="2"/>
        <v>закпроем</v>
      </c>
      <c r="B170" s="13">
        <f>архикад_закпроём!B169</f>
        <v>0</v>
      </c>
      <c r="C170" s="13"/>
      <c r="D170" s="13" t="str">
        <f>архикад_закпроём!I169</f>
        <v/>
      </c>
      <c r="E170" s="13">
        <f>архикад_закпроём!E169</f>
        <v>0</v>
      </c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4"/>
    </row>
    <row r="171" spans="1:18" ht="33" x14ac:dyDescent="0.25">
      <c r="A171" s="12" t="str">
        <f t="shared" si="2"/>
        <v>закпроем</v>
      </c>
      <c r="B171" s="13">
        <f>архикад_закпроём!B170</f>
        <v>0</v>
      </c>
      <c r="C171" s="13"/>
      <c r="D171" s="13" t="str">
        <f>архикад_закпроём!I170</f>
        <v/>
      </c>
      <c r="E171" s="13">
        <f>архикад_закпроём!E170</f>
        <v>0</v>
      </c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4"/>
    </row>
    <row r="172" spans="1:18" ht="33" x14ac:dyDescent="0.25">
      <c r="A172" s="12" t="str">
        <f t="shared" si="2"/>
        <v>закпроем</v>
      </c>
      <c r="B172" s="13">
        <f>архикад_закпроём!B171</f>
        <v>0</v>
      </c>
      <c r="C172" s="13"/>
      <c r="D172" s="13" t="str">
        <f>архикад_закпроём!I171</f>
        <v/>
      </c>
      <c r="E172" s="13">
        <f>архикад_закпроём!E171</f>
        <v>0</v>
      </c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4"/>
    </row>
    <row r="173" spans="1:18" ht="33" x14ac:dyDescent="0.25">
      <c r="A173" s="12" t="str">
        <f t="shared" si="2"/>
        <v>закпроем</v>
      </c>
      <c r="B173" s="13">
        <f>архикад_закпроём!B172</f>
        <v>0</v>
      </c>
      <c r="C173" s="13"/>
      <c r="D173" s="13" t="str">
        <f>архикад_закпроём!I172</f>
        <v/>
      </c>
      <c r="E173" s="13">
        <f>архикад_закпроём!E172</f>
        <v>0</v>
      </c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4"/>
    </row>
    <row r="174" spans="1:18" ht="33" x14ac:dyDescent="0.25">
      <c r="A174" s="12" t="str">
        <f t="shared" si="2"/>
        <v>закпроем</v>
      </c>
      <c r="B174" s="13">
        <f>архикад_закпроём!B173</f>
        <v>0</v>
      </c>
      <c r="C174" s="13"/>
      <c r="D174" s="13" t="str">
        <f>архикад_закпроём!I173</f>
        <v/>
      </c>
      <c r="E174" s="13">
        <f>архикад_закпроём!E173</f>
        <v>0</v>
      </c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4"/>
    </row>
    <row r="175" spans="1:18" ht="33" x14ac:dyDescent="0.25">
      <c r="A175" s="12" t="str">
        <f t="shared" si="2"/>
        <v>закпроем</v>
      </c>
      <c r="B175" s="13">
        <f>архикад_закпроём!B174</f>
        <v>0</v>
      </c>
      <c r="C175" s="13"/>
      <c r="D175" s="13" t="str">
        <f>архикад_закпроём!I174</f>
        <v/>
      </c>
      <c r="E175" s="13">
        <f>архикад_закпроём!E174</f>
        <v>0</v>
      </c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4"/>
    </row>
    <row r="176" spans="1:18" ht="33" x14ac:dyDescent="0.25">
      <c r="A176" s="12" t="str">
        <f t="shared" si="2"/>
        <v>закпроем</v>
      </c>
      <c r="B176" s="13">
        <f>архикад_закпроём!B175</f>
        <v>0</v>
      </c>
      <c r="C176" s="13"/>
      <c r="D176" s="13" t="str">
        <f>архикад_закпроём!I175</f>
        <v/>
      </c>
      <c r="E176" s="13">
        <f>архикад_закпроём!E175</f>
        <v>0</v>
      </c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4"/>
    </row>
    <row r="177" spans="1:18" ht="33" x14ac:dyDescent="0.25">
      <c r="A177" s="12" t="str">
        <f t="shared" si="2"/>
        <v>закпроем</v>
      </c>
      <c r="B177" s="13">
        <f>архикад_закпроём!B176</f>
        <v>0</v>
      </c>
      <c r="C177" s="13"/>
      <c r="D177" s="13" t="str">
        <f>архикад_закпроём!I176</f>
        <v/>
      </c>
      <c r="E177" s="13">
        <f>архикад_закпроём!E176</f>
        <v>0</v>
      </c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4"/>
    </row>
    <row r="178" spans="1:18" ht="33" x14ac:dyDescent="0.25">
      <c r="A178" s="12" t="str">
        <f t="shared" si="2"/>
        <v>закпроем</v>
      </c>
      <c r="B178" s="13">
        <f>архикад_закпроём!B177</f>
        <v>0</v>
      </c>
      <c r="C178" s="13"/>
      <c r="D178" s="13" t="str">
        <f>архикад_закпроём!I177</f>
        <v/>
      </c>
      <c r="E178" s="13">
        <f>архикад_закпроём!E177</f>
        <v>0</v>
      </c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4"/>
    </row>
    <row r="179" spans="1:18" ht="33" x14ac:dyDescent="0.25">
      <c r="A179" s="12" t="str">
        <f t="shared" si="2"/>
        <v>закпроем</v>
      </c>
      <c r="B179" s="13">
        <f>архикад_закпроём!B178</f>
        <v>0</v>
      </c>
      <c r="C179" s="13"/>
      <c r="D179" s="13" t="str">
        <f>архикад_закпроём!I178</f>
        <v/>
      </c>
      <c r="E179" s="13">
        <f>архикад_закпроём!E178</f>
        <v>0</v>
      </c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4"/>
    </row>
    <row r="180" spans="1:18" ht="33" x14ac:dyDescent="0.25">
      <c r="A180" s="12" t="str">
        <f t="shared" si="2"/>
        <v>закпроем</v>
      </c>
      <c r="B180" s="13">
        <f>архикад_закпроём!B179</f>
        <v>0</v>
      </c>
      <c r="C180" s="13"/>
      <c r="D180" s="13" t="str">
        <f>архикад_закпроём!I179</f>
        <v/>
      </c>
      <c r="E180" s="13">
        <f>архикад_закпроём!E179</f>
        <v>0</v>
      </c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4"/>
    </row>
    <row r="181" spans="1:18" ht="33" x14ac:dyDescent="0.25">
      <c r="A181" s="12" t="str">
        <f t="shared" si="2"/>
        <v>закпроем</v>
      </c>
      <c r="B181" s="13">
        <f>архикад_закпроём!B180</f>
        <v>0</v>
      </c>
      <c r="C181" s="13"/>
      <c r="D181" s="13" t="str">
        <f>архикад_закпроём!I180</f>
        <v/>
      </c>
      <c r="E181" s="13">
        <f>архикад_закпроём!E180</f>
        <v>0</v>
      </c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4"/>
    </row>
    <row r="182" spans="1:18" ht="33" x14ac:dyDescent="0.25">
      <c r="A182" s="12" t="str">
        <f t="shared" si="2"/>
        <v>закпроем</v>
      </c>
      <c r="B182" s="13">
        <f>архикад_закпроём!B181</f>
        <v>0</v>
      </c>
      <c r="C182" s="13"/>
      <c r="D182" s="13" t="str">
        <f>архикад_закпроём!I181</f>
        <v/>
      </c>
      <c r="E182" s="13">
        <f>архикад_закпроём!E181</f>
        <v>0</v>
      </c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4"/>
    </row>
    <row r="183" spans="1:18" ht="33" x14ac:dyDescent="0.25">
      <c r="A183" s="12" t="str">
        <f t="shared" si="2"/>
        <v>закпроем</v>
      </c>
      <c r="B183" s="13">
        <f>архикад_закпроём!B182</f>
        <v>0</v>
      </c>
      <c r="C183" s="13"/>
      <c r="D183" s="13" t="str">
        <f>архикад_закпроём!I182</f>
        <v/>
      </c>
      <c r="E183" s="13">
        <f>архикад_закпроём!E182</f>
        <v>0</v>
      </c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4"/>
    </row>
    <row r="184" spans="1:18" ht="33" x14ac:dyDescent="0.25">
      <c r="A184" s="12" t="str">
        <f t="shared" si="2"/>
        <v>закпроем</v>
      </c>
      <c r="B184" s="13">
        <f>архикад_закпроём!B183</f>
        <v>0</v>
      </c>
      <c r="C184" s="13"/>
      <c r="D184" s="13" t="str">
        <f>архикад_закпроём!I183</f>
        <v/>
      </c>
      <c r="E184" s="13">
        <f>архикад_закпроём!E183</f>
        <v>0</v>
      </c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4"/>
    </row>
    <row r="185" spans="1:18" ht="33" x14ac:dyDescent="0.25">
      <c r="A185" s="12" t="str">
        <f t="shared" si="2"/>
        <v>закпроем</v>
      </c>
      <c r="B185" s="13">
        <f>архикад_закпроём!B184</f>
        <v>0</v>
      </c>
      <c r="C185" s="13"/>
      <c r="D185" s="13" t="str">
        <f>архикад_закпроём!I184</f>
        <v/>
      </c>
      <c r="E185" s="13">
        <f>архикад_закпроём!E184</f>
        <v>0</v>
      </c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4"/>
    </row>
    <row r="186" spans="1:18" ht="33" x14ac:dyDescent="0.25">
      <c r="A186" s="12" t="str">
        <f t="shared" si="2"/>
        <v>закпроем</v>
      </c>
      <c r="B186" s="13">
        <f>архикад_закпроём!B185</f>
        <v>0</v>
      </c>
      <c r="C186" s="13"/>
      <c r="D186" s="13" t="str">
        <f>архикад_закпроём!I185</f>
        <v/>
      </c>
      <c r="E186" s="13">
        <f>архикад_закпроём!E185</f>
        <v>0</v>
      </c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4"/>
    </row>
    <row r="187" spans="1:18" ht="33" x14ac:dyDescent="0.25">
      <c r="A187" s="12" t="str">
        <f t="shared" si="2"/>
        <v>закпроем</v>
      </c>
      <c r="B187" s="13">
        <f>архикад_закпроём!B186</f>
        <v>0</v>
      </c>
      <c r="C187" s="13"/>
      <c r="D187" s="13" t="str">
        <f>архикад_закпроём!I186</f>
        <v/>
      </c>
      <c r="E187" s="13">
        <f>архикад_закпроём!E186</f>
        <v>0</v>
      </c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4"/>
    </row>
    <row r="188" spans="1:18" ht="33" x14ac:dyDescent="0.25">
      <c r="A188" s="12" t="str">
        <f t="shared" si="2"/>
        <v>закпроем</v>
      </c>
      <c r="B188" s="13">
        <f>архикад_закпроём!B187</f>
        <v>0</v>
      </c>
      <c r="C188" s="13"/>
      <c r="D188" s="13" t="str">
        <f>архикад_закпроём!I187</f>
        <v/>
      </c>
      <c r="E188" s="13">
        <f>архикад_закпроём!E187</f>
        <v>0</v>
      </c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4"/>
    </row>
    <row r="189" spans="1:18" ht="33" x14ac:dyDescent="0.25">
      <c r="A189" s="12" t="str">
        <f t="shared" si="2"/>
        <v>закпроем</v>
      </c>
      <c r="B189" s="13">
        <f>архикад_закпроём!B188</f>
        <v>0</v>
      </c>
      <c r="C189" s="13"/>
      <c r="D189" s="13" t="str">
        <f>архикад_закпроём!I188</f>
        <v/>
      </c>
      <c r="E189" s="13">
        <f>архикад_закпроём!E188</f>
        <v>0</v>
      </c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4"/>
    </row>
    <row r="190" spans="1:18" ht="33" x14ac:dyDescent="0.25">
      <c r="A190" s="12" t="str">
        <f t="shared" si="2"/>
        <v>закпроем</v>
      </c>
      <c r="B190" s="13">
        <f>архикад_закпроём!B189</f>
        <v>0</v>
      </c>
      <c r="C190" s="13"/>
      <c r="D190" s="13" t="str">
        <f>архикад_закпроём!I189</f>
        <v/>
      </c>
      <c r="E190" s="13">
        <f>архикад_закпроём!E189</f>
        <v>0</v>
      </c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4"/>
    </row>
    <row r="191" spans="1:18" ht="33" x14ac:dyDescent="0.25">
      <c r="A191" s="12" t="str">
        <f t="shared" si="2"/>
        <v>закпроем</v>
      </c>
      <c r="B191" s="13">
        <f>архикад_закпроём!B190</f>
        <v>0</v>
      </c>
      <c r="C191" s="13"/>
      <c r="D191" s="13" t="str">
        <f>архикад_закпроём!I190</f>
        <v/>
      </c>
      <c r="E191" s="13">
        <f>архикад_закпроём!E190</f>
        <v>0</v>
      </c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4"/>
    </row>
    <row r="192" spans="1:18" ht="33" x14ac:dyDescent="0.25">
      <c r="A192" s="12" t="str">
        <f t="shared" si="2"/>
        <v>закпроем</v>
      </c>
      <c r="B192" s="13">
        <f>архикад_закпроём!B191</f>
        <v>0</v>
      </c>
      <c r="C192" s="13"/>
      <c r="D192" s="13" t="str">
        <f>архикад_закпроём!I191</f>
        <v/>
      </c>
      <c r="E192" s="13">
        <f>архикад_закпроём!E191</f>
        <v>0</v>
      </c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4"/>
    </row>
    <row r="193" spans="1:18" ht="33" x14ac:dyDescent="0.25">
      <c r="A193" s="12" t="str">
        <f t="shared" si="2"/>
        <v>закпроем</v>
      </c>
      <c r="B193" s="13">
        <f>архикад_закпроём!B192</f>
        <v>0</v>
      </c>
      <c r="C193" s="13"/>
      <c r="D193" s="13" t="str">
        <f>архикад_закпроём!I192</f>
        <v/>
      </c>
      <c r="E193" s="13">
        <f>архикад_закпроём!E192</f>
        <v>0</v>
      </c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4"/>
    </row>
    <row r="194" spans="1:18" ht="33" x14ac:dyDescent="0.25">
      <c r="A194" s="12" t="str">
        <f t="shared" si="2"/>
        <v>закпроем</v>
      </c>
      <c r="B194" s="13">
        <f>архикад_закпроём!B193</f>
        <v>0</v>
      </c>
      <c r="C194" s="13"/>
      <c r="D194" s="13" t="str">
        <f>архикад_закпроём!I193</f>
        <v/>
      </c>
      <c r="E194" s="13">
        <f>архикад_закпроём!E193</f>
        <v>0</v>
      </c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4"/>
    </row>
    <row r="195" spans="1:18" ht="33" x14ac:dyDescent="0.25">
      <c r="A195" s="12" t="str">
        <f t="shared" si="2"/>
        <v>закпроем</v>
      </c>
      <c r="B195" s="13">
        <f>архикад_закпроём!B194</f>
        <v>0</v>
      </c>
      <c r="C195" s="13"/>
      <c r="D195" s="13" t="str">
        <f>архикад_закпроём!I194</f>
        <v/>
      </c>
      <c r="E195" s="13">
        <f>архикад_закпроём!E194</f>
        <v>0</v>
      </c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4"/>
    </row>
    <row r="196" spans="1:18" ht="33" x14ac:dyDescent="0.25">
      <c r="A196" s="12" t="str">
        <f t="shared" si="2"/>
        <v>закпроем</v>
      </c>
      <c r="B196" s="13">
        <f>архикад_закпроём!B195</f>
        <v>0</v>
      </c>
      <c r="C196" s="13"/>
      <c r="D196" s="13" t="str">
        <f>архикад_закпроём!I195</f>
        <v/>
      </c>
      <c r="E196" s="13">
        <f>архикад_закпроём!E195</f>
        <v>0</v>
      </c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4"/>
    </row>
    <row r="197" spans="1:18" ht="33" x14ac:dyDescent="0.25">
      <c r="A197" s="12" t="str">
        <f t="shared" ref="A197:A210" si="3">A196</f>
        <v>закпроем</v>
      </c>
      <c r="B197" s="13">
        <f>архикад_закпроём!B196</f>
        <v>0</v>
      </c>
      <c r="C197" s="13"/>
      <c r="D197" s="13" t="str">
        <f>архикад_закпроём!I196</f>
        <v/>
      </c>
      <c r="E197" s="13">
        <f>архикад_закпроём!E196</f>
        <v>0</v>
      </c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4"/>
    </row>
    <row r="198" spans="1:18" ht="33" x14ac:dyDescent="0.25">
      <c r="A198" s="12" t="str">
        <f t="shared" si="3"/>
        <v>закпроем</v>
      </c>
      <c r="B198" s="13">
        <f>архикад_закпроём!B197</f>
        <v>0</v>
      </c>
      <c r="C198" s="13"/>
      <c r="D198" s="13" t="str">
        <f>архикад_закпроём!I197</f>
        <v/>
      </c>
      <c r="E198" s="13">
        <f>архикад_закпроём!E197</f>
        <v>0</v>
      </c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4"/>
    </row>
    <row r="199" spans="1:18" ht="33" x14ac:dyDescent="0.25">
      <c r="A199" s="12" t="str">
        <f t="shared" si="3"/>
        <v>закпроем</v>
      </c>
      <c r="B199" s="13">
        <f>архикад_закпроём!B198</f>
        <v>0</v>
      </c>
      <c r="C199" s="13"/>
      <c r="D199" s="13" t="str">
        <f>архикад_закпроём!I198</f>
        <v/>
      </c>
      <c r="E199" s="13">
        <f>архикад_закпроём!E198</f>
        <v>0</v>
      </c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4"/>
    </row>
    <row r="200" spans="1:18" ht="33" x14ac:dyDescent="0.25">
      <c r="A200" s="12" t="str">
        <f t="shared" si="3"/>
        <v>закпроем</v>
      </c>
      <c r="B200" s="13">
        <f>архикад_закпроём!B199</f>
        <v>0</v>
      </c>
      <c r="C200" s="13"/>
      <c r="D200" s="13" t="str">
        <f>архикад_закпроём!I199</f>
        <v/>
      </c>
      <c r="E200" s="13">
        <f>архикад_закпроём!E199</f>
        <v>0</v>
      </c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4"/>
    </row>
    <row r="201" spans="1:18" ht="33" x14ac:dyDescent="0.25">
      <c r="A201" s="12" t="str">
        <f t="shared" si="3"/>
        <v>закпроем</v>
      </c>
      <c r="B201" s="13">
        <f>архикад_закпроём!B200</f>
        <v>0</v>
      </c>
      <c r="C201" s="13"/>
      <c r="D201" s="13" t="str">
        <f>архикад_закпроём!I200</f>
        <v/>
      </c>
      <c r="E201" s="13">
        <f>архикад_закпроём!E200</f>
        <v>0</v>
      </c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4"/>
    </row>
    <row r="202" spans="1:18" ht="33" x14ac:dyDescent="0.25">
      <c r="A202" s="12" t="str">
        <f t="shared" si="3"/>
        <v>закпроем</v>
      </c>
      <c r="B202" s="13">
        <f>архикад_закпроём!B201</f>
        <v>0</v>
      </c>
      <c r="C202" s="13"/>
      <c r="D202" s="13" t="str">
        <f>архикад_закпроём!I201</f>
        <v/>
      </c>
      <c r="E202" s="13">
        <f>архикад_закпроём!E201</f>
        <v>0</v>
      </c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4"/>
    </row>
    <row r="203" spans="1:18" ht="33" x14ac:dyDescent="0.25">
      <c r="A203" s="12" t="str">
        <f t="shared" si="3"/>
        <v>закпроем</v>
      </c>
      <c r="B203" s="13">
        <f>архикад_закпроём!B202</f>
        <v>0</v>
      </c>
      <c r="C203" s="13"/>
      <c r="D203" s="13" t="str">
        <f>архикад_закпроём!I202</f>
        <v/>
      </c>
      <c r="E203" s="13">
        <f>архикад_закпроём!E202</f>
        <v>0</v>
      </c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4"/>
    </row>
    <row r="204" spans="1:18" ht="33" x14ac:dyDescent="0.25">
      <c r="A204" s="12" t="str">
        <f t="shared" si="3"/>
        <v>закпроем</v>
      </c>
      <c r="B204" s="13">
        <f>архикад_закпроём!B203</f>
        <v>0</v>
      </c>
      <c r="C204" s="13"/>
      <c r="D204" s="13" t="str">
        <f>архикад_закпроём!I203</f>
        <v/>
      </c>
      <c r="E204" s="13">
        <f>архикад_закпроём!E203</f>
        <v>0</v>
      </c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4"/>
    </row>
    <row r="205" spans="1:18" ht="33" x14ac:dyDescent="0.25">
      <c r="A205" s="12" t="str">
        <f t="shared" si="3"/>
        <v>закпроем</v>
      </c>
      <c r="B205" s="13">
        <f>архикад_закпроём!B204</f>
        <v>0</v>
      </c>
      <c r="C205" s="13"/>
      <c r="D205" s="13" t="str">
        <f>архикад_закпроём!I204</f>
        <v/>
      </c>
      <c r="E205" s="13">
        <f>архикад_закпроём!E204</f>
        <v>0</v>
      </c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4"/>
    </row>
    <row r="206" spans="1:18" ht="33" x14ac:dyDescent="0.25">
      <c r="A206" s="12" t="str">
        <f t="shared" si="3"/>
        <v>закпроем</v>
      </c>
      <c r="B206" s="13">
        <f>архикад_закпроём!B205</f>
        <v>0</v>
      </c>
      <c r="C206" s="13"/>
      <c r="D206" s="13" t="str">
        <f>архикад_закпроём!I205</f>
        <v/>
      </c>
      <c r="E206" s="13">
        <f>архикад_закпроём!E205</f>
        <v>0</v>
      </c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4"/>
    </row>
    <row r="207" spans="1:18" ht="33" x14ac:dyDescent="0.25">
      <c r="A207" s="12" t="str">
        <f t="shared" si="3"/>
        <v>закпроем</v>
      </c>
      <c r="B207" s="13">
        <f>архикад_закпроём!B206</f>
        <v>0</v>
      </c>
      <c r="C207" s="13"/>
      <c r="D207" s="13" t="str">
        <f>архикад_закпроём!I206</f>
        <v/>
      </c>
      <c r="E207" s="13">
        <f>архикад_закпроём!E206</f>
        <v>0</v>
      </c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4"/>
    </row>
    <row r="208" spans="1:18" ht="33" x14ac:dyDescent="0.25">
      <c r="A208" s="12" t="str">
        <f t="shared" si="3"/>
        <v>закпроем</v>
      </c>
      <c r="B208" s="13">
        <f>архикад_закпроём!B207</f>
        <v>0</v>
      </c>
      <c r="C208" s="13"/>
      <c r="D208" s="13" t="str">
        <f>архикад_закпроём!I207</f>
        <v/>
      </c>
      <c r="E208" s="13">
        <f>архикад_закпроём!E207</f>
        <v>0</v>
      </c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4"/>
    </row>
    <row r="209" spans="1:18" ht="33" x14ac:dyDescent="0.25">
      <c r="A209" s="12" t="str">
        <f t="shared" si="3"/>
        <v>закпроем</v>
      </c>
      <c r="B209" s="13">
        <f>архикад_закпроём!B208</f>
        <v>0</v>
      </c>
      <c r="C209" s="13"/>
      <c r="D209" s="13" t="str">
        <f>архикад_закпроём!I208</f>
        <v/>
      </c>
      <c r="E209" s="13">
        <f>архикад_закпроём!E208</f>
        <v>0</v>
      </c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4"/>
    </row>
    <row r="210" spans="1:18" ht="33.75" thickBot="1" x14ac:dyDescent="0.3">
      <c r="A210" s="15" t="str">
        <f t="shared" si="3"/>
        <v>закпроем</v>
      </c>
      <c r="B210" s="16">
        <f>архикад_закпроём!B209</f>
        <v>0</v>
      </c>
      <c r="C210" s="16"/>
      <c r="D210" s="16" t="str">
        <f>архикад_закпроём!I209</f>
        <v/>
      </c>
      <c r="E210" s="16">
        <f>архикад_закпроём!E209</f>
        <v>0</v>
      </c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210 H2:Q2 K1 R1">
    <cfRule type="containsText" dxfId="108" priority="1" stopIfTrue="1" operator="containsText" text="ИЗ ФАЙЛА">
      <formula>NOT(ISERROR(SEARCH("ИЗ ФАЙЛА",A1)))</formula>
    </cfRule>
    <cfRule type="containsText" dxfId="107" priority="2" stopIfTrue="1" operator="containsText" text="!!!!">
      <formula>NOT(ISERROR(SEARCH("!!!!",A1)))</formula>
    </cfRule>
    <cfRule type="containsText" dxfId="106" priority="3" stopIfTrue="1" operator="containsText" text=" Изделия ">
      <formula>NOT(ISERROR(SEARCH(" Изделия ",A1)))</formula>
    </cfRule>
    <cfRule type="containsText" dxfId="105" priority="4" stopIfTrue="1" operator="containsText" text=" Прокат ">
      <formula>NOT(ISERROR(SEARCH(" Прокат ",A1)))</formula>
    </cfRule>
    <cfRule type="containsText" dxfId="104" priority="5" stopIfTrue="1" operator="containsText" text=" Сборочные единицы ">
      <formula>NOT(ISERROR(SEARCH(" Сборочные единицы ",A1)))</formula>
    </cfRule>
    <cfRule type="containsText" dxfId="103" priority="6" stopIfTrue="1" operator="containsText" text=" Материалы ">
      <formula>NOT(ISERROR(SEARCH(" Материалы ",A1)))</formula>
    </cfRule>
    <cfRule type="containsText" dxfId="102" priority="7" stopIfTrue="1" operator="containsText" text=", на ">
      <formula>NOT(ISERROR(SEARCH(", на ",A1)))</formula>
    </cfRule>
    <cfRule type="containsText" dxfId="101" priority="8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>
          <x14:formula1>
            <xm:f>'!System'!$AN$1:$AN$6</xm:f>
          </x14:formula1>
          <xm:sqref>G3:G210</xm:sqref>
        </x14:dataValidation>
        <x14:dataValidation type="list" allowBlank="1" showInputMessage="1" showErrorMessage="1">
          <x14:formula1>
            <xm:f>'!System'!$T$1:$AB$1</xm:f>
          </x14:formula1>
          <xm:sqref>J3:J210</xm:sqref>
        </x14:dataValidation>
        <x14:dataValidation type="list" allowBlank="1" showInputMessage="1" showErrorMessage="1">
          <x14:formula1>
            <xm:f>'!System'!$A$1:$R$1</xm:f>
          </x14:formula1>
          <xm:sqref>L3:L210</xm:sqref>
        </x14:dataValidation>
        <x14:dataValidation type="list" allowBlank="1" showInputMessage="1" showErrorMessage="1">
          <x14:formula1>
            <xm:f>'!System'!$AC$1:$AM$1</xm:f>
          </x14:formula1>
          <xm:sqref>O3:O210</xm:sqref>
        </x14:dataValidation>
        <x14:dataValidation type="list" allowBlank="1" showInputMessage="1" showErrorMessage="1">
          <x14:formula1>
            <xm:f>'!System'!$AO$1:$AO$5</xm:f>
          </x14:formula1>
          <xm:sqref>P3:P210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R211"/>
  <sheetViews>
    <sheetView workbookViewId="0">
      <selection activeCell="E24" sqref="E24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</cols>
  <sheetData>
    <row r="1" spans="1:18" ht="16.5" x14ac:dyDescent="0.25">
      <c r="A1" s="34" t="s">
        <v>2395</v>
      </c>
      <c r="B1" s="27" t="s">
        <v>2388</v>
      </c>
      <c r="C1" s="27" t="s">
        <v>2389</v>
      </c>
      <c r="D1" s="27" t="s">
        <v>2390</v>
      </c>
      <c r="E1" s="27" t="s">
        <v>2396</v>
      </c>
      <c r="F1" s="27" t="s">
        <v>2397</v>
      </c>
      <c r="G1" s="27" t="s">
        <v>2398</v>
      </c>
      <c r="H1" s="29" t="s">
        <v>2400</v>
      </c>
      <c r="I1" s="30"/>
      <c r="J1" s="31"/>
      <c r="K1" s="29" t="s">
        <v>2404</v>
      </c>
      <c r="L1" s="30"/>
      <c r="M1" s="30"/>
      <c r="N1" s="30"/>
      <c r="O1" s="30"/>
      <c r="P1" s="30"/>
      <c r="Q1" s="31"/>
      <c r="R1" s="32" t="s">
        <v>2399</v>
      </c>
    </row>
    <row r="2" spans="1:18" ht="66" x14ac:dyDescent="0.25">
      <c r="A2" s="35"/>
      <c r="B2" s="28"/>
      <c r="C2" s="28"/>
      <c r="D2" s="28"/>
      <c r="E2" s="28"/>
      <c r="F2" s="28"/>
      <c r="G2" s="28"/>
      <c r="H2" s="13" t="s">
        <v>2401</v>
      </c>
      <c r="I2" s="13" t="s">
        <v>2402</v>
      </c>
      <c r="J2" s="13" t="s">
        <v>2403</v>
      </c>
      <c r="K2" s="13" t="s">
        <v>2405</v>
      </c>
      <c r="L2" s="13" t="s">
        <v>2406</v>
      </c>
      <c r="M2" s="13" t="s">
        <v>2407</v>
      </c>
      <c r="N2" s="13" t="s">
        <v>2408</v>
      </c>
      <c r="O2" s="13" t="s">
        <v>2409</v>
      </c>
      <c r="P2" s="13" t="s">
        <v>2410</v>
      </c>
      <c r="Q2" s="13" t="s">
        <v>2411</v>
      </c>
      <c r="R2" s="33"/>
    </row>
    <row r="3" spans="1:18" ht="16.5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66" x14ac:dyDescent="0.25">
      <c r="A4" s="12" t="s">
        <v>2462</v>
      </c>
      <c r="B4" s="13"/>
      <c r="C4" s="13"/>
      <c r="D4" s="13" t="s">
        <v>2527</v>
      </c>
      <c r="E4" s="13">
        <v>47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</row>
    <row r="5" spans="1:18" ht="33" x14ac:dyDescent="0.25">
      <c r="A5" s="12" t="s">
        <v>2462</v>
      </c>
      <c r="B5" s="13" t="str">
        <f>архикад_демпроём!A3</f>
        <v>Д1</v>
      </c>
      <c r="C5" s="13"/>
      <c r="D5" s="13" t="str">
        <f>архикад_демпроём!I3</f>
        <v>Демонтаж дверного блока 1400x2100(h)мм.</v>
      </c>
      <c r="E5" s="13">
        <f>архикад_демпроём!D3</f>
        <v>8</v>
      </c>
      <c r="F5" s="13"/>
      <c r="G5" s="13" t="str">
        <f>архикад_демпроём!E3</f>
        <v>заменяемый</v>
      </c>
      <c r="H5" s="13"/>
      <c r="I5" s="13"/>
      <c r="J5" s="13"/>
      <c r="K5" s="13"/>
      <c r="L5" s="13"/>
      <c r="M5" s="13"/>
      <c r="N5" s="13"/>
      <c r="O5" s="13"/>
      <c r="P5" s="13"/>
      <c r="Q5" s="13"/>
      <c r="R5" s="14"/>
    </row>
    <row r="6" spans="1:18" ht="33" x14ac:dyDescent="0.25">
      <c r="A6" s="12" t="str">
        <f t="shared" ref="A6:A69" si="0">A5</f>
        <v>демпроем</v>
      </c>
      <c r="B6" s="13" t="str">
        <f>архикад_демпроём!A4</f>
        <v>Д2</v>
      </c>
      <c r="C6" s="13"/>
      <c r="D6" s="13" t="str">
        <f>архикад_демпроём!I4</f>
        <v>Демонтаж дверного блока 1500x2100(h)мм.</v>
      </c>
      <c r="E6" s="13">
        <f>архикад_демпроём!D4</f>
        <v>6</v>
      </c>
      <c r="F6" s="13"/>
      <c r="G6" s="13" t="str">
        <f>архикад_демпроём!E4</f>
        <v>заменяемый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4"/>
    </row>
    <row r="7" spans="1:18" ht="33" x14ac:dyDescent="0.25">
      <c r="A7" s="12" t="str">
        <f t="shared" si="0"/>
        <v>демпроем</v>
      </c>
      <c r="B7" s="13" t="str">
        <f>архикад_демпроём!A5</f>
        <v>Д3</v>
      </c>
      <c r="C7" s="13"/>
      <c r="D7" s="13" t="str">
        <f>архикад_демпроём!I5</f>
        <v>Демонтаж дверного блока 650x2100(h)мм.</v>
      </c>
      <c r="E7" s="13">
        <f>архикад_демпроём!D5</f>
        <v>2</v>
      </c>
      <c r="F7" s="13"/>
      <c r="G7" s="13" t="str">
        <f>архикад_демпроём!E5</f>
        <v>заменяемый</v>
      </c>
      <c r="H7" s="13"/>
      <c r="I7" s="13"/>
      <c r="J7" s="13"/>
      <c r="K7" s="13"/>
      <c r="L7" s="13"/>
      <c r="M7" s="13"/>
      <c r="N7" s="13"/>
      <c r="O7" s="13"/>
      <c r="P7" s="13"/>
      <c r="Q7" s="13"/>
      <c r="R7" s="14"/>
    </row>
    <row r="8" spans="1:18" ht="33" x14ac:dyDescent="0.25">
      <c r="A8" s="12" t="str">
        <f t="shared" si="0"/>
        <v>демпроем</v>
      </c>
      <c r="B8" s="13" t="str">
        <f>архикад_демпроём!A6</f>
        <v>Д4</v>
      </c>
      <c r="C8" s="13"/>
      <c r="D8" s="13" t="str">
        <f>архикад_демпроём!I6</f>
        <v>Демонтаж дверного блока 700x2100(h)мм.</v>
      </c>
      <c r="E8" s="13">
        <f>архикад_демпроём!D6</f>
        <v>4</v>
      </c>
      <c r="F8" s="13"/>
      <c r="G8" s="13" t="str">
        <f>архикад_демпроём!E6</f>
        <v>заменяемый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4"/>
    </row>
    <row r="9" spans="1:18" ht="33" x14ac:dyDescent="0.25">
      <c r="A9" s="12" t="str">
        <f t="shared" si="0"/>
        <v>демпроем</v>
      </c>
      <c r="B9" s="13" t="str">
        <f>архикад_демпроём!A7</f>
        <v>Д5</v>
      </c>
      <c r="C9" s="13"/>
      <c r="D9" s="13" t="str">
        <f>архикад_демпроём!I7</f>
        <v>Демонтаж дверного блока 1280x2100(h)мм.</v>
      </c>
      <c r="E9" s="13">
        <f>архикад_демпроём!D7</f>
        <v>7</v>
      </c>
      <c r="F9" s="13"/>
      <c r="G9" s="13" t="str">
        <f>архикад_демпроём!E7</f>
        <v>заменяемый</v>
      </c>
      <c r="H9" s="13"/>
      <c r="I9" s="13"/>
      <c r="J9" s="13"/>
      <c r="K9" s="13"/>
      <c r="L9" s="13"/>
      <c r="M9" s="13"/>
      <c r="N9" s="13"/>
      <c r="O9" s="13"/>
      <c r="P9" s="13"/>
      <c r="Q9" s="13"/>
      <c r="R9" s="14"/>
    </row>
    <row r="10" spans="1:18" ht="33" x14ac:dyDescent="0.25">
      <c r="A10" s="12" t="str">
        <f t="shared" si="0"/>
        <v>демпроем</v>
      </c>
      <c r="B10" s="13" t="str">
        <f>архикад_демпроём!A8</f>
        <v>Д6</v>
      </c>
      <c r="C10" s="13"/>
      <c r="D10" s="13" t="str">
        <f>архикад_демпроём!I8</f>
        <v>Демонтаж дверного блока 1000x2100(h)мм.</v>
      </c>
      <c r="E10" s="13">
        <f>архикад_демпроём!D8</f>
        <v>1</v>
      </c>
      <c r="F10" s="13"/>
      <c r="G10" s="13" t="str">
        <f>архикад_демпроём!E8</f>
        <v>заменяемый</v>
      </c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1:18" ht="33" x14ac:dyDescent="0.25">
      <c r="A11" s="12" t="str">
        <f t="shared" si="0"/>
        <v>демпроем</v>
      </c>
      <c r="B11" s="13" t="str">
        <f>архикад_демпроём!A9</f>
        <v>Д7</v>
      </c>
      <c r="C11" s="13"/>
      <c r="D11" s="13" t="str">
        <f>архикад_демпроём!I9</f>
        <v>Демонтаж дверного блока 900x2100(h)мм.</v>
      </c>
      <c r="E11" s="13">
        <f>архикад_демпроём!D9</f>
        <v>1</v>
      </c>
      <c r="F11" s="13"/>
      <c r="G11" s="13" t="str">
        <f>архикад_демпроём!E9</f>
        <v>заменяемый</v>
      </c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1:18" ht="33" x14ac:dyDescent="0.25">
      <c r="A12" s="12" t="str">
        <f t="shared" si="0"/>
        <v>демпроем</v>
      </c>
      <c r="B12" s="13" t="str">
        <f>архикад_демпроём!A10</f>
        <v>Д8</v>
      </c>
      <c r="C12" s="13"/>
      <c r="D12" s="13" t="str">
        <f>архикад_демпроём!I10</f>
        <v>Демонтаж дверного блока 790x2100(h)мм.</v>
      </c>
      <c r="E12" s="13">
        <f>архикад_демпроём!D10</f>
        <v>1</v>
      </c>
      <c r="F12" s="13"/>
      <c r="G12" s="13" t="str">
        <f>архикад_демпроём!E10</f>
        <v>заменяемый</v>
      </c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1:18" ht="33" x14ac:dyDescent="0.25">
      <c r="A13" s="12" t="str">
        <f t="shared" si="0"/>
        <v>демпроем</v>
      </c>
      <c r="B13" s="13" t="str">
        <f>архикад_демпроём!A11</f>
        <v>Д9</v>
      </c>
      <c r="C13" s="13"/>
      <c r="D13" s="13" t="str">
        <f>архикад_демпроём!I11</f>
        <v>Демонтаж дверного блока 800x2100(h)мм.</v>
      </c>
      <c r="E13" s="13">
        <f>архикад_демпроём!D11</f>
        <v>3</v>
      </c>
      <c r="F13" s="13"/>
      <c r="G13" s="13" t="str">
        <f>архикад_демпроём!E11</f>
        <v>заменяемый</v>
      </c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</row>
    <row r="14" spans="1:18" ht="33" x14ac:dyDescent="0.25">
      <c r="A14" s="12" t="str">
        <f t="shared" si="0"/>
        <v>демпроем</v>
      </c>
      <c r="B14" s="13" t="str">
        <f>архикад_демпроём!A12</f>
        <v>Д10</v>
      </c>
      <c r="C14" s="13"/>
      <c r="D14" s="13" t="str">
        <f>архикад_демпроём!I12</f>
        <v>Демонтаж дверного блока 2150x2100(h)мм.</v>
      </c>
      <c r="E14" s="13">
        <f>архикад_демпроём!D12</f>
        <v>1</v>
      </c>
      <c r="F14" s="13"/>
      <c r="G14" s="13" t="str">
        <f>архикад_демпроём!E12</f>
        <v>закладываемый</v>
      </c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1:18" ht="33" x14ac:dyDescent="0.25">
      <c r="A15" s="12" t="str">
        <f t="shared" si="0"/>
        <v>демпроем</v>
      </c>
      <c r="B15" s="13" t="str">
        <f>архикад_демпроём!A13</f>
        <v>Д11</v>
      </c>
      <c r="C15" s="13"/>
      <c r="D15" s="13" t="str">
        <f>архикад_демпроём!I13</f>
        <v>Демонтаж дверного блока 680x2100(h)мм.</v>
      </c>
      <c r="E15" s="13">
        <f>архикад_демпроём!D13</f>
        <v>2</v>
      </c>
      <c r="F15" s="13"/>
      <c r="G15" s="13" t="str">
        <f>архикад_демпроём!E13</f>
        <v>закладываемый</v>
      </c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1:18" ht="33" x14ac:dyDescent="0.25">
      <c r="A16" s="12" t="str">
        <f t="shared" si="0"/>
        <v>демпроем</v>
      </c>
      <c r="B16" s="13" t="str">
        <f>архикад_демпроём!A14</f>
        <v>Д12</v>
      </c>
      <c r="C16" s="13"/>
      <c r="D16" s="13" t="str">
        <f>архикад_демпроём!I14</f>
        <v>Демонтаж дверного блока 1000x2100(h)мм.</v>
      </c>
      <c r="E16" s="13">
        <f>архикад_демпроём!D14</f>
        <v>3</v>
      </c>
      <c r="F16" s="13"/>
      <c r="G16" s="13" t="str">
        <f>архикад_демпроём!E14</f>
        <v>закладываемый</v>
      </c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1:18" ht="33" x14ac:dyDescent="0.25">
      <c r="A17" s="12" t="str">
        <f t="shared" si="0"/>
        <v>демпроем</v>
      </c>
      <c r="B17" s="13" t="str">
        <f>архикад_демпроём!A15</f>
        <v>Д13</v>
      </c>
      <c r="C17" s="13"/>
      <c r="D17" s="13" t="str">
        <f>архикад_демпроём!I15</f>
        <v>Демонтаж дверного блока 700x2100(h)мм.</v>
      </c>
      <c r="E17" s="13">
        <f>архикад_демпроём!D15</f>
        <v>2</v>
      </c>
      <c r="F17" s="13"/>
      <c r="G17" s="13" t="str">
        <f>архикад_демпроём!E15</f>
        <v>закладываемый</v>
      </c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1:18" ht="33" x14ac:dyDescent="0.25">
      <c r="A18" s="12" t="str">
        <f t="shared" si="0"/>
        <v>демпроем</v>
      </c>
      <c r="B18" s="13" t="str">
        <f>архикад_демпроём!A16</f>
        <v>Д14</v>
      </c>
      <c r="C18" s="13"/>
      <c r="D18" s="13" t="str">
        <f>архикад_демпроём!I16</f>
        <v>Демонтаж дверного блока 900x2100(h)мм.</v>
      </c>
      <c r="E18" s="13">
        <f>архикад_демпроём!D16</f>
        <v>1</v>
      </c>
      <c r="F18" s="13"/>
      <c r="G18" s="13" t="str">
        <f>архикад_демпроём!E16</f>
        <v>закладываемый</v>
      </c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1:18" ht="33" x14ac:dyDescent="0.25">
      <c r="A19" s="12" t="str">
        <f t="shared" si="0"/>
        <v>демпроем</v>
      </c>
      <c r="B19" s="13" t="str">
        <f>архикад_демпроём!A17</f>
        <v>Д15</v>
      </c>
      <c r="C19" s="13"/>
      <c r="D19" s="13" t="str">
        <f>архикад_демпроём!I17</f>
        <v>Демонтаж дверного блока 1400x2100(h)мм.</v>
      </c>
      <c r="E19" s="13">
        <f>архикад_демпроём!D17</f>
        <v>1</v>
      </c>
      <c r="F19" s="13"/>
      <c r="G19" s="13" t="str">
        <f>архикад_демпроём!E17</f>
        <v>закладываемый</v>
      </c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1:18" ht="33" x14ac:dyDescent="0.25">
      <c r="A20" s="12" t="str">
        <f t="shared" si="0"/>
        <v>демпроем</v>
      </c>
      <c r="B20" s="13" t="str">
        <f>архикад_демпроём!A18</f>
        <v>Д16</v>
      </c>
      <c r="C20" s="13"/>
      <c r="D20" s="13" t="str">
        <f>архикад_демпроём!I18</f>
        <v>Демонтаж дверного блока 800x2100(h)мм.</v>
      </c>
      <c r="E20" s="13">
        <f>архикад_демпроём!D18</f>
        <v>1</v>
      </c>
      <c r="F20" s="13"/>
      <c r="G20" s="13" t="str">
        <f>архикад_демпроём!E18</f>
        <v>закладываемый</v>
      </c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4"/>
    </row>
    <row r="21" spans="1:18" ht="33" x14ac:dyDescent="0.25">
      <c r="A21" s="12" t="str">
        <f t="shared" si="0"/>
        <v>демпроем</v>
      </c>
      <c r="B21" s="13" t="str">
        <f>архикад_демпроём!A19</f>
        <v>Д17</v>
      </c>
      <c r="C21" s="13"/>
      <c r="D21" s="13" t="str">
        <f>архикад_демпроём!I19</f>
        <v>Демонтаж дверного блока 700x2100(h)мм.</v>
      </c>
      <c r="E21" s="13">
        <f>архикад_демпроём!D19</f>
        <v>5</v>
      </c>
      <c r="F21" s="13"/>
      <c r="G21" s="13" t="str">
        <f>архикад_демпроём!E19</f>
        <v>в дем. стене</v>
      </c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1:18" ht="33" x14ac:dyDescent="0.25">
      <c r="A22" s="12" t="str">
        <f t="shared" si="0"/>
        <v>демпроем</v>
      </c>
      <c r="B22" s="13" t="str">
        <f>архикад_демпроём!A20</f>
        <v>Д18</v>
      </c>
      <c r="C22" s="13"/>
      <c r="D22" s="13" t="str">
        <f>архикад_демпроём!I20</f>
        <v>Демонтаж дверного блока 800x2100(h)мм.</v>
      </c>
      <c r="E22" s="13">
        <f>архикад_демпроём!D20</f>
        <v>6</v>
      </c>
      <c r="F22" s="13"/>
      <c r="G22" s="13" t="str">
        <f>архикад_демпроём!E20</f>
        <v>в дем. стене</v>
      </c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1:18" ht="33" x14ac:dyDescent="0.25">
      <c r="A23" s="12" t="str">
        <f t="shared" si="0"/>
        <v>демпроем</v>
      </c>
      <c r="B23" s="13" t="str">
        <f>архикад_демпроём!A21</f>
        <v>Д19</v>
      </c>
      <c r="C23" s="13"/>
      <c r="D23" s="13" t="str">
        <f>архикад_демпроём!I21</f>
        <v>Демонтаж дверного блока 900x2100(h)мм.</v>
      </c>
      <c r="E23" s="13">
        <f>архикад_демпроём!D21</f>
        <v>4</v>
      </c>
      <c r="F23" s="13"/>
      <c r="G23" s="13" t="str">
        <f>архикад_демпроём!E21</f>
        <v>в дем. стене</v>
      </c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4"/>
    </row>
    <row r="24" spans="1:18" ht="33" x14ac:dyDescent="0.25">
      <c r="A24" s="12" t="str">
        <f t="shared" si="0"/>
        <v>демпроем</v>
      </c>
      <c r="B24" s="13" t="str">
        <f>архикад_демпроём!A22</f>
        <v>Д20</v>
      </c>
      <c r="C24" s="13"/>
      <c r="D24" s="13" t="str">
        <f>архикад_демпроём!I22</f>
        <v>Демонтаж дверного блока 1000x2100(h)мм.</v>
      </c>
      <c r="E24" s="13">
        <f>архикад_демпроём!D22</f>
        <v>1</v>
      </c>
      <c r="F24" s="13"/>
      <c r="G24" s="13" t="str">
        <f>архикад_демпроём!E22</f>
        <v>в дем. стене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4"/>
    </row>
    <row r="25" spans="1:18" ht="33" x14ac:dyDescent="0.25">
      <c r="A25" s="12" t="str">
        <f t="shared" si="0"/>
        <v>демпроем</v>
      </c>
      <c r="B25" s="13" t="str">
        <f>архикад_демпроём!A23</f>
        <v>Д21</v>
      </c>
      <c r="C25" s="13"/>
      <c r="D25" s="13" t="str">
        <f>архикад_демпроём!I23</f>
        <v>Демонтаж дверного блока 680x2100(h)мм.</v>
      </c>
      <c r="E25" s="13">
        <f>архикад_демпроём!D23</f>
        <v>1</v>
      </c>
      <c r="F25" s="13"/>
      <c r="G25" s="13" t="str">
        <f>архикад_демпроём!E23</f>
        <v>в дем. стене</v>
      </c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1:18" ht="33" x14ac:dyDescent="0.25">
      <c r="A26" s="12" t="str">
        <f t="shared" si="0"/>
        <v>демпроем</v>
      </c>
      <c r="B26" s="13" t="str">
        <f>архикад_демпроём!A24</f>
        <v>ОК1</v>
      </c>
      <c r="C26" s="13"/>
      <c r="D26" s="13" t="str">
        <f>архикад_демпроём!I24</f>
        <v>Демонтаж оконного блока 2120x2200(h)мм.</v>
      </c>
      <c r="E26" s="13">
        <f>архикад_демпроём!D24</f>
        <v>12</v>
      </c>
      <c r="F26" s="13"/>
      <c r="G26" s="13" t="str">
        <f>архикад_демпроём!E24</f>
        <v>заменяемый</v>
      </c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  <row r="27" spans="1:18" ht="33" x14ac:dyDescent="0.25">
      <c r="A27" s="12" t="str">
        <f t="shared" si="0"/>
        <v>демпроем</v>
      </c>
      <c r="B27" s="13" t="str">
        <f>архикад_демпроём!A25</f>
        <v>ОК2</v>
      </c>
      <c r="C27" s="13"/>
      <c r="D27" s="13" t="str">
        <f>архикад_демпроём!I25</f>
        <v>Демонтаж оконного блока 2050x2200(h)мм.</v>
      </c>
      <c r="E27" s="13">
        <f>архикад_демпроём!D25</f>
        <v>2</v>
      </c>
      <c r="F27" s="13"/>
      <c r="G27" s="13" t="str">
        <f>архикад_демпроём!E25</f>
        <v>заменяемый</v>
      </c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4"/>
    </row>
    <row r="28" spans="1:18" ht="33" x14ac:dyDescent="0.25">
      <c r="A28" s="12" t="str">
        <f t="shared" si="0"/>
        <v>демпроем</v>
      </c>
      <c r="B28" s="13" t="str">
        <f>архикад_демпроём!A26</f>
        <v>ОК3</v>
      </c>
      <c r="C28" s="13"/>
      <c r="D28" s="13" t="str">
        <f>архикад_демпроём!I26</f>
        <v>Демонтаж оконного блока 1690x2200(h)мм.</v>
      </c>
      <c r="E28" s="13">
        <f>архикад_демпроём!D26</f>
        <v>1</v>
      </c>
      <c r="F28" s="13"/>
      <c r="G28" s="13" t="str">
        <f>архикад_демпроём!E26</f>
        <v>заменяемый</v>
      </c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  <row r="29" spans="1:18" ht="33" x14ac:dyDescent="0.25">
      <c r="A29" s="12" t="str">
        <f t="shared" si="0"/>
        <v>демпроем</v>
      </c>
      <c r="B29" s="13" t="str">
        <f>архикад_демпроём!A27</f>
        <v>ОК4</v>
      </c>
      <c r="C29" s="13"/>
      <c r="D29" s="13" t="str">
        <f>архикад_демпроём!I27</f>
        <v>Демонтаж оконного блока 2120x1650(h)мм.</v>
      </c>
      <c r="E29" s="13">
        <f>архикад_демпроём!D27</f>
        <v>24</v>
      </c>
      <c r="F29" s="13"/>
      <c r="G29" s="13" t="str">
        <f>архикад_демпроём!E27</f>
        <v>заменяемый</v>
      </c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4"/>
    </row>
    <row r="30" spans="1:18" ht="33" x14ac:dyDescent="0.25">
      <c r="A30" s="12" t="str">
        <f t="shared" si="0"/>
        <v>демпроем</v>
      </c>
      <c r="B30" s="13" t="str">
        <f>архикад_демпроём!A28</f>
        <v>ОК5</v>
      </c>
      <c r="C30" s="13"/>
      <c r="D30" s="13" t="str">
        <f>архикад_демпроём!I28</f>
        <v>Демонтаж оконного блока 2210x1650(h)мм.</v>
      </c>
      <c r="E30" s="13">
        <f>архикад_демпроём!D28</f>
        <v>8</v>
      </c>
      <c r="F30" s="13"/>
      <c r="G30" s="13" t="str">
        <f>архикад_демпроём!E28</f>
        <v>заменяемый</v>
      </c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1:18" ht="33" x14ac:dyDescent="0.25">
      <c r="A31" s="12" t="str">
        <f t="shared" si="0"/>
        <v>демпроем</v>
      </c>
      <c r="B31" s="13">
        <f>архикад_демпроём!A29</f>
        <v>0</v>
      </c>
      <c r="C31" s="13"/>
      <c r="D31" s="13" t="str">
        <f>архикад_демпроём!I29</f>
        <v/>
      </c>
      <c r="E31" s="13">
        <f>архикад_демпроём!D29</f>
        <v>0</v>
      </c>
      <c r="F31" s="13"/>
      <c r="G31" s="13">
        <f>архикад_демпроём!E29</f>
        <v>0</v>
      </c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1:18" ht="33" x14ac:dyDescent="0.25">
      <c r="A32" s="12" t="str">
        <f t="shared" si="0"/>
        <v>демпроем</v>
      </c>
      <c r="B32" s="13">
        <f>архикад_демпроём!A30</f>
        <v>0</v>
      </c>
      <c r="C32" s="13"/>
      <c r="D32" s="13" t="str">
        <f>архикад_демпроём!I30</f>
        <v/>
      </c>
      <c r="E32" s="13">
        <f>архикад_демпроём!D30</f>
        <v>0</v>
      </c>
      <c r="F32" s="13"/>
      <c r="G32" s="13">
        <f>архикад_демпроём!E30</f>
        <v>0</v>
      </c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</row>
    <row r="33" spans="1:18" ht="33" x14ac:dyDescent="0.25">
      <c r="A33" s="12" t="str">
        <f t="shared" si="0"/>
        <v>демпроем</v>
      </c>
      <c r="B33" s="13">
        <f>архикад_демпроём!A31</f>
        <v>0</v>
      </c>
      <c r="C33" s="13"/>
      <c r="D33" s="13" t="str">
        <f>архикад_демпроём!I31</f>
        <v/>
      </c>
      <c r="E33" s="13">
        <f>архикад_демпроём!D31</f>
        <v>0</v>
      </c>
      <c r="F33" s="13"/>
      <c r="G33" s="13">
        <f>архикад_демпроём!E31</f>
        <v>0</v>
      </c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4"/>
    </row>
    <row r="34" spans="1:18" ht="33" x14ac:dyDescent="0.25">
      <c r="A34" s="12" t="str">
        <f t="shared" si="0"/>
        <v>демпроем</v>
      </c>
      <c r="B34" s="13">
        <f>архикад_демпроём!A32</f>
        <v>0</v>
      </c>
      <c r="C34" s="13"/>
      <c r="D34" s="13" t="str">
        <f>архикад_демпроём!I32</f>
        <v/>
      </c>
      <c r="E34" s="13">
        <f>архикад_демпроём!D32</f>
        <v>0</v>
      </c>
      <c r="F34" s="13"/>
      <c r="G34" s="13">
        <f>архикад_демпроём!E32</f>
        <v>0</v>
      </c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4"/>
    </row>
    <row r="35" spans="1:18" ht="33" x14ac:dyDescent="0.25">
      <c r="A35" s="12" t="str">
        <f t="shared" si="0"/>
        <v>демпроем</v>
      </c>
      <c r="B35" s="13">
        <f>архикад_демпроём!A33</f>
        <v>0</v>
      </c>
      <c r="C35" s="13"/>
      <c r="D35" s="13" t="str">
        <f>архикад_демпроём!I33</f>
        <v/>
      </c>
      <c r="E35" s="13">
        <f>архикад_демпроём!D33</f>
        <v>0</v>
      </c>
      <c r="F35" s="13"/>
      <c r="G35" s="13">
        <f>архикад_демпроём!E33</f>
        <v>0</v>
      </c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4"/>
    </row>
    <row r="36" spans="1:18" ht="33" x14ac:dyDescent="0.25">
      <c r="A36" s="12" t="str">
        <f t="shared" si="0"/>
        <v>демпроем</v>
      </c>
      <c r="B36" s="13">
        <f>архикад_демпроём!A34</f>
        <v>0</v>
      </c>
      <c r="C36" s="13"/>
      <c r="D36" s="13" t="str">
        <f>архикад_демпроём!I34</f>
        <v/>
      </c>
      <c r="E36" s="13">
        <f>архикад_демпроём!D34</f>
        <v>0</v>
      </c>
      <c r="F36" s="13"/>
      <c r="G36" s="13">
        <f>архикад_демпроём!E34</f>
        <v>0</v>
      </c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4"/>
    </row>
    <row r="37" spans="1:18" ht="33" x14ac:dyDescent="0.25">
      <c r="A37" s="12" t="str">
        <f t="shared" si="0"/>
        <v>демпроем</v>
      </c>
      <c r="B37" s="13">
        <f>архикад_демпроём!A35</f>
        <v>0</v>
      </c>
      <c r="C37" s="13"/>
      <c r="D37" s="13" t="str">
        <f>архикад_демпроём!I35</f>
        <v/>
      </c>
      <c r="E37" s="13">
        <f>архикад_демпроём!D35</f>
        <v>0</v>
      </c>
      <c r="F37" s="13"/>
      <c r="G37" s="13">
        <f>архикад_демпроём!E35</f>
        <v>0</v>
      </c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4"/>
    </row>
    <row r="38" spans="1:18" ht="33" x14ac:dyDescent="0.25">
      <c r="A38" s="12" t="str">
        <f t="shared" si="0"/>
        <v>демпроем</v>
      </c>
      <c r="B38" s="13">
        <f>архикад_демпроём!A36</f>
        <v>0</v>
      </c>
      <c r="C38" s="13"/>
      <c r="D38" s="13" t="str">
        <f>архикад_демпроём!I36</f>
        <v/>
      </c>
      <c r="E38" s="13">
        <f>архикад_демпроём!D36</f>
        <v>0</v>
      </c>
      <c r="F38" s="13"/>
      <c r="G38" s="13">
        <f>архикад_демпроём!E36</f>
        <v>0</v>
      </c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4"/>
    </row>
    <row r="39" spans="1:18" ht="33" x14ac:dyDescent="0.25">
      <c r="A39" s="12" t="str">
        <f t="shared" si="0"/>
        <v>демпроем</v>
      </c>
      <c r="B39" s="13">
        <f>архикад_демпроём!A37</f>
        <v>0</v>
      </c>
      <c r="C39" s="13"/>
      <c r="D39" s="13" t="str">
        <f>архикад_демпроём!I37</f>
        <v/>
      </c>
      <c r="E39" s="13">
        <f>архикад_демпроём!D37</f>
        <v>0</v>
      </c>
      <c r="F39" s="13"/>
      <c r="G39" s="13">
        <f>архикад_демпроём!E37</f>
        <v>0</v>
      </c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4"/>
    </row>
    <row r="40" spans="1:18" ht="33" x14ac:dyDescent="0.25">
      <c r="A40" s="12" t="str">
        <f t="shared" si="0"/>
        <v>демпроем</v>
      </c>
      <c r="B40" s="13">
        <f>архикад_демпроём!A38</f>
        <v>0</v>
      </c>
      <c r="C40" s="13"/>
      <c r="D40" s="13" t="str">
        <f>архикад_демпроём!I38</f>
        <v/>
      </c>
      <c r="E40" s="13">
        <f>архикад_демпроём!D38</f>
        <v>0</v>
      </c>
      <c r="F40" s="13"/>
      <c r="G40" s="13">
        <f>архикад_демпроём!E38</f>
        <v>0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4"/>
    </row>
    <row r="41" spans="1:18" ht="33" x14ac:dyDescent="0.25">
      <c r="A41" s="12" t="str">
        <f t="shared" si="0"/>
        <v>демпроем</v>
      </c>
      <c r="B41" s="13">
        <f>архикад_демпроём!A39</f>
        <v>0</v>
      </c>
      <c r="C41" s="13"/>
      <c r="D41" s="13" t="str">
        <f>архикад_демпроём!I39</f>
        <v/>
      </c>
      <c r="E41" s="13">
        <f>архикад_демпроём!D39</f>
        <v>0</v>
      </c>
      <c r="F41" s="13"/>
      <c r="G41" s="13">
        <f>архикад_демпроём!E39</f>
        <v>0</v>
      </c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</row>
    <row r="42" spans="1:18" ht="33" x14ac:dyDescent="0.25">
      <c r="A42" s="12" t="str">
        <f t="shared" si="0"/>
        <v>демпроем</v>
      </c>
      <c r="B42" s="13">
        <f>архикад_демпроём!A40</f>
        <v>0</v>
      </c>
      <c r="C42" s="13"/>
      <c r="D42" s="13" t="str">
        <f>архикад_демпроём!I40</f>
        <v/>
      </c>
      <c r="E42" s="13">
        <f>архикад_демпроём!D40</f>
        <v>0</v>
      </c>
      <c r="F42" s="13"/>
      <c r="G42" s="13">
        <f>архикад_демпроём!E40</f>
        <v>0</v>
      </c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</row>
    <row r="43" spans="1:18" ht="33" x14ac:dyDescent="0.25">
      <c r="A43" s="12" t="str">
        <f t="shared" si="0"/>
        <v>демпроем</v>
      </c>
      <c r="B43" s="13">
        <f>архикад_демпроём!A41</f>
        <v>0</v>
      </c>
      <c r="C43" s="13"/>
      <c r="D43" s="13" t="str">
        <f>архикад_демпроём!I41</f>
        <v/>
      </c>
      <c r="E43" s="13">
        <f>архикад_демпроём!D41</f>
        <v>0</v>
      </c>
      <c r="F43" s="13"/>
      <c r="G43" s="13">
        <f>архикад_демпроём!E41</f>
        <v>0</v>
      </c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</row>
    <row r="44" spans="1:18" ht="33" x14ac:dyDescent="0.25">
      <c r="A44" s="12" t="str">
        <f t="shared" si="0"/>
        <v>демпроем</v>
      </c>
      <c r="B44" s="13">
        <f>архикад_демпроём!A42</f>
        <v>0</v>
      </c>
      <c r="C44" s="13"/>
      <c r="D44" s="13" t="str">
        <f>архикад_демпроём!I42</f>
        <v/>
      </c>
      <c r="E44" s="13">
        <f>архикад_демпроём!D42</f>
        <v>0</v>
      </c>
      <c r="F44" s="13"/>
      <c r="G44" s="13">
        <f>архикад_демпроём!E42</f>
        <v>0</v>
      </c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4"/>
    </row>
    <row r="45" spans="1:18" ht="33" x14ac:dyDescent="0.25">
      <c r="A45" s="12" t="str">
        <f t="shared" si="0"/>
        <v>демпроем</v>
      </c>
      <c r="B45" s="13">
        <f>архикад_демпроём!A43</f>
        <v>0</v>
      </c>
      <c r="C45" s="13"/>
      <c r="D45" s="13" t="str">
        <f>архикад_демпроём!I43</f>
        <v/>
      </c>
      <c r="E45" s="13">
        <f>архикад_демпроём!D43</f>
        <v>0</v>
      </c>
      <c r="F45" s="13"/>
      <c r="G45" s="13">
        <f>архикад_демпроём!E43</f>
        <v>0</v>
      </c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4"/>
    </row>
    <row r="46" spans="1:18" ht="33" x14ac:dyDescent="0.25">
      <c r="A46" s="12" t="str">
        <f t="shared" si="0"/>
        <v>демпроем</v>
      </c>
      <c r="B46" s="13">
        <f>архикад_демпроём!A44</f>
        <v>0</v>
      </c>
      <c r="C46" s="13"/>
      <c r="D46" s="13" t="str">
        <f>архикад_демпроём!I44</f>
        <v/>
      </c>
      <c r="E46" s="13">
        <f>архикад_демпроём!D44</f>
        <v>0</v>
      </c>
      <c r="F46" s="13"/>
      <c r="G46" s="13">
        <f>архикад_демпроём!E44</f>
        <v>0</v>
      </c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4"/>
    </row>
    <row r="47" spans="1:18" ht="33" x14ac:dyDescent="0.25">
      <c r="A47" s="12" t="str">
        <f t="shared" si="0"/>
        <v>демпроем</v>
      </c>
      <c r="B47" s="13">
        <f>архикад_демпроём!A45</f>
        <v>0</v>
      </c>
      <c r="C47" s="13"/>
      <c r="D47" s="13" t="str">
        <f>архикад_демпроём!I45</f>
        <v/>
      </c>
      <c r="E47" s="13">
        <f>архикад_демпроём!D45</f>
        <v>0</v>
      </c>
      <c r="F47" s="13"/>
      <c r="G47" s="13">
        <f>архикад_демпроём!E45</f>
        <v>0</v>
      </c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4"/>
    </row>
    <row r="48" spans="1:18" ht="33" x14ac:dyDescent="0.25">
      <c r="A48" s="12" t="str">
        <f t="shared" si="0"/>
        <v>демпроем</v>
      </c>
      <c r="B48" s="13">
        <f>архикад_демпроём!A46</f>
        <v>0</v>
      </c>
      <c r="C48" s="13"/>
      <c r="D48" s="13" t="str">
        <f>архикад_демпроём!I46</f>
        <v/>
      </c>
      <c r="E48" s="13">
        <f>архикад_демпроём!D46</f>
        <v>0</v>
      </c>
      <c r="F48" s="13"/>
      <c r="G48" s="13">
        <f>архикад_демпроём!E46</f>
        <v>0</v>
      </c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4"/>
    </row>
    <row r="49" spans="1:18" ht="33" x14ac:dyDescent="0.25">
      <c r="A49" s="12" t="str">
        <f t="shared" si="0"/>
        <v>демпроем</v>
      </c>
      <c r="B49" s="13">
        <f>архикад_демпроём!A47</f>
        <v>0</v>
      </c>
      <c r="C49" s="13"/>
      <c r="D49" s="13" t="str">
        <f>архикад_демпроём!I47</f>
        <v/>
      </c>
      <c r="E49" s="13">
        <f>архикад_демпроём!D47</f>
        <v>0</v>
      </c>
      <c r="F49" s="13"/>
      <c r="G49" s="13">
        <f>архикад_демпроём!E47</f>
        <v>0</v>
      </c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4"/>
    </row>
    <row r="50" spans="1:18" ht="33" x14ac:dyDescent="0.25">
      <c r="A50" s="12" t="str">
        <f t="shared" si="0"/>
        <v>демпроем</v>
      </c>
      <c r="B50" s="13">
        <f>архикад_демпроём!A48</f>
        <v>0</v>
      </c>
      <c r="C50" s="13"/>
      <c r="D50" s="13" t="str">
        <f>архикад_демпроём!I48</f>
        <v/>
      </c>
      <c r="E50" s="13">
        <f>архикад_демпроём!D48</f>
        <v>0</v>
      </c>
      <c r="F50" s="13"/>
      <c r="G50" s="13">
        <f>архикад_демпроём!E48</f>
        <v>0</v>
      </c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4"/>
    </row>
    <row r="51" spans="1:18" ht="33" x14ac:dyDescent="0.25">
      <c r="A51" s="12" t="str">
        <f t="shared" si="0"/>
        <v>демпроем</v>
      </c>
      <c r="B51" s="13">
        <f>архикад_демпроём!A49</f>
        <v>0</v>
      </c>
      <c r="C51" s="13"/>
      <c r="D51" s="13" t="str">
        <f>архикад_демпроём!I49</f>
        <v/>
      </c>
      <c r="E51" s="13">
        <f>архикад_демпроём!D49</f>
        <v>0</v>
      </c>
      <c r="F51" s="13"/>
      <c r="G51" s="13">
        <f>архикад_демпроём!E49</f>
        <v>0</v>
      </c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4"/>
    </row>
    <row r="52" spans="1:18" ht="33" x14ac:dyDescent="0.25">
      <c r="A52" s="12" t="str">
        <f t="shared" si="0"/>
        <v>демпроем</v>
      </c>
      <c r="B52" s="13">
        <f>архикад_демпроём!A50</f>
        <v>0</v>
      </c>
      <c r="C52" s="13"/>
      <c r="D52" s="13" t="str">
        <f>архикад_демпроём!I50</f>
        <v/>
      </c>
      <c r="E52" s="13">
        <f>архикад_демпроём!D50</f>
        <v>0</v>
      </c>
      <c r="F52" s="13"/>
      <c r="G52" s="13">
        <f>архикад_демпроём!E50</f>
        <v>0</v>
      </c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4"/>
    </row>
    <row r="53" spans="1:18" ht="33" x14ac:dyDescent="0.25">
      <c r="A53" s="12" t="str">
        <f t="shared" si="0"/>
        <v>демпроем</v>
      </c>
      <c r="B53" s="13">
        <f>архикад_демпроём!A51</f>
        <v>0</v>
      </c>
      <c r="C53" s="13"/>
      <c r="D53" s="13" t="str">
        <f>архикад_демпроём!I51</f>
        <v/>
      </c>
      <c r="E53" s="13">
        <f>архикад_демпроём!D51</f>
        <v>0</v>
      </c>
      <c r="F53" s="13"/>
      <c r="G53" s="13">
        <f>архикад_демпроём!E51</f>
        <v>0</v>
      </c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4"/>
    </row>
    <row r="54" spans="1:18" ht="33" x14ac:dyDescent="0.25">
      <c r="A54" s="12" t="str">
        <f t="shared" si="0"/>
        <v>демпроем</v>
      </c>
      <c r="B54" s="13">
        <f>архикад_демпроём!A52</f>
        <v>0</v>
      </c>
      <c r="C54" s="13"/>
      <c r="D54" s="13" t="str">
        <f>архикад_демпроём!I52</f>
        <v/>
      </c>
      <c r="E54" s="13">
        <f>архикад_демпроём!D52</f>
        <v>0</v>
      </c>
      <c r="F54" s="13"/>
      <c r="G54" s="13">
        <f>архикад_демпроём!E52</f>
        <v>0</v>
      </c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4"/>
    </row>
    <row r="55" spans="1:18" ht="33" x14ac:dyDescent="0.25">
      <c r="A55" s="12" t="str">
        <f t="shared" si="0"/>
        <v>демпроем</v>
      </c>
      <c r="B55" s="13">
        <f>архикад_демпроём!A53</f>
        <v>0</v>
      </c>
      <c r="C55" s="13"/>
      <c r="D55" s="13" t="str">
        <f>архикад_демпроём!I53</f>
        <v/>
      </c>
      <c r="E55" s="13">
        <f>архикад_демпроём!D53</f>
        <v>0</v>
      </c>
      <c r="F55" s="13"/>
      <c r="G55" s="13">
        <f>архикад_демпроём!E53</f>
        <v>0</v>
      </c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4"/>
    </row>
    <row r="56" spans="1:18" ht="33" x14ac:dyDescent="0.25">
      <c r="A56" s="12" t="str">
        <f t="shared" si="0"/>
        <v>демпроем</v>
      </c>
      <c r="B56" s="13">
        <f>архикад_демпроём!A54</f>
        <v>0</v>
      </c>
      <c r="C56" s="13"/>
      <c r="D56" s="13" t="str">
        <f>архикад_демпроём!I54</f>
        <v/>
      </c>
      <c r="E56" s="13">
        <f>архикад_демпроём!D54</f>
        <v>0</v>
      </c>
      <c r="F56" s="13"/>
      <c r="G56" s="13">
        <f>архикад_демпроём!E54</f>
        <v>0</v>
      </c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4"/>
    </row>
    <row r="57" spans="1:18" ht="33" x14ac:dyDescent="0.25">
      <c r="A57" s="12" t="str">
        <f t="shared" si="0"/>
        <v>демпроем</v>
      </c>
      <c r="B57" s="13">
        <f>архикад_демпроём!A55</f>
        <v>0</v>
      </c>
      <c r="C57" s="13"/>
      <c r="D57" s="13" t="str">
        <f>архикад_демпроём!I55</f>
        <v/>
      </c>
      <c r="E57" s="13">
        <f>архикад_демпроём!D55</f>
        <v>0</v>
      </c>
      <c r="F57" s="13"/>
      <c r="G57" s="13">
        <f>архикад_демпроём!E55</f>
        <v>0</v>
      </c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4"/>
    </row>
    <row r="58" spans="1:18" ht="33" x14ac:dyDescent="0.25">
      <c r="A58" s="12" t="str">
        <f t="shared" si="0"/>
        <v>демпроем</v>
      </c>
      <c r="B58" s="13">
        <f>архикад_демпроём!A56</f>
        <v>0</v>
      </c>
      <c r="C58" s="13"/>
      <c r="D58" s="13" t="str">
        <f>архикад_демпроём!I56</f>
        <v/>
      </c>
      <c r="E58" s="13">
        <f>архикад_демпроём!D56</f>
        <v>0</v>
      </c>
      <c r="F58" s="13"/>
      <c r="G58" s="13">
        <f>архикад_демпроём!E56</f>
        <v>0</v>
      </c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4"/>
    </row>
    <row r="59" spans="1:18" ht="33" x14ac:dyDescent="0.25">
      <c r="A59" s="12" t="str">
        <f t="shared" si="0"/>
        <v>демпроем</v>
      </c>
      <c r="B59" s="13">
        <f>архикад_демпроём!A57</f>
        <v>0</v>
      </c>
      <c r="C59" s="13"/>
      <c r="D59" s="13" t="str">
        <f>архикад_демпроём!I57</f>
        <v/>
      </c>
      <c r="E59" s="13">
        <f>архикад_демпроём!D57</f>
        <v>0</v>
      </c>
      <c r="F59" s="13"/>
      <c r="G59" s="13">
        <f>архикад_демпроём!E57</f>
        <v>0</v>
      </c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4"/>
    </row>
    <row r="60" spans="1:18" ht="33" x14ac:dyDescent="0.25">
      <c r="A60" s="12" t="str">
        <f t="shared" si="0"/>
        <v>демпроем</v>
      </c>
      <c r="B60" s="13">
        <f>архикад_демпроём!A58</f>
        <v>0</v>
      </c>
      <c r="C60" s="13"/>
      <c r="D60" s="13" t="str">
        <f>архикад_демпроём!I58</f>
        <v/>
      </c>
      <c r="E60" s="13">
        <f>архикад_демпроём!D58</f>
        <v>0</v>
      </c>
      <c r="F60" s="13"/>
      <c r="G60" s="13">
        <f>архикад_демпроём!E58</f>
        <v>0</v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4"/>
    </row>
    <row r="61" spans="1:18" ht="33" x14ac:dyDescent="0.25">
      <c r="A61" s="12" t="str">
        <f t="shared" si="0"/>
        <v>демпроем</v>
      </c>
      <c r="B61" s="13">
        <f>архикад_демпроём!A59</f>
        <v>0</v>
      </c>
      <c r="C61" s="13"/>
      <c r="D61" s="13" t="str">
        <f>архикад_демпроём!I59</f>
        <v/>
      </c>
      <c r="E61" s="13">
        <f>архикад_демпроём!D59</f>
        <v>0</v>
      </c>
      <c r="F61" s="13"/>
      <c r="G61" s="13">
        <f>архикад_демпроём!E59</f>
        <v>0</v>
      </c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4"/>
    </row>
    <row r="62" spans="1:18" ht="33" x14ac:dyDescent="0.25">
      <c r="A62" s="12" t="str">
        <f t="shared" si="0"/>
        <v>демпроем</v>
      </c>
      <c r="B62" s="13">
        <f>архикад_демпроём!A60</f>
        <v>0</v>
      </c>
      <c r="C62" s="13"/>
      <c r="D62" s="13" t="str">
        <f>архикад_демпроём!I60</f>
        <v/>
      </c>
      <c r="E62" s="13">
        <f>архикад_демпроём!D60</f>
        <v>0</v>
      </c>
      <c r="F62" s="13"/>
      <c r="G62" s="13">
        <f>архикад_демпроём!E60</f>
        <v>0</v>
      </c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4"/>
    </row>
    <row r="63" spans="1:18" ht="33" x14ac:dyDescent="0.25">
      <c r="A63" s="12" t="str">
        <f t="shared" si="0"/>
        <v>демпроем</v>
      </c>
      <c r="B63" s="13">
        <f>архикад_демпроём!A61</f>
        <v>0</v>
      </c>
      <c r="C63" s="13"/>
      <c r="D63" s="13" t="str">
        <f>архикад_демпроём!I61</f>
        <v/>
      </c>
      <c r="E63" s="13">
        <f>архикад_демпроём!D61</f>
        <v>0</v>
      </c>
      <c r="F63" s="13"/>
      <c r="G63" s="13">
        <f>архикад_демпроём!E61</f>
        <v>0</v>
      </c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4"/>
    </row>
    <row r="64" spans="1:18" ht="33" x14ac:dyDescent="0.25">
      <c r="A64" s="12" t="str">
        <f t="shared" si="0"/>
        <v>демпроем</v>
      </c>
      <c r="B64" s="13">
        <f>архикад_демпроём!A62</f>
        <v>0</v>
      </c>
      <c r="C64" s="13"/>
      <c r="D64" s="13" t="str">
        <f>архикад_демпроём!I62</f>
        <v/>
      </c>
      <c r="E64" s="13">
        <f>архикад_демпроём!D62</f>
        <v>0</v>
      </c>
      <c r="F64" s="13"/>
      <c r="G64" s="13">
        <f>архикад_демпроём!E62</f>
        <v>0</v>
      </c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4"/>
    </row>
    <row r="65" spans="1:18" ht="33" x14ac:dyDescent="0.25">
      <c r="A65" s="12" t="str">
        <f t="shared" si="0"/>
        <v>демпроем</v>
      </c>
      <c r="B65" s="13">
        <f>архикад_демпроём!A63</f>
        <v>0</v>
      </c>
      <c r="C65" s="13"/>
      <c r="D65" s="13" t="str">
        <f>архикад_демпроём!I63</f>
        <v/>
      </c>
      <c r="E65" s="13">
        <f>архикад_демпроём!D63</f>
        <v>0</v>
      </c>
      <c r="F65" s="13"/>
      <c r="G65" s="13">
        <f>архикад_демпроём!E63</f>
        <v>0</v>
      </c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4"/>
    </row>
    <row r="66" spans="1:18" ht="33" x14ac:dyDescent="0.25">
      <c r="A66" s="12" t="str">
        <f t="shared" si="0"/>
        <v>демпроем</v>
      </c>
      <c r="B66" s="13">
        <f>архикад_демпроём!A64</f>
        <v>0</v>
      </c>
      <c r="C66" s="13"/>
      <c r="D66" s="13" t="str">
        <f>архикад_демпроём!I64</f>
        <v/>
      </c>
      <c r="E66" s="13">
        <f>архикад_демпроём!D64</f>
        <v>0</v>
      </c>
      <c r="F66" s="13"/>
      <c r="G66" s="13">
        <f>архикад_демпроём!E64</f>
        <v>0</v>
      </c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4"/>
    </row>
    <row r="67" spans="1:18" ht="33" x14ac:dyDescent="0.25">
      <c r="A67" s="12" t="str">
        <f t="shared" si="0"/>
        <v>демпроем</v>
      </c>
      <c r="B67" s="13">
        <f>архикад_демпроём!A65</f>
        <v>0</v>
      </c>
      <c r="C67" s="13"/>
      <c r="D67" s="13" t="str">
        <f>архикад_демпроём!I65</f>
        <v/>
      </c>
      <c r="E67" s="13">
        <f>архикад_демпроём!D65</f>
        <v>0</v>
      </c>
      <c r="F67" s="13"/>
      <c r="G67" s="13">
        <f>архикад_демпроём!E65</f>
        <v>0</v>
      </c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4"/>
    </row>
    <row r="68" spans="1:18" ht="33" x14ac:dyDescent="0.25">
      <c r="A68" s="12" t="str">
        <f t="shared" si="0"/>
        <v>демпроем</v>
      </c>
      <c r="B68" s="13">
        <f>архикад_демпроём!A66</f>
        <v>0</v>
      </c>
      <c r="C68" s="13"/>
      <c r="D68" s="13" t="str">
        <f>архикад_демпроём!I66</f>
        <v/>
      </c>
      <c r="E68" s="13">
        <f>архикад_демпроём!D66</f>
        <v>0</v>
      </c>
      <c r="F68" s="13"/>
      <c r="G68" s="13">
        <f>архикад_демпроём!E66</f>
        <v>0</v>
      </c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4"/>
    </row>
    <row r="69" spans="1:18" ht="33" x14ac:dyDescent="0.25">
      <c r="A69" s="12" t="str">
        <f t="shared" si="0"/>
        <v>демпроем</v>
      </c>
      <c r="B69" s="13">
        <f>архикад_демпроём!A67</f>
        <v>0</v>
      </c>
      <c r="C69" s="13"/>
      <c r="D69" s="13" t="str">
        <f>архикад_демпроём!I67</f>
        <v/>
      </c>
      <c r="E69" s="13">
        <f>архикад_демпроём!D67</f>
        <v>0</v>
      </c>
      <c r="F69" s="13"/>
      <c r="G69" s="13">
        <f>архикад_демпроём!E67</f>
        <v>0</v>
      </c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4"/>
    </row>
    <row r="70" spans="1:18" ht="33" x14ac:dyDescent="0.25">
      <c r="A70" s="12" t="str">
        <f t="shared" ref="A70:A133" si="1">A69</f>
        <v>демпроем</v>
      </c>
      <c r="B70" s="13">
        <f>архикад_демпроём!A68</f>
        <v>0</v>
      </c>
      <c r="C70" s="13"/>
      <c r="D70" s="13" t="str">
        <f>архикад_демпроём!I68</f>
        <v/>
      </c>
      <c r="E70" s="13">
        <f>архикад_демпроём!D68</f>
        <v>0</v>
      </c>
      <c r="F70" s="13"/>
      <c r="G70" s="13">
        <f>архикад_демпроём!E68</f>
        <v>0</v>
      </c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4"/>
    </row>
    <row r="71" spans="1:18" ht="33" x14ac:dyDescent="0.25">
      <c r="A71" s="12" t="str">
        <f t="shared" si="1"/>
        <v>демпроем</v>
      </c>
      <c r="B71" s="13">
        <f>архикад_демпроём!A69</f>
        <v>0</v>
      </c>
      <c r="C71" s="13"/>
      <c r="D71" s="13" t="str">
        <f>архикад_демпроём!I69</f>
        <v/>
      </c>
      <c r="E71" s="13">
        <f>архикад_демпроём!D69</f>
        <v>0</v>
      </c>
      <c r="F71" s="13"/>
      <c r="G71" s="13">
        <f>архикад_демпроём!E69</f>
        <v>0</v>
      </c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4"/>
    </row>
    <row r="72" spans="1:18" ht="33" x14ac:dyDescent="0.25">
      <c r="A72" s="12" t="str">
        <f t="shared" si="1"/>
        <v>демпроем</v>
      </c>
      <c r="B72" s="13">
        <f>архикад_демпроём!A70</f>
        <v>0</v>
      </c>
      <c r="C72" s="13"/>
      <c r="D72" s="13" t="str">
        <f>архикад_демпроём!I70</f>
        <v/>
      </c>
      <c r="E72" s="13">
        <f>архикад_демпроём!D70</f>
        <v>0</v>
      </c>
      <c r="F72" s="13"/>
      <c r="G72" s="13">
        <f>архикад_демпроём!E70</f>
        <v>0</v>
      </c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4"/>
    </row>
    <row r="73" spans="1:18" ht="33" x14ac:dyDescent="0.25">
      <c r="A73" s="12" t="str">
        <f t="shared" si="1"/>
        <v>демпроем</v>
      </c>
      <c r="B73" s="13">
        <f>архикад_демпроём!A71</f>
        <v>0</v>
      </c>
      <c r="C73" s="13"/>
      <c r="D73" s="13" t="str">
        <f>архикад_демпроём!I71</f>
        <v/>
      </c>
      <c r="E73" s="13">
        <f>архикад_демпроём!D71</f>
        <v>0</v>
      </c>
      <c r="F73" s="13"/>
      <c r="G73" s="13">
        <f>архикад_демпроём!E71</f>
        <v>0</v>
      </c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4"/>
    </row>
    <row r="74" spans="1:18" ht="33" x14ac:dyDescent="0.25">
      <c r="A74" s="12" t="str">
        <f t="shared" si="1"/>
        <v>демпроем</v>
      </c>
      <c r="B74" s="13">
        <f>архикад_демпроём!A72</f>
        <v>0</v>
      </c>
      <c r="C74" s="13"/>
      <c r="D74" s="13" t="str">
        <f>архикад_демпроём!I72</f>
        <v/>
      </c>
      <c r="E74" s="13">
        <f>архикад_демпроём!D72</f>
        <v>0</v>
      </c>
      <c r="F74" s="13"/>
      <c r="G74" s="13">
        <f>архикад_демпроём!E72</f>
        <v>0</v>
      </c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4"/>
    </row>
    <row r="75" spans="1:18" ht="33" x14ac:dyDescent="0.25">
      <c r="A75" s="12" t="str">
        <f t="shared" si="1"/>
        <v>демпроем</v>
      </c>
      <c r="B75" s="13">
        <f>архикад_демпроём!A73</f>
        <v>0</v>
      </c>
      <c r="C75" s="13"/>
      <c r="D75" s="13" t="str">
        <f>архикад_демпроём!I73</f>
        <v/>
      </c>
      <c r="E75" s="13">
        <f>архикад_демпроём!D73</f>
        <v>0</v>
      </c>
      <c r="F75" s="13"/>
      <c r="G75" s="13">
        <f>архикад_демпроём!E73</f>
        <v>0</v>
      </c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4"/>
    </row>
    <row r="76" spans="1:18" ht="33" x14ac:dyDescent="0.25">
      <c r="A76" s="12" t="str">
        <f t="shared" si="1"/>
        <v>демпроем</v>
      </c>
      <c r="B76" s="13">
        <f>архикад_демпроём!A74</f>
        <v>0</v>
      </c>
      <c r="C76" s="13"/>
      <c r="D76" s="13" t="str">
        <f>архикад_демпроём!I74</f>
        <v/>
      </c>
      <c r="E76" s="13">
        <f>архикад_демпроём!D74</f>
        <v>0</v>
      </c>
      <c r="F76" s="13"/>
      <c r="G76" s="13">
        <f>архикад_демпроём!E74</f>
        <v>0</v>
      </c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4"/>
    </row>
    <row r="77" spans="1:18" ht="33" x14ac:dyDescent="0.25">
      <c r="A77" s="12" t="str">
        <f t="shared" si="1"/>
        <v>демпроем</v>
      </c>
      <c r="B77" s="13">
        <f>архикад_демпроём!A75</f>
        <v>0</v>
      </c>
      <c r="C77" s="13"/>
      <c r="D77" s="13" t="str">
        <f>архикад_демпроём!I75</f>
        <v/>
      </c>
      <c r="E77" s="13">
        <f>архикад_демпроём!D75</f>
        <v>0</v>
      </c>
      <c r="F77" s="13"/>
      <c r="G77" s="13">
        <f>архикад_демпроём!E75</f>
        <v>0</v>
      </c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4"/>
    </row>
    <row r="78" spans="1:18" ht="33" x14ac:dyDescent="0.25">
      <c r="A78" s="12" t="str">
        <f t="shared" si="1"/>
        <v>демпроем</v>
      </c>
      <c r="B78" s="13">
        <f>архикад_демпроём!A76</f>
        <v>0</v>
      </c>
      <c r="C78" s="13"/>
      <c r="D78" s="13" t="str">
        <f>архикад_демпроём!I76</f>
        <v/>
      </c>
      <c r="E78" s="13">
        <f>архикад_демпроём!D76</f>
        <v>0</v>
      </c>
      <c r="F78" s="13"/>
      <c r="G78" s="13">
        <f>архикад_демпроём!E76</f>
        <v>0</v>
      </c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4"/>
    </row>
    <row r="79" spans="1:18" ht="33" x14ac:dyDescent="0.25">
      <c r="A79" s="12" t="str">
        <f t="shared" si="1"/>
        <v>демпроем</v>
      </c>
      <c r="B79" s="13">
        <f>архикад_демпроём!A77</f>
        <v>0</v>
      </c>
      <c r="C79" s="13"/>
      <c r="D79" s="13" t="str">
        <f>архикад_демпроём!I77</f>
        <v/>
      </c>
      <c r="E79" s="13">
        <f>архикад_демпроём!D77</f>
        <v>0</v>
      </c>
      <c r="F79" s="13"/>
      <c r="G79" s="13">
        <f>архикад_демпроём!E77</f>
        <v>0</v>
      </c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4"/>
    </row>
    <row r="80" spans="1:18" ht="33" x14ac:dyDescent="0.25">
      <c r="A80" s="12" t="str">
        <f t="shared" si="1"/>
        <v>демпроем</v>
      </c>
      <c r="B80" s="13">
        <f>архикад_демпроём!A78</f>
        <v>0</v>
      </c>
      <c r="C80" s="13"/>
      <c r="D80" s="13" t="str">
        <f>архикад_демпроём!I78</f>
        <v/>
      </c>
      <c r="E80" s="13">
        <f>архикад_демпроём!D78</f>
        <v>0</v>
      </c>
      <c r="F80" s="13"/>
      <c r="G80" s="13">
        <f>архикад_демпроём!E78</f>
        <v>0</v>
      </c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4"/>
    </row>
    <row r="81" spans="1:18" ht="33" x14ac:dyDescent="0.25">
      <c r="A81" s="12" t="str">
        <f t="shared" si="1"/>
        <v>демпроем</v>
      </c>
      <c r="B81" s="13">
        <f>архикад_демпроём!A79</f>
        <v>0</v>
      </c>
      <c r="C81" s="13"/>
      <c r="D81" s="13" t="str">
        <f>архикад_демпроём!I79</f>
        <v/>
      </c>
      <c r="E81" s="13">
        <f>архикад_демпроём!D79</f>
        <v>0</v>
      </c>
      <c r="F81" s="13"/>
      <c r="G81" s="13">
        <f>архикад_демпроём!E79</f>
        <v>0</v>
      </c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4"/>
    </row>
    <row r="82" spans="1:18" ht="33" x14ac:dyDescent="0.25">
      <c r="A82" s="12" t="str">
        <f t="shared" si="1"/>
        <v>демпроем</v>
      </c>
      <c r="B82" s="13">
        <f>архикад_демпроём!A80</f>
        <v>0</v>
      </c>
      <c r="C82" s="13"/>
      <c r="D82" s="13" t="str">
        <f>архикад_демпроём!I80</f>
        <v/>
      </c>
      <c r="E82" s="13">
        <f>архикад_демпроём!D80</f>
        <v>0</v>
      </c>
      <c r="F82" s="13"/>
      <c r="G82" s="13">
        <f>архикад_демпроём!E80</f>
        <v>0</v>
      </c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4"/>
    </row>
    <row r="83" spans="1:18" ht="33" x14ac:dyDescent="0.25">
      <c r="A83" s="12" t="str">
        <f t="shared" si="1"/>
        <v>демпроем</v>
      </c>
      <c r="B83" s="13">
        <f>архикад_демпроём!A81</f>
        <v>0</v>
      </c>
      <c r="C83" s="13"/>
      <c r="D83" s="13" t="str">
        <f>архикад_демпроём!I81</f>
        <v/>
      </c>
      <c r="E83" s="13">
        <f>архикад_демпроём!D81</f>
        <v>0</v>
      </c>
      <c r="F83" s="13"/>
      <c r="G83" s="13">
        <f>архикад_демпроём!E81</f>
        <v>0</v>
      </c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4"/>
    </row>
    <row r="84" spans="1:18" ht="33" x14ac:dyDescent="0.25">
      <c r="A84" s="12" t="str">
        <f t="shared" si="1"/>
        <v>демпроем</v>
      </c>
      <c r="B84" s="13">
        <f>архикад_демпроём!A82</f>
        <v>0</v>
      </c>
      <c r="C84" s="13"/>
      <c r="D84" s="13" t="str">
        <f>архикад_демпроём!I82</f>
        <v/>
      </c>
      <c r="E84" s="13">
        <f>архикад_демпроём!D82</f>
        <v>0</v>
      </c>
      <c r="F84" s="13"/>
      <c r="G84" s="13">
        <f>архикад_демпроём!E82</f>
        <v>0</v>
      </c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4"/>
    </row>
    <row r="85" spans="1:18" ht="33" x14ac:dyDescent="0.25">
      <c r="A85" s="12" t="str">
        <f t="shared" si="1"/>
        <v>демпроем</v>
      </c>
      <c r="B85" s="13">
        <f>архикад_демпроём!A83</f>
        <v>0</v>
      </c>
      <c r="C85" s="13"/>
      <c r="D85" s="13" t="str">
        <f>архикад_демпроём!I83</f>
        <v/>
      </c>
      <c r="E85" s="13">
        <f>архикад_демпроём!D83</f>
        <v>0</v>
      </c>
      <c r="F85" s="13"/>
      <c r="G85" s="13">
        <f>архикад_демпроём!E83</f>
        <v>0</v>
      </c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4"/>
    </row>
    <row r="86" spans="1:18" ht="33" x14ac:dyDescent="0.25">
      <c r="A86" s="12" t="str">
        <f t="shared" si="1"/>
        <v>демпроем</v>
      </c>
      <c r="B86" s="13">
        <f>архикад_демпроём!A84</f>
        <v>0</v>
      </c>
      <c r="C86" s="13"/>
      <c r="D86" s="13" t="str">
        <f>архикад_демпроём!I84</f>
        <v/>
      </c>
      <c r="E86" s="13">
        <f>архикад_демпроём!D84</f>
        <v>0</v>
      </c>
      <c r="F86" s="13"/>
      <c r="G86" s="13">
        <f>архикад_демпроём!E84</f>
        <v>0</v>
      </c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4"/>
    </row>
    <row r="87" spans="1:18" ht="33" x14ac:dyDescent="0.25">
      <c r="A87" s="12" t="str">
        <f t="shared" si="1"/>
        <v>демпроем</v>
      </c>
      <c r="B87" s="13">
        <f>архикад_демпроём!A85</f>
        <v>0</v>
      </c>
      <c r="C87" s="13"/>
      <c r="D87" s="13" t="str">
        <f>архикад_демпроём!I85</f>
        <v/>
      </c>
      <c r="E87" s="13">
        <f>архикад_демпроём!D85</f>
        <v>0</v>
      </c>
      <c r="F87" s="13"/>
      <c r="G87" s="13">
        <f>архикад_демпроём!E85</f>
        <v>0</v>
      </c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4"/>
    </row>
    <row r="88" spans="1:18" ht="33" x14ac:dyDescent="0.25">
      <c r="A88" s="12" t="str">
        <f t="shared" si="1"/>
        <v>демпроем</v>
      </c>
      <c r="B88" s="13">
        <f>архикад_демпроём!A86</f>
        <v>0</v>
      </c>
      <c r="C88" s="13"/>
      <c r="D88" s="13" t="str">
        <f>архикад_демпроём!I86</f>
        <v/>
      </c>
      <c r="E88" s="13">
        <f>архикад_демпроём!D86</f>
        <v>0</v>
      </c>
      <c r="F88" s="13"/>
      <c r="G88" s="13">
        <f>архикад_демпроём!E86</f>
        <v>0</v>
      </c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4"/>
    </row>
    <row r="89" spans="1:18" ht="33" x14ac:dyDescent="0.25">
      <c r="A89" s="12" t="str">
        <f t="shared" si="1"/>
        <v>демпроем</v>
      </c>
      <c r="B89" s="13">
        <f>архикад_демпроём!A87</f>
        <v>0</v>
      </c>
      <c r="C89" s="13"/>
      <c r="D89" s="13" t="str">
        <f>архикад_демпроём!I87</f>
        <v/>
      </c>
      <c r="E89" s="13">
        <f>архикад_демпроём!D87</f>
        <v>0</v>
      </c>
      <c r="F89" s="13"/>
      <c r="G89" s="13">
        <f>архикад_демпроём!E87</f>
        <v>0</v>
      </c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4"/>
    </row>
    <row r="90" spans="1:18" ht="33" x14ac:dyDescent="0.25">
      <c r="A90" s="12" t="str">
        <f t="shared" si="1"/>
        <v>демпроем</v>
      </c>
      <c r="B90" s="13">
        <f>архикад_демпроём!A88</f>
        <v>0</v>
      </c>
      <c r="C90" s="13"/>
      <c r="D90" s="13" t="str">
        <f>архикад_демпроём!I88</f>
        <v/>
      </c>
      <c r="E90" s="13">
        <f>архикад_демпроём!D88</f>
        <v>0</v>
      </c>
      <c r="F90" s="13"/>
      <c r="G90" s="13">
        <f>архикад_демпроём!E88</f>
        <v>0</v>
      </c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4"/>
    </row>
    <row r="91" spans="1:18" ht="33" x14ac:dyDescent="0.25">
      <c r="A91" s="12" t="str">
        <f t="shared" si="1"/>
        <v>демпроем</v>
      </c>
      <c r="B91" s="13">
        <f>архикад_демпроём!A89</f>
        <v>0</v>
      </c>
      <c r="C91" s="13"/>
      <c r="D91" s="13" t="str">
        <f>архикад_демпроём!I89</f>
        <v/>
      </c>
      <c r="E91" s="13">
        <f>архикад_демпроём!D89</f>
        <v>0</v>
      </c>
      <c r="F91" s="13"/>
      <c r="G91" s="13">
        <f>архикад_демпроём!E89</f>
        <v>0</v>
      </c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4"/>
    </row>
    <row r="92" spans="1:18" ht="33" x14ac:dyDescent="0.25">
      <c r="A92" s="12" t="str">
        <f t="shared" si="1"/>
        <v>демпроем</v>
      </c>
      <c r="B92" s="13">
        <f>архикад_демпроём!A90</f>
        <v>0</v>
      </c>
      <c r="C92" s="13"/>
      <c r="D92" s="13" t="str">
        <f>архикад_демпроём!I90</f>
        <v/>
      </c>
      <c r="E92" s="13">
        <f>архикад_демпроём!D90</f>
        <v>0</v>
      </c>
      <c r="F92" s="13"/>
      <c r="G92" s="13">
        <f>архикад_демпроём!E90</f>
        <v>0</v>
      </c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4"/>
    </row>
    <row r="93" spans="1:18" ht="33" x14ac:dyDescent="0.25">
      <c r="A93" s="12" t="str">
        <f t="shared" si="1"/>
        <v>демпроем</v>
      </c>
      <c r="B93" s="13">
        <f>архикад_демпроём!A91</f>
        <v>0</v>
      </c>
      <c r="C93" s="13"/>
      <c r="D93" s="13" t="str">
        <f>архикад_демпроём!I91</f>
        <v/>
      </c>
      <c r="E93" s="13">
        <f>архикад_демпроём!D91</f>
        <v>0</v>
      </c>
      <c r="F93" s="13"/>
      <c r="G93" s="13">
        <f>архикад_демпроём!E91</f>
        <v>0</v>
      </c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4"/>
    </row>
    <row r="94" spans="1:18" ht="33" x14ac:dyDescent="0.25">
      <c r="A94" s="12" t="str">
        <f t="shared" si="1"/>
        <v>демпроем</v>
      </c>
      <c r="B94" s="13">
        <f>архикад_демпроём!A92</f>
        <v>0</v>
      </c>
      <c r="C94" s="13"/>
      <c r="D94" s="13" t="str">
        <f>архикад_демпроём!I92</f>
        <v/>
      </c>
      <c r="E94" s="13">
        <f>архикад_демпроём!D92</f>
        <v>0</v>
      </c>
      <c r="F94" s="13"/>
      <c r="G94" s="13">
        <f>архикад_демпроём!E92</f>
        <v>0</v>
      </c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4"/>
    </row>
    <row r="95" spans="1:18" ht="33" x14ac:dyDescent="0.25">
      <c r="A95" s="12" t="str">
        <f t="shared" si="1"/>
        <v>демпроем</v>
      </c>
      <c r="B95" s="13">
        <f>архикад_демпроём!A93</f>
        <v>0</v>
      </c>
      <c r="C95" s="13"/>
      <c r="D95" s="13" t="str">
        <f>архикад_демпроём!I93</f>
        <v/>
      </c>
      <c r="E95" s="13">
        <f>архикад_демпроём!D93</f>
        <v>0</v>
      </c>
      <c r="F95" s="13"/>
      <c r="G95" s="13">
        <f>архикад_демпроём!E93</f>
        <v>0</v>
      </c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4"/>
    </row>
    <row r="96" spans="1:18" ht="33" x14ac:dyDescent="0.25">
      <c r="A96" s="12" t="str">
        <f t="shared" si="1"/>
        <v>демпроем</v>
      </c>
      <c r="B96" s="13">
        <f>архикад_демпроём!A94</f>
        <v>0</v>
      </c>
      <c r="C96" s="13"/>
      <c r="D96" s="13" t="str">
        <f>архикад_демпроём!I94</f>
        <v/>
      </c>
      <c r="E96" s="13">
        <f>архикад_демпроём!D94</f>
        <v>0</v>
      </c>
      <c r="F96" s="13"/>
      <c r="G96" s="13">
        <f>архикад_демпроём!E94</f>
        <v>0</v>
      </c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4"/>
    </row>
    <row r="97" spans="1:18" ht="33" x14ac:dyDescent="0.25">
      <c r="A97" s="12" t="str">
        <f t="shared" si="1"/>
        <v>демпроем</v>
      </c>
      <c r="B97" s="13">
        <f>архикад_демпроём!A95</f>
        <v>0</v>
      </c>
      <c r="C97" s="13"/>
      <c r="D97" s="13" t="str">
        <f>архикад_демпроём!I95</f>
        <v/>
      </c>
      <c r="E97" s="13">
        <f>архикад_демпроём!D95</f>
        <v>0</v>
      </c>
      <c r="F97" s="13"/>
      <c r="G97" s="13">
        <f>архикад_демпроём!E95</f>
        <v>0</v>
      </c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4"/>
    </row>
    <row r="98" spans="1:18" ht="33" x14ac:dyDescent="0.25">
      <c r="A98" s="12" t="str">
        <f t="shared" si="1"/>
        <v>демпроем</v>
      </c>
      <c r="B98" s="13">
        <f>архикад_демпроём!A96</f>
        <v>0</v>
      </c>
      <c r="C98" s="13"/>
      <c r="D98" s="13" t="str">
        <f>архикад_демпроём!I96</f>
        <v/>
      </c>
      <c r="E98" s="13">
        <f>архикад_демпроём!D96</f>
        <v>0</v>
      </c>
      <c r="F98" s="13"/>
      <c r="G98" s="13">
        <f>архикад_демпроём!E96</f>
        <v>0</v>
      </c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4"/>
    </row>
    <row r="99" spans="1:18" ht="33" x14ac:dyDescent="0.25">
      <c r="A99" s="12" t="str">
        <f t="shared" si="1"/>
        <v>демпроем</v>
      </c>
      <c r="B99" s="13">
        <f>архикад_демпроём!A97</f>
        <v>0</v>
      </c>
      <c r="C99" s="13"/>
      <c r="D99" s="13" t="str">
        <f>архикад_демпроём!I97</f>
        <v/>
      </c>
      <c r="E99" s="13">
        <f>архикад_демпроём!D97</f>
        <v>0</v>
      </c>
      <c r="F99" s="13"/>
      <c r="G99" s="13">
        <f>архикад_демпроём!E97</f>
        <v>0</v>
      </c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4"/>
    </row>
    <row r="100" spans="1:18" ht="33" x14ac:dyDescent="0.25">
      <c r="A100" s="12" t="str">
        <f t="shared" si="1"/>
        <v>демпроем</v>
      </c>
      <c r="B100" s="13">
        <f>архикад_демпроём!A98</f>
        <v>0</v>
      </c>
      <c r="C100" s="13"/>
      <c r="D100" s="13" t="str">
        <f>архикад_демпроём!I98</f>
        <v/>
      </c>
      <c r="E100" s="13">
        <f>архикад_демпроём!D98</f>
        <v>0</v>
      </c>
      <c r="F100" s="13"/>
      <c r="G100" s="13">
        <f>архикад_демпроём!E98</f>
        <v>0</v>
      </c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4"/>
    </row>
    <row r="101" spans="1:18" ht="33" x14ac:dyDescent="0.25">
      <c r="A101" s="12" t="str">
        <f t="shared" si="1"/>
        <v>демпроем</v>
      </c>
      <c r="B101" s="13">
        <f>архикад_демпроём!A99</f>
        <v>0</v>
      </c>
      <c r="C101" s="13"/>
      <c r="D101" s="13" t="str">
        <f>архикад_демпроём!I99</f>
        <v/>
      </c>
      <c r="E101" s="13">
        <f>архикад_демпроём!D99</f>
        <v>0</v>
      </c>
      <c r="F101" s="13"/>
      <c r="G101" s="13">
        <f>архикад_демпроём!E99</f>
        <v>0</v>
      </c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4"/>
    </row>
    <row r="102" spans="1:18" ht="33" x14ac:dyDescent="0.25">
      <c r="A102" s="12" t="str">
        <f t="shared" si="1"/>
        <v>демпроем</v>
      </c>
      <c r="B102" s="13">
        <f>архикад_демпроём!A100</f>
        <v>0</v>
      </c>
      <c r="C102" s="13"/>
      <c r="D102" s="13" t="str">
        <f>архикад_демпроём!I100</f>
        <v/>
      </c>
      <c r="E102" s="13">
        <f>архикад_демпроём!D100</f>
        <v>0</v>
      </c>
      <c r="F102" s="13"/>
      <c r="G102" s="13">
        <f>архикад_демпроём!E100</f>
        <v>0</v>
      </c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4"/>
    </row>
    <row r="103" spans="1:18" ht="33" x14ac:dyDescent="0.25">
      <c r="A103" s="12" t="str">
        <f t="shared" si="1"/>
        <v>демпроем</v>
      </c>
      <c r="B103" s="13">
        <f>архикад_демпроём!A101</f>
        <v>0</v>
      </c>
      <c r="C103" s="13"/>
      <c r="D103" s="13" t="str">
        <f>архикад_демпроём!I101</f>
        <v/>
      </c>
      <c r="E103" s="13">
        <f>архикад_демпроём!D101</f>
        <v>0</v>
      </c>
      <c r="F103" s="13"/>
      <c r="G103" s="13">
        <f>архикад_демпроём!E101</f>
        <v>0</v>
      </c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4"/>
    </row>
    <row r="104" spans="1:18" ht="33" x14ac:dyDescent="0.25">
      <c r="A104" s="12" t="str">
        <f t="shared" si="1"/>
        <v>демпроем</v>
      </c>
      <c r="B104" s="13">
        <f>архикад_демпроём!A102</f>
        <v>0</v>
      </c>
      <c r="C104" s="13"/>
      <c r="D104" s="13" t="str">
        <f>архикад_демпроём!I102</f>
        <v/>
      </c>
      <c r="E104" s="13">
        <f>архикад_демпроём!D102</f>
        <v>0</v>
      </c>
      <c r="F104" s="13"/>
      <c r="G104" s="13">
        <f>архикад_демпроём!E102</f>
        <v>0</v>
      </c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4"/>
    </row>
    <row r="105" spans="1:18" ht="33" x14ac:dyDescent="0.25">
      <c r="A105" s="12" t="str">
        <f t="shared" si="1"/>
        <v>демпроем</v>
      </c>
      <c r="B105" s="13">
        <f>архикад_демпроём!A103</f>
        <v>0</v>
      </c>
      <c r="C105" s="13"/>
      <c r="D105" s="13" t="str">
        <f>архикад_демпроём!I103</f>
        <v/>
      </c>
      <c r="E105" s="13">
        <f>архикад_демпроём!D103</f>
        <v>0</v>
      </c>
      <c r="F105" s="13"/>
      <c r="G105" s="13">
        <f>архикад_демпроём!E103</f>
        <v>0</v>
      </c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4"/>
    </row>
    <row r="106" spans="1:18" ht="33" x14ac:dyDescent="0.25">
      <c r="A106" s="12" t="str">
        <f t="shared" si="1"/>
        <v>демпроем</v>
      </c>
      <c r="B106" s="13">
        <f>архикад_демпроём!A104</f>
        <v>0</v>
      </c>
      <c r="C106" s="13"/>
      <c r="D106" s="13" t="str">
        <f>архикад_демпроём!I104</f>
        <v/>
      </c>
      <c r="E106" s="13">
        <f>архикад_демпроём!D104</f>
        <v>0</v>
      </c>
      <c r="F106" s="13"/>
      <c r="G106" s="13">
        <f>архикад_демпроём!E104</f>
        <v>0</v>
      </c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4"/>
    </row>
    <row r="107" spans="1:18" ht="33" x14ac:dyDescent="0.25">
      <c r="A107" s="12" t="str">
        <f t="shared" si="1"/>
        <v>демпроем</v>
      </c>
      <c r="B107" s="13">
        <f>архикад_демпроём!A105</f>
        <v>0</v>
      </c>
      <c r="C107" s="13"/>
      <c r="D107" s="13" t="str">
        <f>архикад_демпроём!I105</f>
        <v/>
      </c>
      <c r="E107" s="13">
        <f>архикад_демпроём!D105</f>
        <v>0</v>
      </c>
      <c r="F107" s="13"/>
      <c r="G107" s="13">
        <f>архикад_демпроём!E105</f>
        <v>0</v>
      </c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4"/>
    </row>
    <row r="108" spans="1:18" ht="33" x14ac:dyDescent="0.25">
      <c r="A108" s="12" t="str">
        <f t="shared" si="1"/>
        <v>демпроем</v>
      </c>
      <c r="B108" s="13">
        <f>архикад_демпроём!A106</f>
        <v>0</v>
      </c>
      <c r="C108" s="13"/>
      <c r="D108" s="13" t="str">
        <f>архикад_демпроём!I106</f>
        <v/>
      </c>
      <c r="E108" s="13">
        <f>архикад_демпроём!D106</f>
        <v>0</v>
      </c>
      <c r="F108" s="13"/>
      <c r="G108" s="13">
        <f>архикад_демпроём!E106</f>
        <v>0</v>
      </c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4"/>
    </row>
    <row r="109" spans="1:18" ht="33" x14ac:dyDescent="0.25">
      <c r="A109" s="12" t="str">
        <f t="shared" si="1"/>
        <v>демпроем</v>
      </c>
      <c r="B109" s="13">
        <f>архикад_демпроём!A107</f>
        <v>0</v>
      </c>
      <c r="C109" s="13"/>
      <c r="D109" s="13" t="str">
        <f>архикад_демпроём!I107</f>
        <v/>
      </c>
      <c r="E109" s="13">
        <f>архикад_демпроём!D107</f>
        <v>0</v>
      </c>
      <c r="F109" s="13"/>
      <c r="G109" s="13">
        <f>архикад_демпроём!E107</f>
        <v>0</v>
      </c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4"/>
    </row>
    <row r="110" spans="1:18" ht="33" x14ac:dyDescent="0.25">
      <c r="A110" s="12" t="str">
        <f t="shared" si="1"/>
        <v>демпроем</v>
      </c>
      <c r="B110" s="13">
        <f>архикад_демпроём!A108</f>
        <v>0</v>
      </c>
      <c r="C110" s="13"/>
      <c r="D110" s="13" t="str">
        <f>архикад_демпроём!I108</f>
        <v/>
      </c>
      <c r="E110" s="13">
        <f>архикад_демпроём!D108</f>
        <v>0</v>
      </c>
      <c r="F110" s="13"/>
      <c r="G110" s="13">
        <f>архикад_демпроём!E108</f>
        <v>0</v>
      </c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4"/>
    </row>
    <row r="111" spans="1:18" ht="33" x14ac:dyDescent="0.25">
      <c r="A111" s="12" t="str">
        <f t="shared" si="1"/>
        <v>демпроем</v>
      </c>
      <c r="B111" s="13">
        <f>архикад_демпроём!A109</f>
        <v>0</v>
      </c>
      <c r="C111" s="13"/>
      <c r="D111" s="13" t="str">
        <f>архикад_демпроём!I109</f>
        <v/>
      </c>
      <c r="E111" s="13">
        <f>архикад_демпроём!D109</f>
        <v>0</v>
      </c>
      <c r="F111" s="13"/>
      <c r="G111" s="13">
        <f>архикад_демпроём!E109</f>
        <v>0</v>
      </c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4"/>
    </row>
    <row r="112" spans="1:18" ht="33" x14ac:dyDescent="0.25">
      <c r="A112" s="12" t="str">
        <f t="shared" si="1"/>
        <v>демпроем</v>
      </c>
      <c r="B112" s="13">
        <f>архикад_демпроём!A110</f>
        <v>0</v>
      </c>
      <c r="C112" s="13"/>
      <c r="D112" s="13" t="str">
        <f>архикад_демпроём!I110</f>
        <v/>
      </c>
      <c r="E112" s="13">
        <f>архикад_демпроём!D110</f>
        <v>0</v>
      </c>
      <c r="F112" s="13"/>
      <c r="G112" s="13">
        <f>архикад_демпроём!E110</f>
        <v>0</v>
      </c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4"/>
    </row>
    <row r="113" spans="1:18" ht="33" x14ac:dyDescent="0.25">
      <c r="A113" s="12" t="str">
        <f t="shared" si="1"/>
        <v>демпроем</v>
      </c>
      <c r="B113" s="13">
        <f>архикад_демпроём!A111</f>
        <v>0</v>
      </c>
      <c r="C113" s="13"/>
      <c r="D113" s="13" t="str">
        <f>архикад_демпроём!I111</f>
        <v/>
      </c>
      <c r="E113" s="13">
        <f>архикад_демпроём!D111</f>
        <v>0</v>
      </c>
      <c r="F113" s="13"/>
      <c r="G113" s="13">
        <f>архикад_демпроём!E111</f>
        <v>0</v>
      </c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4"/>
    </row>
    <row r="114" spans="1:18" ht="33" x14ac:dyDescent="0.25">
      <c r="A114" s="12" t="str">
        <f t="shared" si="1"/>
        <v>демпроем</v>
      </c>
      <c r="B114" s="13">
        <f>архикад_демпроём!A112</f>
        <v>0</v>
      </c>
      <c r="C114" s="13"/>
      <c r="D114" s="13" t="str">
        <f>архикад_демпроём!I112</f>
        <v/>
      </c>
      <c r="E114" s="13">
        <f>архикад_демпроём!D112</f>
        <v>0</v>
      </c>
      <c r="F114" s="13"/>
      <c r="G114" s="13">
        <f>архикад_демпроём!E112</f>
        <v>0</v>
      </c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4"/>
    </row>
    <row r="115" spans="1:18" ht="33" x14ac:dyDescent="0.25">
      <c r="A115" s="12" t="str">
        <f t="shared" si="1"/>
        <v>демпроем</v>
      </c>
      <c r="B115" s="13">
        <f>архикад_демпроём!A113</f>
        <v>0</v>
      </c>
      <c r="C115" s="13"/>
      <c r="D115" s="13" t="str">
        <f>архикад_демпроём!I113</f>
        <v/>
      </c>
      <c r="E115" s="13">
        <f>архикад_демпроём!D113</f>
        <v>0</v>
      </c>
      <c r="F115" s="13"/>
      <c r="G115" s="13">
        <f>архикад_демпроём!E113</f>
        <v>0</v>
      </c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4"/>
    </row>
    <row r="116" spans="1:18" ht="33" x14ac:dyDescent="0.25">
      <c r="A116" s="12" t="str">
        <f t="shared" si="1"/>
        <v>демпроем</v>
      </c>
      <c r="B116" s="13">
        <f>архикад_демпроём!A114</f>
        <v>0</v>
      </c>
      <c r="C116" s="13"/>
      <c r="D116" s="13" t="str">
        <f>архикад_демпроём!I114</f>
        <v/>
      </c>
      <c r="E116" s="13">
        <f>архикад_демпроём!D114</f>
        <v>0</v>
      </c>
      <c r="F116" s="13"/>
      <c r="G116" s="13">
        <f>архикад_демпроём!E114</f>
        <v>0</v>
      </c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4"/>
    </row>
    <row r="117" spans="1:18" ht="33" x14ac:dyDescent="0.25">
      <c r="A117" s="12" t="str">
        <f t="shared" si="1"/>
        <v>демпроем</v>
      </c>
      <c r="B117" s="13">
        <f>архикад_демпроём!A115</f>
        <v>0</v>
      </c>
      <c r="C117" s="13"/>
      <c r="D117" s="13" t="str">
        <f>архикад_демпроём!I115</f>
        <v/>
      </c>
      <c r="E117" s="13">
        <f>архикад_демпроём!D115</f>
        <v>0</v>
      </c>
      <c r="F117" s="13"/>
      <c r="G117" s="13">
        <f>архикад_демпроём!E115</f>
        <v>0</v>
      </c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4"/>
    </row>
    <row r="118" spans="1:18" ht="33" x14ac:dyDescent="0.25">
      <c r="A118" s="12" t="str">
        <f t="shared" si="1"/>
        <v>демпроем</v>
      </c>
      <c r="B118" s="13">
        <f>архикад_демпроём!A116</f>
        <v>0</v>
      </c>
      <c r="C118" s="13"/>
      <c r="D118" s="13" t="str">
        <f>архикад_демпроём!I116</f>
        <v/>
      </c>
      <c r="E118" s="13">
        <f>архикад_демпроём!D116</f>
        <v>0</v>
      </c>
      <c r="F118" s="13"/>
      <c r="G118" s="13">
        <f>архикад_демпроём!E116</f>
        <v>0</v>
      </c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4"/>
    </row>
    <row r="119" spans="1:18" ht="33" x14ac:dyDescent="0.25">
      <c r="A119" s="12" t="str">
        <f t="shared" si="1"/>
        <v>демпроем</v>
      </c>
      <c r="B119" s="13">
        <f>архикад_демпроём!A117</f>
        <v>0</v>
      </c>
      <c r="C119" s="13"/>
      <c r="D119" s="13" t="str">
        <f>архикад_демпроём!I117</f>
        <v/>
      </c>
      <c r="E119" s="13">
        <f>архикад_демпроём!D117</f>
        <v>0</v>
      </c>
      <c r="F119" s="13"/>
      <c r="G119" s="13">
        <f>архикад_демпроём!E117</f>
        <v>0</v>
      </c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4"/>
    </row>
    <row r="120" spans="1:18" ht="33" x14ac:dyDescent="0.25">
      <c r="A120" s="12" t="str">
        <f t="shared" si="1"/>
        <v>демпроем</v>
      </c>
      <c r="B120" s="13">
        <f>архикад_демпроём!A118</f>
        <v>0</v>
      </c>
      <c r="C120" s="13"/>
      <c r="D120" s="13" t="str">
        <f>архикад_демпроём!I118</f>
        <v/>
      </c>
      <c r="E120" s="13">
        <f>архикад_демпроём!D118</f>
        <v>0</v>
      </c>
      <c r="F120" s="13"/>
      <c r="G120" s="13">
        <f>архикад_демпроём!E118</f>
        <v>0</v>
      </c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4"/>
    </row>
    <row r="121" spans="1:18" ht="33" x14ac:dyDescent="0.25">
      <c r="A121" s="12" t="str">
        <f t="shared" si="1"/>
        <v>демпроем</v>
      </c>
      <c r="B121" s="13">
        <f>архикад_демпроём!A119</f>
        <v>0</v>
      </c>
      <c r="C121" s="13"/>
      <c r="D121" s="13" t="str">
        <f>архикад_демпроём!I119</f>
        <v/>
      </c>
      <c r="E121" s="13">
        <f>архикад_демпроём!D119</f>
        <v>0</v>
      </c>
      <c r="F121" s="13"/>
      <c r="G121" s="13">
        <f>архикад_демпроём!E119</f>
        <v>0</v>
      </c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4"/>
    </row>
    <row r="122" spans="1:18" ht="33" x14ac:dyDescent="0.25">
      <c r="A122" s="12" t="str">
        <f t="shared" si="1"/>
        <v>демпроем</v>
      </c>
      <c r="B122" s="13">
        <f>архикад_демпроём!A120</f>
        <v>0</v>
      </c>
      <c r="C122" s="13"/>
      <c r="D122" s="13" t="str">
        <f>архикад_демпроём!I120</f>
        <v/>
      </c>
      <c r="E122" s="13">
        <f>архикад_демпроём!D120</f>
        <v>0</v>
      </c>
      <c r="F122" s="13"/>
      <c r="G122" s="13">
        <f>архикад_демпроём!E120</f>
        <v>0</v>
      </c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4"/>
    </row>
    <row r="123" spans="1:18" ht="33" x14ac:dyDescent="0.25">
      <c r="A123" s="12" t="str">
        <f t="shared" si="1"/>
        <v>демпроем</v>
      </c>
      <c r="B123" s="13">
        <f>архикад_демпроём!A121</f>
        <v>0</v>
      </c>
      <c r="C123" s="13"/>
      <c r="D123" s="13" t="str">
        <f>архикад_демпроём!I121</f>
        <v/>
      </c>
      <c r="E123" s="13">
        <f>архикад_демпроём!D121</f>
        <v>0</v>
      </c>
      <c r="F123" s="13"/>
      <c r="G123" s="13">
        <f>архикад_демпроём!E121</f>
        <v>0</v>
      </c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4"/>
    </row>
    <row r="124" spans="1:18" ht="33" x14ac:dyDescent="0.25">
      <c r="A124" s="12" t="str">
        <f t="shared" si="1"/>
        <v>демпроем</v>
      </c>
      <c r="B124" s="13">
        <f>архикад_демпроём!A122</f>
        <v>0</v>
      </c>
      <c r="C124" s="13"/>
      <c r="D124" s="13" t="str">
        <f>архикад_демпроём!I122</f>
        <v/>
      </c>
      <c r="E124" s="13">
        <f>архикад_демпроём!D122</f>
        <v>0</v>
      </c>
      <c r="F124" s="13"/>
      <c r="G124" s="13">
        <f>архикад_демпроём!E122</f>
        <v>0</v>
      </c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4"/>
    </row>
    <row r="125" spans="1:18" ht="33" x14ac:dyDescent="0.25">
      <c r="A125" s="12" t="str">
        <f t="shared" si="1"/>
        <v>демпроем</v>
      </c>
      <c r="B125" s="13">
        <f>архикад_демпроём!A123</f>
        <v>0</v>
      </c>
      <c r="C125" s="13"/>
      <c r="D125" s="13" t="str">
        <f>архикад_демпроём!I123</f>
        <v/>
      </c>
      <c r="E125" s="13">
        <f>архикад_демпроём!D123</f>
        <v>0</v>
      </c>
      <c r="F125" s="13"/>
      <c r="G125" s="13">
        <f>архикад_демпроём!E123</f>
        <v>0</v>
      </c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4"/>
    </row>
    <row r="126" spans="1:18" ht="33" x14ac:dyDescent="0.25">
      <c r="A126" s="12" t="str">
        <f t="shared" si="1"/>
        <v>демпроем</v>
      </c>
      <c r="B126" s="13">
        <f>архикад_демпроём!A124</f>
        <v>0</v>
      </c>
      <c r="C126" s="13"/>
      <c r="D126" s="13" t="str">
        <f>архикад_демпроём!I124</f>
        <v/>
      </c>
      <c r="E126" s="13">
        <f>архикад_демпроём!D124</f>
        <v>0</v>
      </c>
      <c r="F126" s="13"/>
      <c r="G126" s="13">
        <f>архикад_демпроём!E124</f>
        <v>0</v>
      </c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4"/>
    </row>
    <row r="127" spans="1:18" ht="33" x14ac:dyDescent="0.25">
      <c r="A127" s="12" t="str">
        <f t="shared" si="1"/>
        <v>демпроем</v>
      </c>
      <c r="B127" s="13">
        <f>архикад_демпроём!A125</f>
        <v>0</v>
      </c>
      <c r="C127" s="13"/>
      <c r="D127" s="13" t="str">
        <f>архикад_демпроём!I125</f>
        <v/>
      </c>
      <c r="E127" s="13">
        <f>архикад_демпроём!D125</f>
        <v>0</v>
      </c>
      <c r="F127" s="13"/>
      <c r="G127" s="13">
        <f>архикад_демпроём!E125</f>
        <v>0</v>
      </c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4"/>
    </row>
    <row r="128" spans="1:18" ht="33" x14ac:dyDescent="0.25">
      <c r="A128" s="12" t="str">
        <f t="shared" si="1"/>
        <v>демпроем</v>
      </c>
      <c r="B128" s="13">
        <f>архикад_демпроём!A126</f>
        <v>0</v>
      </c>
      <c r="C128" s="13"/>
      <c r="D128" s="13" t="str">
        <f>архикад_демпроём!I126</f>
        <v/>
      </c>
      <c r="E128" s="13">
        <f>архикад_демпроём!D126</f>
        <v>0</v>
      </c>
      <c r="F128" s="13"/>
      <c r="G128" s="13">
        <f>архикад_демпроём!E126</f>
        <v>0</v>
      </c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4"/>
    </row>
    <row r="129" spans="1:18" ht="33" x14ac:dyDescent="0.25">
      <c r="A129" s="12" t="str">
        <f t="shared" si="1"/>
        <v>демпроем</v>
      </c>
      <c r="B129" s="13">
        <f>архикад_демпроём!A127</f>
        <v>0</v>
      </c>
      <c r="C129" s="13"/>
      <c r="D129" s="13" t="str">
        <f>архикад_демпроём!I127</f>
        <v/>
      </c>
      <c r="E129" s="13">
        <f>архикад_демпроём!D127</f>
        <v>0</v>
      </c>
      <c r="F129" s="13"/>
      <c r="G129" s="13">
        <f>архикад_демпроём!E127</f>
        <v>0</v>
      </c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4"/>
    </row>
    <row r="130" spans="1:18" ht="33" x14ac:dyDescent="0.25">
      <c r="A130" s="12" t="str">
        <f t="shared" si="1"/>
        <v>демпроем</v>
      </c>
      <c r="B130" s="13">
        <f>архикад_демпроём!A128</f>
        <v>0</v>
      </c>
      <c r="C130" s="13"/>
      <c r="D130" s="13" t="str">
        <f>архикад_демпроём!I128</f>
        <v/>
      </c>
      <c r="E130" s="13">
        <f>архикад_демпроём!D128</f>
        <v>0</v>
      </c>
      <c r="F130" s="13"/>
      <c r="G130" s="13">
        <f>архикад_демпроём!E128</f>
        <v>0</v>
      </c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4"/>
    </row>
    <row r="131" spans="1:18" ht="33" x14ac:dyDescent="0.25">
      <c r="A131" s="12" t="str">
        <f t="shared" si="1"/>
        <v>демпроем</v>
      </c>
      <c r="B131" s="13">
        <f>архикад_демпроём!A129</f>
        <v>0</v>
      </c>
      <c r="C131" s="13"/>
      <c r="D131" s="13" t="str">
        <f>архикад_демпроём!I129</f>
        <v/>
      </c>
      <c r="E131" s="13">
        <f>архикад_демпроём!D129</f>
        <v>0</v>
      </c>
      <c r="F131" s="13"/>
      <c r="G131" s="13">
        <f>архикад_демпроём!E129</f>
        <v>0</v>
      </c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4"/>
    </row>
    <row r="132" spans="1:18" ht="33" x14ac:dyDescent="0.25">
      <c r="A132" s="12" t="str">
        <f t="shared" si="1"/>
        <v>демпроем</v>
      </c>
      <c r="B132" s="13">
        <f>архикад_демпроём!A130</f>
        <v>0</v>
      </c>
      <c r="C132" s="13"/>
      <c r="D132" s="13" t="str">
        <f>архикад_демпроём!I130</f>
        <v/>
      </c>
      <c r="E132" s="13">
        <f>архикад_демпроём!D130</f>
        <v>0</v>
      </c>
      <c r="F132" s="13"/>
      <c r="G132" s="13">
        <f>архикад_демпроём!E130</f>
        <v>0</v>
      </c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4"/>
    </row>
    <row r="133" spans="1:18" ht="33" x14ac:dyDescent="0.25">
      <c r="A133" s="12" t="str">
        <f t="shared" si="1"/>
        <v>демпроем</v>
      </c>
      <c r="B133" s="13">
        <f>архикад_демпроём!A131</f>
        <v>0</v>
      </c>
      <c r="C133" s="13"/>
      <c r="D133" s="13" t="str">
        <f>архикад_демпроём!I131</f>
        <v/>
      </c>
      <c r="E133" s="13">
        <f>архикад_демпроём!D131</f>
        <v>0</v>
      </c>
      <c r="F133" s="13"/>
      <c r="G133" s="13">
        <f>архикад_демпроём!E131</f>
        <v>0</v>
      </c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4"/>
    </row>
    <row r="134" spans="1:18" ht="33" x14ac:dyDescent="0.25">
      <c r="A134" s="12" t="str">
        <f t="shared" ref="A134:A197" si="2">A133</f>
        <v>демпроем</v>
      </c>
      <c r="B134" s="13">
        <f>архикад_демпроём!A132</f>
        <v>0</v>
      </c>
      <c r="C134" s="13"/>
      <c r="D134" s="13" t="str">
        <f>архикад_демпроём!I132</f>
        <v/>
      </c>
      <c r="E134" s="13">
        <f>архикад_демпроём!D132</f>
        <v>0</v>
      </c>
      <c r="F134" s="13"/>
      <c r="G134" s="13">
        <f>архикад_демпроём!E132</f>
        <v>0</v>
      </c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4"/>
    </row>
    <row r="135" spans="1:18" ht="33" x14ac:dyDescent="0.25">
      <c r="A135" s="12" t="str">
        <f t="shared" si="2"/>
        <v>демпроем</v>
      </c>
      <c r="B135" s="13">
        <f>архикад_демпроём!A133</f>
        <v>0</v>
      </c>
      <c r="C135" s="13"/>
      <c r="D135" s="13" t="str">
        <f>архикад_демпроём!I133</f>
        <v/>
      </c>
      <c r="E135" s="13">
        <f>архикад_демпроём!D133</f>
        <v>0</v>
      </c>
      <c r="F135" s="13"/>
      <c r="G135" s="13">
        <f>архикад_демпроём!E133</f>
        <v>0</v>
      </c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4"/>
    </row>
    <row r="136" spans="1:18" ht="33" x14ac:dyDescent="0.25">
      <c r="A136" s="12" t="str">
        <f t="shared" si="2"/>
        <v>демпроем</v>
      </c>
      <c r="B136" s="13">
        <f>архикад_демпроём!A134</f>
        <v>0</v>
      </c>
      <c r="C136" s="13"/>
      <c r="D136" s="13" t="str">
        <f>архикад_демпроём!I134</f>
        <v/>
      </c>
      <c r="E136" s="13">
        <f>архикад_демпроём!D134</f>
        <v>0</v>
      </c>
      <c r="F136" s="13"/>
      <c r="G136" s="13">
        <f>архикад_демпроём!E134</f>
        <v>0</v>
      </c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4"/>
    </row>
    <row r="137" spans="1:18" ht="33" x14ac:dyDescent="0.25">
      <c r="A137" s="12" t="str">
        <f t="shared" si="2"/>
        <v>демпроем</v>
      </c>
      <c r="B137" s="13">
        <f>архикад_демпроём!A135</f>
        <v>0</v>
      </c>
      <c r="C137" s="13"/>
      <c r="D137" s="13" t="str">
        <f>архикад_демпроём!I135</f>
        <v/>
      </c>
      <c r="E137" s="13">
        <f>архикад_демпроём!D135</f>
        <v>0</v>
      </c>
      <c r="F137" s="13"/>
      <c r="G137" s="13">
        <f>архикад_демпроём!E135</f>
        <v>0</v>
      </c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4"/>
    </row>
    <row r="138" spans="1:18" ht="33" x14ac:dyDescent="0.25">
      <c r="A138" s="12" t="str">
        <f t="shared" si="2"/>
        <v>демпроем</v>
      </c>
      <c r="B138" s="13">
        <f>архикад_демпроём!A136</f>
        <v>0</v>
      </c>
      <c r="C138" s="13"/>
      <c r="D138" s="13" t="str">
        <f>архикад_демпроём!I136</f>
        <v/>
      </c>
      <c r="E138" s="13">
        <f>архикад_демпроём!D136</f>
        <v>0</v>
      </c>
      <c r="F138" s="13"/>
      <c r="G138" s="13">
        <f>архикад_демпроём!E136</f>
        <v>0</v>
      </c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4"/>
    </row>
    <row r="139" spans="1:18" ht="33" x14ac:dyDescent="0.25">
      <c r="A139" s="12" t="str">
        <f t="shared" si="2"/>
        <v>демпроем</v>
      </c>
      <c r="B139" s="13">
        <f>архикад_демпроём!A137</f>
        <v>0</v>
      </c>
      <c r="C139" s="13"/>
      <c r="D139" s="13" t="str">
        <f>архикад_демпроём!I137</f>
        <v/>
      </c>
      <c r="E139" s="13">
        <f>архикад_демпроём!D137</f>
        <v>0</v>
      </c>
      <c r="F139" s="13"/>
      <c r="G139" s="13">
        <f>архикад_демпроём!E137</f>
        <v>0</v>
      </c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4"/>
    </row>
    <row r="140" spans="1:18" ht="33" x14ac:dyDescent="0.25">
      <c r="A140" s="12" t="str">
        <f t="shared" si="2"/>
        <v>демпроем</v>
      </c>
      <c r="B140" s="13">
        <f>архикад_демпроём!A138</f>
        <v>0</v>
      </c>
      <c r="C140" s="13"/>
      <c r="D140" s="13" t="str">
        <f>архикад_демпроём!I138</f>
        <v/>
      </c>
      <c r="E140" s="13">
        <f>архикад_демпроём!D138</f>
        <v>0</v>
      </c>
      <c r="F140" s="13"/>
      <c r="G140" s="13">
        <f>архикад_демпроём!E138</f>
        <v>0</v>
      </c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4"/>
    </row>
    <row r="141" spans="1:18" ht="33" x14ac:dyDescent="0.25">
      <c r="A141" s="12" t="str">
        <f t="shared" si="2"/>
        <v>демпроем</v>
      </c>
      <c r="B141" s="13">
        <f>архикад_демпроём!A139</f>
        <v>0</v>
      </c>
      <c r="C141" s="13"/>
      <c r="D141" s="13" t="str">
        <f>архикад_демпроём!I139</f>
        <v/>
      </c>
      <c r="E141" s="13">
        <f>архикад_демпроём!D139</f>
        <v>0</v>
      </c>
      <c r="F141" s="13"/>
      <c r="G141" s="13">
        <f>архикад_демпроём!E139</f>
        <v>0</v>
      </c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4"/>
    </row>
    <row r="142" spans="1:18" ht="33" x14ac:dyDescent="0.25">
      <c r="A142" s="12" t="str">
        <f t="shared" si="2"/>
        <v>демпроем</v>
      </c>
      <c r="B142" s="13">
        <f>архикад_демпроём!A140</f>
        <v>0</v>
      </c>
      <c r="C142" s="13"/>
      <c r="D142" s="13" t="str">
        <f>архикад_демпроём!I140</f>
        <v/>
      </c>
      <c r="E142" s="13">
        <f>архикад_демпроём!D140</f>
        <v>0</v>
      </c>
      <c r="F142" s="13"/>
      <c r="G142" s="13">
        <f>архикад_демпроём!E140</f>
        <v>0</v>
      </c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4"/>
    </row>
    <row r="143" spans="1:18" ht="33" x14ac:dyDescent="0.25">
      <c r="A143" s="12" t="str">
        <f t="shared" si="2"/>
        <v>демпроем</v>
      </c>
      <c r="B143" s="13">
        <f>архикад_демпроём!A141</f>
        <v>0</v>
      </c>
      <c r="C143" s="13"/>
      <c r="D143" s="13" t="str">
        <f>архикад_демпроём!I141</f>
        <v/>
      </c>
      <c r="E143" s="13">
        <f>архикад_демпроём!D141</f>
        <v>0</v>
      </c>
      <c r="F143" s="13"/>
      <c r="G143" s="13">
        <f>архикад_демпроём!E141</f>
        <v>0</v>
      </c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4"/>
    </row>
    <row r="144" spans="1:18" ht="33" x14ac:dyDescent="0.25">
      <c r="A144" s="12" t="str">
        <f t="shared" si="2"/>
        <v>демпроем</v>
      </c>
      <c r="B144" s="13">
        <f>архикад_демпроём!A142</f>
        <v>0</v>
      </c>
      <c r="C144" s="13"/>
      <c r="D144" s="13" t="str">
        <f>архикад_демпроём!I142</f>
        <v/>
      </c>
      <c r="E144" s="13">
        <f>архикад_демпроём!D142</f>
        <v>0</v>
      </c>
      <c r="F144" s="13"/>
      <c r="G144" s="13">
        <f>архикад_демпроём!E142</f>
        <v>0</v>
      </c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4"/>
    </row>
    <row r="145" spans="1:18" ht="33" x14ac:dyDescent="0.25">
      <c r="A145" s="12" t="str">
        <f t="shared" si="2"/>
        <v>демпроем</v>
      </c>
      <c r="B145" s="13">
        <f>архикад_демпроём!A143</f>
        <v>0</v>
      </c>
      <c r="C145" s="13"/>
      <c r="D145" s="13" t="str">
        <f>архикад_демпроём!I143</f>
        <v/>
      </c>
      <c r="E145" s="13">
        <f>архикад_демпроём!D143</f>
        <v>0</v>
      </c>
      <c r="F145" s="13"/>
      <c r="G145" s="13">
        <f>архикад_демпроём!E143</f>
        <v>0</v>
      </c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4"/>
    </row>
    <row r="146" spans="1:18" ht="33" x14ac:dyDescent="0.25">
      <c r="A146" s="12" t="str">
        <f t="shared" si="2"/>
        <v>демпроем</v>
      </c>
      <c r="B146" s="13">
        <f>архикад_демпроём!A144</f>
        <v>0</v>
      </c>
      <c r="C146" s="13"/>
      <c r="D146" s="13" t="str">
        <f>архикад_демпроём!I144</f>
        <v/>
      </c>
      <c r="E146" s="13">
        <f>архикад_демпроём!D144</f>
        <v>0</v>
      </c>
      <c r="F146" s="13"/>
      <c r="G146" s="13">
        <f>архикад_демпроём!E144</f>
        <v>0</v>
      </c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4"/>
    </row>
    <row r="147" spans="1:18" ht="33" x14ac:dyDescent="0.25">
      <c r="A147" s="12" t="str">
        <f t="shared" si="2"/>
        <v>демпроем</v>
      </c>
      <c r="B147" s="13">
        <f>архикад_демпроём!A145</f>
        <v>0</v>
      </c>
      <c r="C147" s="13"/>
      <c r="D147" s="13" t="str">
        <f>архикад_демпроём!I145</f>
        <v/>
      </c>
      <c r="E147" s="13">
        <f>архикад_демпроём!D145</f>
        <v>0</v>
      </c>
      <c r="F147" s="13"/>
      <c r="G147" s="13">
        <f>архикад_демпроём!E145</f>
        <v>0</v>
      </c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4"/>
    </row>
    <row r="148" spans="1:18" ht="33" x14ac:dyDescent="0.25">
      <c r="A148" s="12" t="str">
        <f t="shared" si="2"/>
        <v>демпроем</v>
      </c>
      <c r="B148" s="13">
        <f>архикад_демпроём!A146</f>
        <v>0</v>
      </c>
      <c r="C148" s="13"/>
      <c r="D148" s="13" t="str">
        <f>архикад_демпроём!I146</f>
        <v/>
      </c>
      <c r="E148" s="13">
        <f>архикад_демпроём!D146</f>
        <v>0</v>
      </c>
      <c r="F148" s="13"/>
      <c r="G148" s="13">
        <f>архикад_демпроём!E146</f>
        <v>0</v>
      </c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4"/>
    </row>
    <row r="149" spans="1:18" ht="33" x14ac:dyDescent="0.25">
      <c r="A149" s="12" t="str">
        <f t="shared" si="2"/>
        <v>демпроем</v>
      </c>
      <c r="B149" s="13">
        <f>архикад_демпроём!A147</f>
        <v>0</v>
      </c>
      <c r="C149" s="13"/>
      <c r="D149" s="13" t="str">
        <f>архикад_демпроём!I147</f>
        <v/>
      </c>
      <c r="E149" s="13">
        <f>архикад_демпроём!D147</f>
        <v>0</v>
      </c>
      <c r="F149" s="13"/>
      <c r="G149" s="13">
        <f>архикад_демпроём!E147</f>
        <v>0</v>
      </c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4"/>
    </row>
    <row r="150" spans="1:18" ht="33" x14ac:dyDescent="0.25">
      <c r="A150" s="12" t="str">
        <f t="shared" si="2"/>
        <v>демпроем</v>
      </c>
      <c r="B150" s="13">
        <f>архикад_демпроём!A148</f>
        <v>0</v>
      </c>
      <c r="C150" s="13"/>
      <c r="D150" s="13" t="str">
        <f>архикад_демпроём!I148</f>
        <v/>
      </c>
      <c r="E150" s="13">
        <f>архикад_демпроём!D148</f>
        <v>0</v>
      </c>
      <c r="F150" s="13"/>
      <c r="G150" s="13">
        <f>архикад_демпроём!E148</f>
        <v>0</v>
      </c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4"/>
    </row>
    <row r="151" spans="1:18" ht="33" x14ac:dyDescent="0.25">
      <c r="A151" s="12" t="str">
        <f t="shared" si="2"/>
        <v>демпроем</v>
      </c>
      <c r="B151" s="13">
        <f>архикад_демпроём!A149</f>
        <v>0</v>
      </c>
      <c r="C151" s="13"/>
      <c r="D151" s="13" t="str">
        <f>архикад_демпроём!I149</f>
        <v/>
      </c>
      <c r="E151" s="13">
        <f>архикад_демпроём!D149</f>
        <v>0</v>
      </c>
      <c r="F151" s="13"/>
      <c r="G151" s="13">
        <f>архикад_демпроём!E149</f>
        <v>0</v>
      </c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4"/>
    </row>
    <row r="152" spans="1:18" ht="33" x14ac:dyDescent="0.25">
      <c r="A152" s="12" t="str">
        <f t="shared" si="2"/>
        <v>демпроем</v>
      </c>
      <c r="B152" s="13">
        <f>архикад_демпроём!A150</f>
        <v>0</v>
      </c>
      <c r="C152" s="13"/>
      <c r="D152" s="13" t="str">
        <f>архикад_демпроём!I150</f>
        <v/>
      </c>
      <c r="E152" s="13">
        <f>архикад_демпроём!D150</f>
        <v>0</v>
      </c>
      <c r="F152" s="13"/>
      <c r="G152" s="13">
        <f>архикад_демпроём!E150</f>
        <v>0</v>
      </c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4"/>
    </row>
    <row r="153" spans="1:18" ht="33" x14ac:dyDescent="0.25">
      <c r="A153" s="12" t="str">
        <f t="shared" si="2"/>
        <v>демпроем</v>
      </c>
      <c r="B153" s="13">
        <f>архикад_демпроём!A151</f>
        <v>0</v>
      </c>
      <c r="C153" s="13"/>
      <c r="D153" s="13" t="str">
        <f>архикад_демпроём!I151</f>
        <v/>
      </c>
      <c r="E153" s="13">
        <f>архикад_демпроём!D151</f>
        <v>0</v>
      </c>
      <c r="F153" s="13"/>
      <c r="G153" s="13">
        <f>архикад_демпроём!E151</f>
        <v>0</v>
      </c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4"/>
    </row>
    <row r="154" spans="1:18" ht="33" x14ac:dyDescent="0.25">
      <c r="A154" s="12" t="str">
        <f t="shared" si="2"/>
        <v>демпроем</v>
      </c>
      <c r="B154" s="13">
        <f>архикад_демпроём!A152</f>
        <v>0</v>
      </c>
      <c r="C154" s="13"/>
      <c r="D154" s="13" t="str">
        <f>архикад_демпроём!I152</f>
        <v/>
      </c>
      <c r="E154" s="13">
        <f>архикад_демпроём!D152</f>
        <v>0</v>
      </c>
      <c r="F154" s="13"/>
      <c r="G154" s="13">
        <f>архикад_демпроём!E152</f>
        <v>0</v>
      </c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4"/>
    </row>
    <row r="155" spans="1:18" ht="33" x14ac:dyDescent="0.25">
      <c r="A155" s="12" t="str">
        <f t="shared" si="2"/>
        <v>демпроем</v>
      </c>
      <c r="B155" s="13">
        <f>архикад_демпроём!A153</f>
        <v>0</v>
      </c>
      <c r="C155" s="13"/>
      <c r="D155" s="13" t="str">
        <f>архикад_демпроём!I153</f>
        <v/>
      </c>
      <c r="E155" s="13">
        <f>архикад_демпроём!D153</f>
        <v>0</v>
      </c>
      <c r="F155" s="13"/>
      <c r="G155" s="13">
        <f>архикад_демпроём!E153</f>
        <v>0</v>
      </c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4"/>
    </row>
    <row r="156" spans="1:18" ht="33" x14ac:dyDescent="0.25">
      <c r="A156" s="12" t="str">
        <f t="shared" si="2"/>
        <v>демпроем</v>
      </c>
      <c r="B156" s="13">
        <f>архикад_демпроём!A154</f>
        <v>0</v>
      </c>
      <c r="C156" s="13"/>
      <c r="D156" s="13" t="str">
        <f>архикад_демпроём!I154</f>
        <v/>
      </c>
      <c r="E156" s="13">
        <f>архикад_демпроём!D154</f>
        <v>0</v>
      </c>
      <c r="F156" s="13"/>
      <c r="G156" s="13">
        <f>архикад_демпроём!E154</f>
        <v>0</v>
      </c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4"/>
    </row>
    <row r="157" spans="1:18" ht="33" x14ac:dyDescent="0.25">
      <c r="A157" s="12" t="str">
        <f t="shared" si="2"/>
        <v>демпроем</v>
      </c>
      <c r="B157" s="13">
        <f>архикад_демпроём!A155</f>
        <v>0</v>
      </c>
      <c r="C157" s="13"/>
      <c r="D157" s="13" t="str">
        <f>архикад_демпроём!I155</f>
        <v/>
      </c>
      <c r="E157" s="13">
        <f>архикад_демпроём!D155</f>
        <v>0</v>
      </c>
      <c r="F157" s="13"/>
      <c r="G157" s="13">
        <f>архикад_демпроём!E155</f>
        <v>0</v>
      </c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4"/>
    </row>
    <row r="158" spans="1:18" ht="33" x14ac:dyDescent="0.25">
      <c r="A158" s="12" t="str">
        <f t="shared" si="2"/>
        <v>демпроем</v>
      </c>
      <c r="B158" s="13">
        <f>архикад_демпроём!A156</f>
        <v>0</v>
      </c>
      <c r="C158" s="13"/>
      <c r="D158" s="13" t="str">
        <f>архикад_демпроём!I156</f>
        <v/>
      </c>
      <c r="E158" s="13">
        <f>архикад_демпроём!D156</f>
        <v>0</v>
      </c>
      <c r="F158" s="13"/>
      <c r="G158" s="13">
        <f>архикад_демпроём!E156</f>
        <v>0</v>
      </c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4"/>
    </row>
    <row r="159" spans="1:18" ht="33" x14ac:dyDescent="0.25">
      <c r="A159" s="12" t="str">
        <f t="shared" si="2"/>
        <v>демпроем</v>
      </c>
      <c r="B159" s="13">
        <f>архикад_демпроём!A157</f>
        <v>0</v>
      </c>
      <c r="C159" s="13"/>
      <c r="D159" s="13" t="str">
        <f>архикад_демпроём!I157</f>
        <v/>
      </c>
      <c r="E159" s="13">
        <f>архикад_демпроём!D157</f>
        <v>0</v>
      </c>
      <c r="F159" s="13"/>
      <c r="G159" s="13">
        <f>архикад_демпроём!E157</f>
        <v>0</v>
      </c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4"/>
    </row>
    <row r="160" spans="1:18" ht="33" x14ac:dyDescent="0.25">
      <c r="A160" s="12" t="str">
        <f t="shared" si="2"/>
        <v>демпроем</v>
      </c>
      <c r="B160" s="13">
        <f>архикад_демпроём!A158</f>
        <v>0</v>
      </c>
      <c r="C160" s="13"/>
      <c r="D160" s="13" t="str">
        <f>архикад_демпроём!I158</f>
        <v/>
      </c>
      <c r="E160" s="13">
        <f>архикад_демпроём!D158</f>
        <v>0</v>
      </c>
      <c r="F160" s="13"/>
      <c r="G160" s="13">
        <f>архикад_демпроём!E158</f>
        <v>0</v>
      </c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4"/>
    </row>
    <row r="161" spans="1:18" ht="33" x14ac:dyDescent="0.25">
      <c r="A161" s="12" t="str">
        <f t="shared" si="2"/>
        <v>демпроем</v>
      </c>
      <c r="B161" s="13">
        <f>архикад_демпроём!A159</f>
        <v>0</v>
      </c>
      <c r="C161" s="13"/>
      <c r="D161" s="13" t="str">
        <f>архикад_демпроём!I159</f>
        <v/>
      </c>
      <c r="E161" s="13">
        <f>архикад_демпроём!D159</f>
        <v>0</v>
      </c>
      <c r="F161" s="13"/>
      <c r="G161" s="13">
        <f>архикад_демпроём!E159</f>
        <v>0</v>
      </c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4"/>
    </row>
    <row r="162" spans="1:18" ht="33" x14ac:dyDescent="0.25">
      <c r="A162" s="12" t="str">
        <f t="shared" si="2"/>
        <v>демпроем</v>
      </c>
      <c r="B162" s="13">
        <f>архикад_демпроём!A160</f>
        <v>0</v>
      </c>
      <c r="C162" s="13"/>
      <c r="D162" s="13" t="str">
        <f>архикад_демпроём!I160</f>
        <v/>
      </c>
      <c r="E162" s="13">
        <f>архикад_демпроём!D160</f>
        <v>0</v>
      </c>
      <c r="F162" s="13"/>
      <c r="G162" s="13">
        <f>архикад_демпроём!E160</f>
        <v>0</v>
      </c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4"/>
    </row>
    <row r="163" spans="1:18" ht="33" x14ac:dyDescent="0.25">
      <c r="A163" s="12" t="str">
        <f t="shared" si="2"/>
        <v>демпроем</v>
      </c>
      <c r="B163" s="13">
        <f>архикад_демпроём!A161</f>
        <v>0</v>
      </c>
      <c r="C163" s="13"/>
      <c r="D163" s="13" t="str">
        <f>архикад_демпроём!I161</f>
        <v/>
      </c>
      <c r="E163" s="13">
        <f>архикад_демпроём!D161</f>
        <v>0</v>
      </c>
      <c r="F163" s="13"/>
      <c r="G163" s="13">
        <f>архикад_демпроём!E161</f>
        <v>0</v>
      </c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4"/>
    </row>
    <row r="164" spans="1:18" ht="33" x14ac:dyDescent="0.25">
      <c r="A164" s="12" t="str">
        <f t="shared" si="2"/>
        <v>демпроем</v>
      </c>
      <c r="B164" s="13">
        <f>архикад_демпроём!A162</f>
        <v>0</v>
      </c>
      <c r="C164" s="13"/>
      <c r="D164" s="13" t="str">
        <f>архикад_демпроём!I162</f>
        <v/>
      </c>
      <c r="E164" s="13">
        <f>архикад_демпроём!D162</f>
        <v>0</v>
      </c>
      <c r="F164" s="13"/>
      <c r="G164" s="13">
        <f>архикад_демпроём!E162</f>
        <v>0</v>
      </c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4"/>
    </row>
    <row r="165" spans="1:18" ht="33" x14ac:dyDescent="0.25">
      <c r="A165" s="12" t="str">
        <f t="shared" si="2"/>
        <v>демпроем</v>
      </c>
      <c r="B165" s="13">
        <f>архикад_демпроём!A163</f>
        <v>0</v>
      </c>
      <c r="C165" s="13"/>
      <c r="D165" s="13" t="str">
        <f>архикад_демпроём!I163</f>
        <v/>
      </c>
      <c r="E165" s="13">
        <f>архикад_демпроём!D163</f>
        <v>0</v>
      </c>
      <c r="F165" s="13"/>
      <c r="G165" s="13">
        <f>архикад_демпроём!E163</f>
        <v>0</v>
      </c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4"/>
    </row>
    <row r="166" spans="1:18" ht="33" x14ac:dyDescent="0.25">
      <c r="A166" s="12" t="str">
        <f t="shared" si="2"/>
        <v>демпроем</v>
      </c>
      <c r="B166" s="13">
        <f>архикад_демпроём!A164</f>
        <v>0</v>
      </c>
      <c r="C166" s="13"/>
      <c r="D166" s="13" t="str">
        <f>архикад_демпроём!I164</f>
        <v/>
      </c>
      <c r="E166" s="13">
        <f>архикад_демпроём!D164</f>
        <v>0</v>
      </c>
      <c r="F166" s="13"/>
      <c r="G166" s="13">
        <f>архикад_демпроём!E164</f>
        <v>0</v>
      </c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4"/>
    </row>
    <row r="167" spans="1:18" ht="33" x14ac:dyDescent="0.25">
      <c r="A167" s="12" t="str">
        <f t="shared" si="2"/>
        <v>демпроем</v>
      </c>
      <c r="B167" s="13">
        <f>архикад_демпроём!A165</f>
        <v>0</v>
      </c>
      <c r="C167" s="13"/>
      <c r="D167" s="13" t="str">
        <f>архикад_демпроём!I165</f>
        <v/>
      </c>
      <c r="E167" s="13">
        <f>архикад_демпроём!D165</f>
        <v>0</v>
      </c>
      <c r="F167" s="13"/>
      <c r="G167" s="13">
        <f>архикад_демпроём!E165</f>
        <v>0</v>
      </c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4"/>
    </row>
    <row r="168" spans="1:18" ht="33" x14ac:dyDescent="0.25">
      <c r="A168" s="12" t="str">
        <f t="shared" si="2"/>
        <v>демпроем</v>
      </c>
      <c r="B168" s="13">
        <f>архикад_демпроём!A166</f>
        <v>0</v>
      </c>
      <c r="C168" s="13"/>
      <c r="D168" s="13" t="str">
        <f>архикад_демпроём!I166</f>
        <v/>
      </c>
      <c r="E168" s="13">
        <f>архикад_демпроём!D166</f>
        <v>0</v>
      </c>
      <c r="F168" s="13"/>
      <c r="G168" s="13">
        <f>архикад_демпроём!E166</f>
        <v>0</v>
      </c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4"/>
    </row>
    <row r="169" spans="1:18" ht="33" x14ac:dyDescent="0.25">
      <c r="A169" s="12" t="str">
        <f t="shared" si="2"/>
        <v>демпроем</v>
      </c>
      <c r="B169" s="13">
        <f>архикад_демпроём!A167</f>
        <v>0</v>
      </c>
      <c r="C169" s="13"/>
      <c r="D169" s="13" t="str">
        <f>архикад_демпроём!I167</f>
        <v/>
      </c>
      <c r="E169" s="13">
        <f>архикад_демпроём!D167</f>
        <v>0</v>
      </c>
      <c r="F169" s="13"/>
      <c r="G169" s="13">
        <f>архикад_демпроём!E167</f>
        <v>0</v>
      </c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4"/>
    </row>
    <row r="170" spans="1:18" ht="33" x14ac:dyDescent="0.25">
      <c r="A170" s="12" t="str">
        <f t="shared" si="2"/>
        <v>демпроем</v>
      </c>
      <c r="B170" s="13">
        <f>архикад_демпроём!A168</f>
        <v>0</v>
      </c>
      <c r="C170" s="13"/>
      <c r="D170" s="13" t="str">
        <f>архикад_демпроём!I168</f>
        <v/>
      </c>
      <c r="E170" s="13">
        <f>архикад_демпроём!D168</f>
        <v>0</v>
      </c>
      <c r="F170" s="13"/>
      <c r="G170" s="13">
        <f>архикад_демпроём!E168</f>
        <v>0</v>
      </c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4"/>
    </row>
    <row r="171" spans="1:18" ht="33" x14ac:dyDescent="0.25">
      <c r="A171" s="12" t="str">
        <f t="shared" si="2"/>
        <v>демпроем</v>
      </c>
      <c r="B171" s="13">
        <f>архикад_демпроём!A169</f>
        <v>0</v>
      </c>
      <c r="C171" s="13"/>
      <c r="D171" s="13" t="str">
        <f>архикад_демпроём!I169</f>
        <v/>
      </c>
      <c r="E171" s="13">
        <f>архикад_демпроём!D169</f>
        <v>0</v>
      </c>
      <c r="F171" s="13"/>
      <c r="G171" s="13">
        <f>архикад_демпроём!E169</f>
        <v>0</v>
      </c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4"/>
    </row>
    <row r="172" spans="1:18" ht="33" x14ac:dyDescent="0.25">
      <c r="A172" s="12" t="str">
        <f t="shared" si="2"/>
        <v>демпроем</v>
      </c>
      <c r="B172" s="13">
        <f>архикад_демпроём!A170</f>
        <v>0</v>
      </c>
      <c r="C172" s="13"/>
      <c r="D172" s="13" t="str">
        <f>архикад_демпроём!I170</f>
        <v/>
      </c>
      <c r="E172" s="13">
        <f>архикад_демпроём!D170</f>
        <v>0</v>
      </c>
      <c r="F172" s="13"/>
      <c r="G172" s="13">
        <f>архикад_демпроём!E170</f>
        <v>0</v>
      </c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4"/>
    </row>
    <row r="173" spans="1:18" ht="33" x14ac:dyDescent="0.25">
      <c r="A173" s="12" t="str">
        <f t="shared" si="2"/>
        <v>демпроем</v>
      </c>
      <c r="B173" s="13">
        <f>архикад_демпроём!A171</f>
        <v>0</v>
      </c>
      <c r="C173" s="13"/>
      <c r="D173" s="13" t="str">
        <f>архикад_демпроём!I171</f>
        <v/>
      </c>
      <c r="E173" s="13">
        <f>архикад_демпроём!D171</f>
        <v>0</v>
      </c>
      <c r="F173" s="13"/>
      <c r="G173" s="13">
        <f>архикад_демпроём!E171</f>
        <v>0</v>
      </c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4"/>
    </row>
    <row r="174" spans="1:18" ht="33" x14ac:dyDescent="0.25">
      <c r="A174" s="12" t="str">
        <f t="shared" si="2"/>
        <v>демпроем</v>
      </c>
      <c r="B174" s="13">
        <f>архикад_демпроём!A172</f>
        <v>0</v>
      </c>
      <c r="C174" s="13"/>
      <c r="D174" s="13" t="str">
        <f>архикад_демпроём!I172</f>
        <v/>
      </c>
      <c r="E174" s="13">
        <f>архикад_демпроём!D172</f>
        <v>0</v>
      </c>
      <c r="F174" s="13"/>
      <c r="G174" s="13">
        <f>архикад_демпроём!E172</f>
        <v>0</v>
      </c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4"/>
    </row>
    <row r="175" spans="1:18" ht="33" x14ac:dyDescent="0.25">
      <c r="A175" s="12" t="str">
        <f t="shared" si="2"/>
        <v>демпроем</v>
      </c>
      <c r="B175" s="13">
        <f>архикад_демпроём!A173</f>
        <v>0</v>
      </c>
      <c r="C175" s="13"/>
      <c r="D175" s="13" t="str">
        <f>архикад_демпроём!I173</f>
        <v/>
      </c>
      <c r="E175" s="13">
        <f>архикад_демпроём!D173</f>
        <v>0</v>
      </c>
      <c r="F175" s="13"/>
      <c r="G175" s="13">
        <f>архикад_демпроём!E173</f>
        <v>0</v>
      </c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4"/>
    </row>
    <row r="176" spans="1:18" ht="33" x14ac:dyDescent="0.25">
      <c r="A176" s="12" t="str">
        <f t="shared" si="2"/>
        <v>демпроем</v>
      </c>
      <c r="B176" s="13">
        <f>архикад_демпроём!A174</f>
        <v>0</v>
      </c>
      <c r="C176" s="13"/>
      <c r="D176" s="13" t="str">
        <f>архикад_демпроём!I174</f>
        <v/>
      </c>
      <c r="E176" s="13">
        <f>архикад_демпроём!D174</f>
        <v>0</v>
      </c>
      <c r="F176" s="13"/>
      <c r="G176" s="13">
        <f>архикад_демпроём!E174</f>
        <v>0</v>
      </c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4"/>
    </row>
    <row r="177" spans="1:18" ht="33" x14ac:dyDescent="0.25">
      <c r="A177" s="12" t="str">
        <f t="shared" si="2"/>
        <v>демпроем</v>
      </c>
      <c r="B177" s="13">
        <f>архикад_демпроём!A175</f>
        <v>0</v>
      </c>
      <c r="C177" s="13"/>
      <c r="D177" s="13" t="str">
        <f>архикад_демпроём!I175</f>
        <v/>
      </c>
      <c r="E177" s="13">
        <f>архикад_демпроём!D175</f>
        <v>0</v>
      </c>
      <c r="F177" s="13"/>
      <c r="G177" s="13">
        <f>архикад_демпроём!E175</f>
        <v>0</v>
      </c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4"/>
    </row>
    <row r="178" spans="1:18" ht="33" x14ac:dyDescent="0.25">
      <c r="A178" s="12" t="str">
        <f t="shared" si="2"/>
        <v>демпроем</v>
      </c>
      <c r="B178" s="13">
        <f>архикад_демпроём!A176</f>
        <v>0</v>
      </c>
      <c r="C178" s="13"/>
      <c r="D178" s="13" t="str">
        <f>архикад_демпроём!I176</f>
        <v/>
      </c>
      <c r="E178" s="13">
        <f>архикад_демпроём!D176</f>
        <v>0</v>
      </c>
      <c r="F178" s="13"/>
      <c r="G178" s="13">
        <f>архикад_демпроём!E176</f>
        <v>0</v>
      </c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4"/>
    </row>
    <row r="179" spans="1:18" ht="33" x14ac:dyDescent="0.25">
      <c r="A179" s="12" t="str">
        <f t="shared" si="2"/>
        <v>демпроем</v>
      </c>
      <c r="B179" s="13">
        <f>архикад_демпроём!A177</f>
        <v>0</v>
      </c>
      <c r="C179" s="13"/>
      <c r="D179" s="13" t="str">
        <f>архикад_демпроём!I177</f>
        <v/>
      </c>
      <c r="E179" s="13">
        <f>архикад_демпроём!D177</f>
        <v>0</v>
      </c>
      <c r="F179" s="13"/>
      <c r="G179" s="13">
        <f>архикад_демпроём!E177</f>
        <v>0</v>
      </c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4"/>
    </row>
    <row r="180" spans="1:18" ht="33" x14ac:dyDescent="0.25">
      <c r="A180" s="12" t="str">
        <f t="shared" si="2"/>
        <v>демпроем</v>
      </c>
      <c r="B180" s="13">
        <f>архикад_демпроём!A178</f>
        <v>0</v>
      </c>
      <c r="C180" s="13"/>
      <c r="D180" s="13" t="str">
        <f>архикад_демпроём!I178</f>
        <v/>
      </c>
      <c r="E180" s="13">
        <f>архикад_демпроём!D178</f>
        <v>0</v>
      </c>
      <c r="F180" s="13"/>
      <c r="G180" s="13">
        <f>архикад_демпроём!E178</f>
        <v>0</v>
      </c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4"/>
    </row>
    <row r="181" spans="1:18" ht="33" x14ac:dyDescent="0.25">
      <c r="A181" s="12" t="str">
        <f t="shared" si="2"/>
        <v>демпроем</v>
      </c>
      <c r="B181" s="13">
        <f>архикад_демпроём!A179</f>
        <v>0</v>
      </c>
      <c r="C181" s="13"/>
      <c r="D181" s="13" t="str">
        <f>архикад_демпроём!I179</f>
        <v/>
      </c>
      <c r="E181" s="13">
        <f>архикад_демпроём!D179</f>
        <v>0</v>
      </c>
      <c r="F181" s="13"/>
      <c r="G181" s="13">
        <f>архикад_демпроём!E179</f>
        <v>0</v>
      </c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4"/>
    </row>
    <row r="182" spans="1:18" ht="33" x14ac:dyDescent="0.25">
      <c r="A182" s="12" t="str">
        <f t="shared" si="2"/>
        <v>демпроем</v>
      </c>
      <c r="B182" s="13">
        <f>архикад_демпроём!A180</f>
        <v>0</v>
      </c>
      <c r="C182" s="13"/>
      <c r="D182" s="13" t="str">
        <f>архикад_демпроём!I180</f>
        <v/>
      </c>
      <c r="E182" s="13">
        <f>архикад_демпроём!D180</f>
        <v>0</v>
      </c>
      <c r="F182" s="13"/>
      <c r="G182" s="13">
        <f>архикад_демпроём!E180</f>
        <v>0</v>
      </c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4"/>
    </row>
    <row r="183" spans="1:18" ht="33" x14ac:dyDescent="0.25">
      <c r="A183" s="12" t="str">
        <f t="shared" si="2"/>
        <v>демпроем</v>
      </c>
      <c r="B183" s="13">
        <f>архикад_демпроём!A181</f>
        <v>0</v>
      </c>
      <c r="C183" s="13"/>
      <c r="D183" s="13" t="str">
        <f>архикад_демпроём!I181</f>
        <v/>
      </c>
      <c r="E183" s="13">
        <f>архикад_демпроём!D181</f>
        <v>0</v>
      </c>
      <c r="F183" s="13"/>
      <c r="G183" s="13">
        <f>архикад_демпроём!E181</f>
        <v>0</v>
      </c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4"/>
    </row>
    <row r="184" spans="1:18" ht="33" x14ac:dyDescent="0.25">
      <c r="A184" s="12" t="str">
        <f t="shared" si="2"/>
        <v>демпроем</v>
      </c>
      <c r="B184" s="13">
        <f>архикад_демпроём!A182</f>
        <v>0</v>
      </c>
      <c r="C184" s="13"/>
      <c r="D184" s="13" t="str">
        <f>архикад_демпроём!I182</f>
        <v/>
      </c>
      <c r="E184" s="13">
        <f>архикад_демпроём!D182</f>
        <v>0</v>
      </c>
      <c r="F184" s="13"/>
      <c r="G184" s="13">
        <f>архикад_демпроём!E182</f>
        <v>0</v>
      </c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4"/>
    </row>
    <row r="185" spans="1:18" ht="33" x14ac:dyDescent="0.25">
      <c r="A185" s="12" t="str">
        <f t="shared" si="2"/>
        <v>демпроем</v>
      </c>
      <c r="B185" s="13">
        <f>архикад_демпроём!A183</f>
        <v>0</v>
      </c>
      <c r="C185" s="13"/>
      <c r="D185" s="13" t="str">
        <f>архикад_демпроём!I183</f>
        <v/>
      </c>
      <c r="E185" s="13">
        <f>архикад_демпроём!D183</f>
        <v>0</v>
      </c>
      <c r="F185" s="13"/>
      <c r="G185" s="13">
        <f>архикад_демпроём!E183</f>
        <v>0</v>
      </c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4"/>
    </row>
    <row r="186" spans="1:18" ht="33" x14ac:dyDescent="0.25">
      <c r="A186" s="12" t="str">
        <f t="shared" si="2"/>
        <v>демпроем</v>
      </c>
      <c r="B186" s="13">
        <f>архикад_демпроём!A184</f>
        <v>0</v>
      </c>
      <c r="C186" s="13"/>
      <c r="D186" s="13" t="str">
        <f>архикад_демпроём!I184</f>
        <v/>
      </c>
      <c r="E186" s="13">
        <f>архикад_демпроём!D184</f>
        <v>0</v>
      </c>
      <c r="F186" s="13"/>
      <c r="G186" s="13">
        <f>архикад_демпроём!E184</f>
        <v>0</v>
      </c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4"/>
    </row>
    <row r="187" spans="1:18" ht="33" x14ac:dyDescent="0.25">
      <c r="A187" s="12" t="str">
        <f t="shared" si="2"/>
        <v>демпроем</v>
      </c>
      <c r="B187" s="13">
        <f>архикад_демпроём!A185</f>
        <v>0</v>
      </c>
      <c r="C187" s="13"/>
      <c r="D187" s="13" t="str">
        <f>архикад_демпроём!I185</f>
        <v/>
      </c>
      <c r="E187" s="13">
        <f>архикад_демпроём!D185</f>
        <v>0</v>
      </c>
      <c r="F187" s="13"/>
      <c r="G187" s="13">
        <f>архикад_демпроём!E185</f>
        <v>0</v>
      </c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4"/>
    </row>
    <row r="188" spans="1:18" ht="33" x14ac:dyDescent="0.25">
      <c r="A188" s="12" t="str">
        <f t="shared" si="2"/>
        <v>демпроем</v>
      </c>
      <c r="B188" s="13">
        <f>архикад_демпроём!A186</f>
        <v>0</v>
      </c>
      <c r="C188" s="13"/>
      <c r="D188" s="13" t="str">
        <f>архикад_демпроём!I186</f>
        <v/>
      </c>
      <c r="E188" s="13">
        <f>архикад_демпроём!D186</f>
        <v>0</v>
      </c>
      <c r="F188" s="13"/>
      <c r="G188" s="13">
        <f>архикад_демпроём!E186</f>
        <v>0</v>
      </c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4"/>
    </row>
    <row r="189" spans="1:18" ht="33" x14ac:dyDescent="0.25">
      <c r="A189" s="12" t="str">
        <f t="shared" si="2"/>
        <v>демпроем</v>
      </c>
      <c r="B189" s="13">
        <f>архикад_демпроём!A187</f>
        <v>0</v>
      </c>
      <c r="C189" s="13"/>
      <c r="D189" s="13" t="str">
        <f>архикад_демпроём!I187</f>
        <v/>
      </c>
      <c r="E189" s="13">
        <f>архикад_демпроём!D187</f>
        <v>0</v>
      </c>
      <c r="F189" s="13"/>
      <c r="G189" s="13">
        <f>архикад_демпроём!E187</f>
        <v>0</v>
      </c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4"/>
    </row>
    <row r="190" spans="1:18" ht="33" x14ac:dyDescent="0.25">
      <c r="A190" s="12" t="str">
        <f t="shared" si="2"/>
        <v>демпроем</v>
      </c>
      <c r="B190" s="13">
        <f>архикад_демпроём!A188</f>
        <v>0</v>
      </c>
      <c r="C190" s="13"/>
      <c r="D190" s="13" t="str">
        <f>архикад_демпроём!I188</f>
        <v/>
      </c>
      <c r="E190" s="13">
        <f>архикад_демпроём!D188</f>
        <v>0</v>
      </c>
      <c r="F190" s="13"/>
      <c r="G190" s="13">
        <f>архикад_демпроём!E188</f>
        <v>0</v>
      </c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4"/>
    </row>
    <row r="191" spans="1:18" ht="33" x14ac:dyDescent="0.25">
      <c r="A191" s="12" t="str">
        <f t="shared" si="2"/>
        <v>демпроем</v>
      </c>
      <c r="B191" s="13">
        <f>архикад_демпроём!A189</f>
        <v>0</v>
      </c>
      <c r="C191" s="13"/>
      <c r="D191" s="13" t="str">
        <f>архикад_демпроём!I189</f>
        <v/>
      </c>
      <c r="E191" s="13">
        <f>архикад_демпроём!D189</f>
        <v>0</v>
      </c>
      <c r="F191" s="13"/>
      <c r="G191" s="13">
        <f>архикад_демпроём!E189</f>
        <v>0</v>
      </c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4"/>
    </row>
    <row r="192" spans="1:18" ht="33" x14ac:dyDescent="0.25">
      <c r="A192" s="12" t="str">
        <f t="shared" si="2"/>
        <v>демпроем</v>
      </c>
      <c r="B192" s="13">
        <f>архикад_демпроём!A190</f>
        <v>0</v>
      </c>
      <c r="C192" s="13"/>
      <c r="D192" s="13" t="str">
        <f>архикад_демпроём!I190</f>
        <v/>
      </c>
      <c r="E192" s="13">
        <f>архикад_демпроём!D190</f>
        <v>0</v>
      </c>
      <c r="F192" s="13"/>
      <c r="G192" s="13">
        <f>архикад_демпроём!E190</f>
        <v>0</v>
      </c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4"/>
    </row>
    <row r="193" spans="1:18" ht="33" x14ac:dyDescent="0.25">
      <c r="A193" s="12" t="str">
        <f t="shared" si="2"/>
        <v>демпроем</v>
      </c>
      <c r="B193" s="13">
        <f>архикад_демпроём!A191</f>
        <v>0</v>
      </c>
      <c r="C193" s="13"/>
      <c r="D193" s="13" t="str">
        <f>архикад_демпроём!I191</f>
        <v/>
      </c>
      <c r="E193" s="13">
        <f>архикад_демпроём!D191</f>
        <v>0</v>
      </c>
      <c r="F193" s="13"/>
      <c r="G193" s="13">
        <f>архикад_демпроём!E191</f>
        <v>0</v>
      </c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4"/>
    </row>
    <row r="194" spans="1:18" ht="33" x14ac:dyDescent="0.25">
      <c r="A194" s="12" t="str">
        <f t="shared" si="2"/>
        <v>демпроем</v>
      </c>
      <c r="B194" s="13">
        <f>архикад_демпроём!A192</f>
        <v>0</v>
      </c>
      <c r="C194" s="13"/>
      <c r="D194" s="13" t="str">
        <f>архикад_демпроём!I192</f>
        <v/>
      </c>
      <c r="E194" s="13">
        <f>архикад_демпроём!D192</f>
        <v>0</v>
      </c>
      <c r="F194" s="13"/>
      <c r="G194" s="13">
        <f>архикад_демпроём!E192</f>
        <v>0</v>
      </c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4"/>
    </row>
    <row r="195" spans="1:18" ht="33" x14ac:dyDescent="0.25">
      <c r="A195" s="12" t="str">
        <f t="shared" si="2"/>
        <v>демпроем</v>
      </c>
      <c r="B195" s="13">
        <f>архикад_демпроём!A193</f>
        <v>0</v>
      </c>
      <c r="C195" s="13"/>
      <c r="D195" s="13" t="str">
        <f>архикад_демпроём!I193</f>
        <v/>
      </c>
      <c r="E195" s="13">
        <f>архикад_демпроём!D193</f>
        <v>0</v>
      </c>
      <c r="F195" s="13"/>
      <c r="G195" s="13">
        <f>архикад_демпроём!E193</f>
        <v>0</v>
      </c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4"/>
    </row>
    <row r="196" spans="1:18" ht="33" x14ac:dyDescent="0.25">
      <c r="A196" s="12" t="str">
        <f t="shared" si="2"/>
        <v>демпроем</v>
      </c>
      <c r="B196" s="13">
        <f>архикад_демпроём!A194</f>
        <v>0</v>
      </c>
      <c r="C196" s="13"/>
      <c r="D196" s="13" t="str">
        <f>архикад_демпроём!I194</f>
        <v/>
      </c>
      <c r="E196" s="13">
        <f>архикад_демпроём!D194</f>
        <v>0</v>
      </c>
      <c r="F196" s="13"/>
      <c r="G196" s="13">
        <f>архикад_демпроём!E194</f>
        <v>0</v>
      </c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4"/>
    </row>
    <row r="197" spans="1:18" ht="33" x14ac:dyDescent="0.25">
      <c r="A197" s="12" t="str">
        <f t="shared" si="2"/>
        <v>демпроем</v>
      </c>
      <c r="B197" s="13">
        <f>архикад_демпроём!A195</f>
        <v>0</v>
      </c>
      <c r="C197" s="13"/>
      <c r="D197" s="13" t="str">
        <f>архикад_демпроём!I195</f>
        <v/>
      </c>
      <c r="E197" s="13">
        <f>архикад_демпроём!D195</f>
        <v>0</v>
      </c>
      <c r="F197" s="13"/>
      <c r="G197" s="13">
        <f>архикад_демпроём!E195</f>
        <v>0</v>
      </c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4"/>
    </row>
    <row r="198" spans="1:18" ht="33" x14ac:dyDescent="0.25">
      <c r="A198" s="12" t="str">
        <f t="shared" ref="A198:A211" si="3">A197</f>
        <v>демпроем</v>
      </c>
      <c r="B198" s="13">
        <f>архикад_демпроём!A196</f>
        <v>0</v>
      </c>
      <c r="C198" s="13"/>
      <c r="D198" s="13" t="str">
        <f>архикад_демпроём!I196</f>
        <v/>
      </c>
      <c r="E198" s="13">
        <f>архикад_демпроём!D196</f>
        <v>0</v>
      </c>
      <c r="F198" s="13"/>
      <c r="G198" s="13">
        <f>архикад_демпроём!E196</f>
        <v>0</v>
      </c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4"/>
    </row>
    <row r="199" spans="1:18" ht="33" x14ac:dyDescent="0.25">
      <c r="A199" s="12" t="str">
        <f t="shared" si="3"/>
        <v>демпроем</v>
      </c>
      <c r="B199" s="13">
        <f>архикад_демпроём!A197</f>
        <v>0</v>
      </c>
      <c r="C199" s="13"/>
      <c r="D199" s="13" t="str">
        <f>архикад_демпроём!I197</f>
        <v/>
      </c>
      <c r="E199" s="13">
        <f>архикад_демпроём!D197</f>
        <v>0</v>
      </c>
      <c r="F199" s="13"/>
      <c r="G199" s="13">
        <f>архикад_демпроём!E197</f>
        <v>0</v>
      </c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4"/>
    </row>
    <row r="200" spans="1:18" ht="33" x14ac:dyDescent="0.25">
      <c r="A200" s="12" t="str">
        <f t="shared" si="3"/>
        <v>демпроем</v>
      </c>
      <c r="B200" s="13">
        <f>архикад_демпроём!A198</f>
        <v>0</v>
      </c>
      <c r="C200" s="13"/>
      <c r="D200" s="13" t="str">
        <f>архикад_демпроём!I198</f>
        <v/>
      </c>
      <c r="E200" s="13">
        <f>архикад_демпроём!D198</f>
        <v>0</v>
      </c>
      <c r="F200" s="13"/>
      <c r="G200" s="13">
        <f>архикад_демпроём!E198</f>
        <v>0</v>
      </c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4"/>
    </row>
    <row r="201" spans="1:18" ht="33" x14ac:dyDescent="0.25">
      <c r="A201" s="12" t="str">
        <f t="shared" si="3"/>
        <v>демпроем</v>
      </c>
      <c r="B201" s="13">
        <f>архикад_демпроём!A199</f>
        <v>0</v>
      </c>
      <c r="C201" s="13"/>
      <c r="D201" s="13" t="str">
        <f>архикад_демпроём!I199</f>
        <v/>
      </c>
      <c r="E201" s="13">
        <f>архикад_демпроём!D199</f>
        <v>0</v>
      </c>
      <c r="F201" s="13"/>
      <c r="G201" s="13">
        <f>архикад_демпроём!E199</f>
        <v>0</v>
      </c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4"/>
    </row>
    <row r="202" spans="1:18" ht="33" x14ac:dyDescent="0.25">
      <c r="A202" s="12" t="str">
        <f t="shared" si="3"/>
        <v>демпроем</v>
      </c>
      <c r="B202" s="13">
        <f>архикад_демпроём!A200</f>
        <v>0</v>
      </c>
      <c r="C202" s="13"/>
      <c r="D202" s="13" t="str">
        <f>архикад_демпроём!I200</f>
        <v/>
      </c>
      <c r="E202" s="13">
        <f>архикад_демпроём!D200</f>
        <v>0</v>
      </c>
      <c r="F202" s="13"/>
      <c r="G202" s="13">
        <f>архикад_демпроём!E200</f>
        <v>0</v>
      </c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4"/>
    </row>
    <row r="203" spans="1:18" ht="33" x14ac:dyDescent="0.25">
      <c r="A203" s="12" t="str">
        <f t="shared" si="3"/>
        <v>демпроем</v>
      </c>
      <c r="B203" s="13">
        <f>архикад_демпроём!A201</f>
        <v>0</v>
      </c>
      <c r="C203" s="13"/>
      <c r="D203" s="13" t="str">
        <f>архикад_демпроём!I201</f>
        <v/>
      </c>
      <c r="E203" s="13">
        <f>архикад_демпроём!D201</f>
        <v>0</v>
      </c>
      <c r="F203" s="13"/>
      <c r="G203" s="13">
        <f>архикад_демпроём!E201</f>
        <v>0</v>
      </c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4"/>
    </row>
    <row r="204" spans="1:18" ht="33" x14ac:dyDescent="0.25">
      <c r="A204" s="12" t="str">
        <f t="shared" si="3"/>
        <v>демпроем</v>
      </c>
      <c r="B204" s="13">
        <f>архикад_демпроём!A202</f>
        <v>0</v>
      </c>
      <c r="C204" s="13"/>
      <c r="D204" s="13" t="str">
        <f>архикад_демпроём!I202</f>
        <v/>
      </c>
      <c r="E204" s="13">
        <f>архикад_демпроём!D202</f>
        <v>0</v>
      </c>
      <c r="F204" s="13"/>
      <c r="G204" s="13">
        <f>архикад_демпроём!E202</f>
        <v>0</v>
      </c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4"/>
    </row>
    <row r="205" spans="1:18" ht="33" x14ac:dyDescent="0.25">
      <c r="A205" s="12" t="str">
        <f t="shared" si="3"/>
        <v>демпроем</v>
      </c>
      <c r="B205" s="13">
        <f>архикад_демпроём!A203</f>
        <v>0</v>
      </c>
      <c r="C205" s="13"/>
      <c r="D205" s="13" t="str">
        <f>архикад_демпроём!I203</f>
        <v/>
      </c>
      <c r="E205" s="13">
        <f>архикад_демпроём!D203</f>
        <v>0</v>
      </c>
      <c r="F205" s="13"/>
      <c r="G205" s="13">
        <f>архикад_демпроём!E203</f>
        <v>0</v>
      </c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4"/>
    </row>
    <row r="206" spans="1:18" ht="33" x14ac:dyDescent="0.25">
      <c r="A206" s="12" t="str">
        <f t="shared" si="3"/>
        <v>демпроем</v>
      </c>
      <c r="B206" s="13">
        <f>архикад_демпроём!A204</f>
        <v>0</v>
      </c>
      <c r="C206" s="13"/>
      <c r="D206" s="13" t="str">
        <f>архикад_демпроём!I204</f>
        <v/>
      </c>
      <c r="E206" s="13">
        <f>архикад_демпроём!D204</f>
        <v>0</v>
      </c>
      <c r="F206" s="13"/>
      <c r="G206" s="13">
        <f>архикад_демпроём!E204</f>
        <v>0</v>
      </c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4"/>
    </row>
    <row r="207" spans="1:18" ht="33" x14ac:dyDescent="0.25">
      <c r="A207" s="12" t="str">
        <f t="shared" si="3"/>
        <v>демпроем</v>
      </c>
      <c r="B207" s="13">
        <f>архикад_демпроём!A205</f>
        <v>0</v>
      </c>
      <c r="C207" s="13"/>
      <c r="D207" s="13" t="str">
        <f>архикад_демпроём!I205</f>
        <v/>
      </c>
      <c r="E207" s="13">
        <f>архикад_демпроём!D205</f>
        <v>0</v>
      </c>
      <c r="F207" s="13"/>
      <c r="G207" s="13">
        <f>архикад_демпроём!E205</f>
        <v>0</v>
      </c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4"/>
    </row>
    <row r="208" spans="1:18" ht="33" x14ac:dyDescent="0.25">
      <c r="A208" s="12" t="str">
        <f t="shared" si="3"/>
        <v>демпроем</v>
      </c>
      <c r="B208" s="13">
        <f>архикад_демпроём!A206</f>
        <v>0</v>
      </c>
      <c r="C208" s="13"/>
      <c r="D208" s="13" t="str">
        <f>архикад_демпроём!I206</f>
        <v/>
      </c>
      <c r="E208" s="13">
        <f>архикад_демпроём!D206</f>
        <v>0</v>
      </c>
      <c r="F208" s="13"/>
      <c r="G208" s="13">
        <f>архикад_демпроём!E206</f>
        <v>0</v>
      </c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4"/>
    </row>
    <row r="209" spans="1:18" ht="33" x14ac:dyDescent="0.25">
      <c r="A209" s="12" t="str">
        <f t="shared" si="3"/>
        <v>демпроем</v>
      </c>
      <c r="B209" s="13">
        <f>архикад_демпроём!A207</f>
        <v>0</v>
      </c>
      <c r="C209" s="13"/>
      <c r="D209" s="13" t="str">
        <f>архикад_демпроём!I207</f>
        <v/>
      </c>
      <c r="E209" s="13">
        <f>архикад_демпроём!D207</f>
        <v>0</v>
      </c>
      <c r="F209" s="13"/>
      <c r="G209" s="13">
        <f>архикад_демпроём!E207</f>
        <v>0</v>
      </c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4"/>
    </row>
    <row r="210" spans="1:18" ht="33" x14ac:dyDescent="0.25">
      <c r="A210" s="12" t="str">
        <f t="shared" si="3"/>
        <v>демпроем</v>
      </c>
      <c r="B210" s="13">
        <f>архикад_демпроём!A208</f>
        <v>0</v>
      </c>
      <c r="C210" s="13"/>
      <c r="D210" s="13" t="str">
        <f>архикад_демпроём!I208</f>
        <v/>
      </c>
      <c r="E210" s="13">
        <f>архикад_демпроём!D208</f>
        <v>0</v>
      </c>
      <c r="F210" s="13"/>
      <c r="G210" s="13">
        <f>архикад_демпроём!E208</f>
        <v>0</v>
      </c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4"/>
    </row>
    <row r="211" spans="1:18" ht="33.75" thickBot="1" x14ac:dyDescent="0.3">
      <c r="A211" s="15" t="str">
        <f t="shared" si="3"/>
        <v>демпроем</v>
      </c>
      <c r="B211" s="16">
        <f>архикад_демпроём!A209</f>
        <v>0</v>
      </c>
      <c r="C211" s="16"/>
      <c r="D211" s="16" t="str">
        <f>архикад_демпроём!I209</f>
        <v/>
      </c>
      <c r="E211" s="16">
        <f>архикад_демпроём!D209</f>
        <v>0</v>
      </c>
      <c r="F211" s="16"/>
      <c r="G211" s="16">
        <f>архикад_демпроём!E209</f>
        <v>0</v>
      </c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211 H2:Q2 K1 R1">
    <cfRule type="containsText" dxfId="117" priority="1" stopIfTrue="1" operator="containsText" text="С ЛИСТА">
      <formula>NOT(ISERROR(SEARCH("С ЛИСТА",A1)))</formula>
    </cfRule>
    <cfRule type="containsText" dxfId="116" priority="2" stopIfTrue="1" operator="containsText" text="ИЗ ФАЙЛА">
      <formula>NOT(ISERROR(SEARCH("ИЗ ФАЙЛА",A1)))</formula>
    </cfRule>
    <cfRule type="containsText" dxfId="115" priority="3" stopIfTrue="1" operator="containsText" text="!!!">
      <formula>NOT(ISERROR(SEARCH("!!!",A1)))</formula>
    </cfRule>
    <cfRule type="containsText" dxfId="114" priority="4" stopIfTrue="1" operator="containsText" text=" Изделия ">
      <formula>NOT(ISERROR(SEARCH(" Изделия ",A1)))</formula>
    </cfRule>
    <cfRule type="containsText" dxfId="113" priority="5" stopIfTrue="1" operator="containsText" text=" Прокат ">
      <formula>NOT(ISERROR(SEARCH(" Прокат ",A1)))</formula>
    </cfRule>
    <cfRule type="containsText" dxfId="112" priority="6" stopIfTrue="1" operator="containsText" text=" Сборочные единицы ">
      <formula>NOT(ISERROR(SEARCH(" Сборочные единицы ",A1)))</formula>
    </cfRule>
    <cfRule type="containsText" dxfId="111" priority="7" stopIfTrue="1" operator="containsText" text=" Материалы ">
      <formula>NOT(ISERROR(SEARCH(" Материалы ",A1)))</formula>
    </cfRule>
    <cfRule type="containsText" dxfId="110" priority="8" stopIfTrue="1" operator="containsText" text=", на ">
      <formula>NOT(ISERROR(SEARCH(", на ",A1)))</formula>
    </cfRule>
    <cfRule type="containsText" dxfId="109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>
          <x14:formula1>
            <xm:f>'!System'!$AN$1:$AN$6</xm:f>
          </x14:formula1>
          <xm:sqref>G3:G211</xm:sqref>
        </x14:dataValidation>
        <x14:dataValidation type="list" allowBlank="1" showInputMessage="1" showErrorMessage="1">
          <x14:formula1>
            <xm:f>'!System'!$T$1:$AB$1</xm:f>
          </x14:formula1>
          <xm:sqref>J3:J211</xm:sqref>
        </x14:dataValidation>
        <x14:dataValidation type="list" allowBlank="1" showInputMessage="1" showErrorMessage="1">
          <x14:formula1>
            <xm:f>'!System'!$A$1:$R$1</xm:f>
          </x14:formula1>
          <xm:sqref>L3:L211</xm:sqref>
        </x14:dataValidation>
        <x14:dataValidation type="list" allowBlank="1" showInputMessage="1" showErrorMessage="1">
          <x14:formula1>
            <xm:f>'!System'!$AC$1:$AM$1</xm:f>
          </x14:formula1>
          <xm:sqref>O3:O211</xm:sqref>
        </x14:dataValidation>
        <x14:dataValidation type="list" allowBlank="1" showInputMessage="1" showErrorMessage="1">
          <x14:formula1>
            <xm:f>'!System'!$AO$1:$AO$5</xm:f>
          </x14:formula1>
          <xm:sqref>P3:P211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7" tint="0.39997558519241921"/>
  </sheetPr>
  <dimension ref="A1:R211"/>
  <sheetViews>
    <sheetView workbookViewId="0">
      <selection activeCell="J8" sqref="J8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</cols>
  <sheetData>
    <row r="1" spans="1:18" ht="16.5" x14ac:dyDescent="0.25">
      <c r="A1" s="34" t="s">
        <v>2395</v>
      </c>
      <c r="B1" s="27" t="s">
        <v>2388</v>
      </c>
      <c r="C1" s="27" t="s">
        <v>2389</v>
      </c>
      <c r="D1" s="27" t="s">
        <v>2390</v>
      </c>
      <c r="E1" s="27" t="s">
        <v>2396</v>
      </c>
      <c r="F1" s="27" t="s">
        <v>2397</v>
      </c>
      <c r="G1" s="27" t="s">
        <v>2398</v>
      </c>
      <c r="H1" s="29" t="s">
        <v>2400</v>
      </c>
      <c r="I1" s="30"/>
      <c r="J1" s="31"/>
      <c r="K1" s="29" t="s">
        <v>2404</v>
      </c>
      <c r="L1" s="30"/>
      <c r="M1" s="30"/>
      <c r="N1" s="30"/>
      <c r="O1" s="30"/>
      <c r="P1" s="30"/>
      <c r="Q1" s="31"/>
      <c r="R1" s="32" t="s">
        <v>2399</v>
      </c>
    </row>
    <row r="2" spans="1:18" ht="66" x14ac:dyDescent="0.25">
      <c r="A2" s="35"/>
      <c r="B2" s="28"/>
      <c r="C2" s="28"/>
      <c r="D2" s="28"/>
      <c r="E2" s="28"/>
      <c r="F2" s="28"/>
      <c r="G2" s="28"/>
      <c r="H2" s="13" t="s">
        <v>2401</v>
      </c>
      <c r="I2" s="13" t="s">
        <v>2402</v>
      </c>
      <c r="J2" s="13" t="s">
        <v>2403</v>
      </c>
      <c r="K2" s="13" t="s">
        <v>2405</v>
      </c>
      <c r="L2" s="13" t="s">
        <v>2406</v>
      </c>
      <c r="M2" s="13" t="s">
        <v>2407</v>
      </c>
      <c r="N2" s="13" t="s">
        <v>2408</v>
      </c>
      <c r="O2" s="13" t="s">
        <v>2409</v>
      </c>
      <c r="P2" s="13" t="s">
        <v>2410</v>
      </c>
      <c r="Q2" s="13" t="s">
        <v>2411</v>
      </c>
      <c r="R2" s="33"/>
    </row>
    <row r="3" spans="1:18" ht="16.5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49.5" x14ac:dyDescent="0.25">
      <c r="A4" s="12" t="s">
        <v>2562</v>
      </c>
      <c r="B4" s="13"/>
      <c r="C4" s="13"/>
      <c r="D4" s="13" t="s">
        <v>2566</v>
      </c>
      <c r="E4" s="13">
        <v>475</v>
      </c>
      <c r="F4" s="13"/>
      <c r="G4" s="13" t="s">
        <v>2362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</row>
    <row r="5" spans="1:18" ht="33" x14ac:dyDescent="0.25">
      <c r="A5" s="12" t="str">
        <f>A4</f>
        <v>демкров</v>
      </c>
      <c r="B5" s="13"/>
      <c r="C5" s="13"/>
      <c r="D5" s="13" t="s">
        <v>2567</v>
      </c>
      <c r="E5" s="13">
        <f>E4</f>
        <v>475</v>
      </c>
      <c r="F5" s="13"/>
      <c r="G5" s="13" t="s">
        <v>2362</v>
      </c>
      <c r="H5" s="13"/>
      <c r="I5" s="13"/>
      <c r="J5" s="13"/>
      <c r="K5" s="13"/>
      <c r="L5" s="13"/>
      <c r="M5" s="13"/>
      <c r="N5" s="13"/>
      <c r="O5" s="13"/>
      <c r="P5" s="13"/>
      <c r="Q5" s="13"/>
      <c r="R5" s="14"/>
    </row>
    <row r="6" spans="1:18" ht="33" x14ac:dyDescent="0.25">
      <c r="A6" s="12" t="str">
        <f t="shared" ref="A6:A69" si="0">A5</f>
        <v>демкров</v>
      </c>
      <c r="B6" s="13"/>
      <c r="C6" s="13"/>
      <c r="D6" s="13" t="s">
        <v>2568</v>
      </c>
      <c r="E6" s="13">
        <f>E5</f>
        <v>475</v>
      </c>
      <c r="F6" s="13"/>
      <c r="G6" s="13" t="s">
        <v>2362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4"/>
    </row>
    <row r="7" spans="1:18" ht="66" x14ac:dyDescent="0.25">
      <c r="A7" s="12" t="str">
        <f t="shared" si="0"/>
        <v>демкров</v>
      </c>
      <c r="B7" s="13"/>
      <c r="C7" s="13"/>
      <c r="D7" s="13" t="s">
        <v>2569</v>
      </c>
      <c r="E7" s="13">
        <f>E6</f>
        <v>475</v>
      </c>
      <c r="F7" s="13"/>
      <c r="G7" s="13" t="s">
        <v>2362</v>
      </c>
      <c r="H7" s="13"/>
      <c r="I7" s="13"/>
      <c r="J7" s="13"/>
      <c r="K7" s="13"/>
      <c r="L7" s="13"/>
      <c r="M7" s="13"/>
      <c r="N7" s="13"/>
      <c r="O7" s="13"/>
      <c r="P7" s="13"/>
      <c r="Q7" s="13"/>
      <c r="R7" s="14"/>
    </row>
    <row r="8" spans="1:18" ht="33" x14ac:dyDescent="0.25">
      <c r="A8" s="12" t="str">
        <f t="shared" si="0"/>
        <v>демкров</v>
      </c>
      <c r="B8" s="13"/>
      <c r="C8" s="13"/>
      <c r="D8" s="13" t="s">
        <v>2564</v>
      </c>
      <c r="E8" s="13">
        <v>9</v>
      </c>
      <c r="F8" s="13"/>
      <c r="G8" s="13" t="s">
        <v>3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4"/>
    </row>
    <row r="9" spans="1:18" ht="49.5" x14ac:dyDescent="0.25">
      <c r="A9" s="12" t="str">
        <f t="shared" si="0"/>
        <v>демкров</v>
      </c>
      <c r="B9" s="13"/>
      <c r="C9" s="13"/>
      <c r="D9" s="13" t="s">
        <v>2565</v>
      </c>
      <c r="E9" s="13">
        <v>9</v>
      </c>
      <c r="F9" s="13"/>
      <c r="G9" s="13" t="s">
        <v>3</v>
      </c>
      <c r="H9" s="13"/>
      <c r="I9" s="13"/>
      <c r="J9" s="13"/>
      <c r="K9" s="13"/>
      <c r="L9" s="13"/>
      <c r="M9" s="13"/>
      <c r="N9" s="13"/>
      <c r="O9" s="13"/>
      <c r="P9" s="13"/>
      <c r="Q9" s="13"/>
      <c r="R9" s="14"/>
    </row>
    <row r="10" spans="1:18" ht="16.5" x14ac:dyDescent="0.25">
      <c r="A10" s="12" t="str">
        <f t="shared" si="0"/>
        <v>демкров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4"/>
    </row>
    <row r="11" spans="1:18" ht="16.5" x14ac:dyDescent="0.25">
      <c r="A11" s="12" t="str">
        <f t="shared" si="0"/>
        <v>демкров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4"/>
    </row>
    <row r="12" spans="1:18" ht="16.5" x14ac:dyDescent="0.25">
      <c r="A12" s="12" t="str">
        <f t="shared" si="0"/>
        <v>демкров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4"/>
    </row>
    <row r="13" spans="1:18" ht="16.5" x14ac:dyDescent="0.25">
      <c r="A13" s="12" t="str">
        <f t="shared" si="0"/>
        <v>демкров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4"/>
    </row>
    <row r="14" spans="1:18" ht="16.5" x14ac:dyDescent="0.25">
      <c r="A14" s="12" t="str">
        <f t="shared" si="0"/>
        <v>демкров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4"/>
    </row>
    <row r="15" spans="1:18" ht="16.5" x14ac:dyDescent="0.25">
      <c r="A15" s="12" t="str">
        <f t="shared" si="0"/>
        <v>демкров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4"/>
    </row>
    <row r="16" spans="1:18" ht="16.5" x14ac:dyDescent="0.25">
      <c r="A16" s="12" t="str">
        <f t="shared" si="0"/>
        <v>демкров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4"/>
    </row>
    <row r="17" spans="1:18" ht="16.5" x14ac:dyDescent="0.25">
      <c r="A17" s="12" t="str">
        <f t="shared" si="0"/>
        <v>демкров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4"/>
    </row>
    <row r="18" spans="1:18" ht="16.5" x14ac:dyDescent="0.25">
      <c r="A18" s="12" t="str">
        <f t="shared" si="0"/>
        <v>демкров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4"/>
    </row>
    <row r="19" spans="1:18" ht="16.5" x14ac:dyDescent="0.25">
      <c r="A19" s="12" t="str">
        <f t="shared" si="0"/>
        <v>демкров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4"/>
    </row>
    <row r="20" spans="1:18" ht="16.5" x14ac:dyDescent="0.25">
      <c r="A20" s="12" t="str">
        <f t="shared" si="0"/>
        <v>демкров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4"/>
    </row>
    <row r="21" spans="1:18" ht="16.5" x14ac:dyDescent="0.25">
      <c r="A21" s="12" t="str">
        <f t="shared" si="0"/>
        <v>демкров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4"/>
    </row>
    <row r="22" spans="1:18" ht="16.5" x14ac:dyDescent="0.25">
      <c r="A22" s="12" t="str">
        <f t="shared" si="0"/>
        <v>демкров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4"/>
    </row>
    <row r="23" spans="1:18" ht="16.5" x14ac:dyDescent="0.25">
      <c r="A23" s="12" t="str">
        <f t="shared" si="0"/>
        <v>демкров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4"/>
    </row>
    <row r="24" spans="1:18" ht="16.5" x14ac:dyDescent="0.25">
      <c r="A24" s="12" t="str">
        <f t="shared" si="0"/>
        <v>демкров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4"/>
    </row>
    <row r="25" spans="1:18" ht="16.5" x14ac:dyDescent="0.25">
      <c r="A25" s="12" t="str">
        <f t="shared" si="0"/>
        <v>демкров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4"/>
    </row>
    <row r="26" spans="1:18" ht="16.5" x14ac:dyDescent="0.25">
      <c r="A26" s="12" t="str">
        <f t="shared" si="0"/>
        <v>демкров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4"/>
    </row>
    <row r="27" spans="1:18" ht="16.5" x14ac:dyDescent="0.25">
      <c r="A27" s="12" t="str">
        <f t="shared" si="0"/>
        <v>демкров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4"/>
    </row>
    <row r="28" spans="1:18" ht="16.5" x14ac:dyDescent="0.25">
      <c r="A28" s="12" t="str">
        <f t="shared" si="0"/>
        <v>демкров</v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4"/>
    </row>
    <row r="29" spans="1:18" ht="16.5" x14ac:dyDescent="0.25">
      <c r="A29" s="12" t="str">
        <f t="shared" si="0"/>
        <v>демкров</v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4"/>
    </row>
    <row r="30" spans="1:18" ht="16.5" x14ac:dyDescent="0.25">
      <c r="A30" s="12" t="str">
        <f t="shared" si="0"/>
        <v>демкров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4"/>
    </row>
    <row r="31" spans="1:18" ht="16.5" x14ac:dyDescent="0.25">
      <c r="A31" s="12" t="str">
        <f t="shared" si="0"/>
        <v>демкров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4"/>
    </row>
    <row r="32" spans="1:18" ht="16.5" x14ac:dyDescent="0.25">
      <c r="A32" s="12" t="str">
        <f t="shared" si="0"/>
        <v>демкров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4"/>
    </row>
    <row r="33" spans="1:18" ht="16.5" x14ac:dyDescent="0.25">
      <c r="A33" s="12" t="str">
        <f t="shared" si="0"/>
        <v>демкров</v>
      </c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4"/>
    </row>
    <row r="34" spans="1:18" ht="16.5" x14ac:dyDescent="0.25">
      <c r="A34" s="12" t="str">
        <f t="shared" si="0"/>
        <v>демкров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4"/>
    </row>
    <row r="35" spans="1:18" ht="16.5" x14ac:dyDescent="0.25">
      <c r="A35" s="12" t="str">
        <f t="shared" si="0"/>
        <v>демкров</v>
      </c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4"/>
    </row>
    <row r="36" spans="1:18" ht="16.5" x14ac:dyDescent="0.25">
      <c r="A36" s="12" t="str">
        <f t="shared" si="0"/>
        <v>демкров</v>
      </c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4"/>
    </row>
    <row r="37" spans="1:18" ht="16.5" x14ac:dyDescent="0.25">
      <c r="A37" s="12" t="str">
        <f t="shared" si="0"/>
        <v>демкров</v>
      </c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4"/>
    </row>
    <row r="38" spans="1:18" ht="16.5" x14ac:dyDescent="0.25">
      <c r="A38" s="12" t="str">
        <f t="shared" si="0"/>
        <v>демкров</v>
      </c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4"/>
    </row>
    <row r="39" spans="1:18" ht="16.5" x14ac:dyDescent="0.25">
      <c r="A39" s="12" t="str">
        <f t="shared" si="0"/>
        <v>демкров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4"/>
    </row>
    <row r="40" spans="1:18" ht="16.5" x14ac:dyDescent="0.25">
      <c r="A40" s="12" t="str">
        <f t="shared" si="0"/>
        <v>демкров</v>
      </c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4"/>
    </row>
    <row r="41" spans="1:18" ht="16.5" x14ac:dyDescent="0.25">
      <c r="A41" s="12" t="str">
        <f t="shared" si="0"/>
        <v>демкров</v>
      </c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4"/>
    </row>
    <row r="42" spans="1:18" ht="16.5" x14ac:dyDescent="0.25">
      <c r="A42" s="12" t="str">
        <f t="shared" si="0"/>
        <v>демкров</v>
      </c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4"/>
    </row>
    <row r="43" spans="1:18" ht="16.5" x14ac:dyDescent="0.25">
      <c r="A43" s="12" t="str">
        <f t="shared" si="0"/>
        <v>демкров</v>
      </c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</row>
    <row r="44" spans="1:18" ht="16.5" x14ac:dyDescent="0.25">
      <c r="A44" s="12" t="str">
        <f t="shared" si="0"/>
        <v>демкров</v>
      </c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4"/>
    </row>
    <row r="45" spans="1:18" ht="16.5" x14ac:dyDescent="0.25">
      <c r="A45" s="12" t="str">
        <f t="shared" si="0"/>
        <v>демкров</v>
      </c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4"/>
    </row>
    <row r="46" spans="1:18" ht="16.5" x14ac:dyDescent="0.25">
      <c r="A46" s="12" t="str">
        <f t="shared" si="0"/>
        <v>демкров</v>
      </c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4"/>
    </row>
    <row r="47" spans="1:18" ht="16.5" x14ac:dyDescent="0.25">
      <c r="A47" s="12" t="str">
        <f t="shared" si="0"/>
        <v>демкров</v>
      </c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4"/>
    </row>
    <row r="48" spans="1:18" ht="16.5" x14ac:dyDescent="0.25">
      <c r="A48" s="12" t="str">
        <f t="shared" si="0"/>
        <v>демкров</v>
      </c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4"/>
    </row>
    <row r="49" spans="1:18" ht="16.5" x14ac:dyDescent="0.25">
      <c r="A49" s="12" t="str">
        <f t="shared" si="0"/>
        <v>демкров</v>
      </c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4"/>
    </row>
    <row r="50" spans="1:18" ht="16.5" x14ac:dyDescent="0.25">
      <c r="A50" s="12" t="str">
        <f t="shared" si="0"/>
        <v>демкров</v>
      </c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4"/>
    </row>
    <row r="51" spans="1:18" ht="16.5" x14ac:dyDescent="0.25">
      <c r="A51" s="12" t="str">
        <f t="shared" si="0"/>
        <v>демкров</v>
      </c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4"/>
    </row>
    <row r="52" spans="1:18" ht="16.5" x14ac:dyDescent="0.25">
      <c r="A52" s="12" t="str">
        <f t="shared" si="0"/>
        <v>демкров</v>
      </c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4"/>
    </row>
    <row r="53" spans="1:18" ht="16.5" x14ac:dyDescent="0.25">
      <c r="A53" s="12" t="str">
        <f t="shared" si="0"/>
        <v>демкров</v>
      </c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4"/>
    </row>
    <row r="54" spans="1:18" ht="16.5" x14ac:dyDescent="0.25">
      <c r="A54" s="12" t="str">
        <f t="shared" si="0"/>
        <v>демкров</v>
      </c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4"/>
    </row>
    <row r="55" spans="1:18" ht="16.5" x14ac:dyDescent="0.25">
      <c r="A55" s="12" t="str">
        <f t="shared" si="0"/>
        <v>демкров</v>
      </c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4"/>
    </row>
    <row r="56" spans="1:18" ht="16.5" x14ac:dyDescent="0.25">
      <c r="A56" s="12" t="str">
        <f t="shared" si="0"/>
        <v>демкров</v>
      </c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4"/>
    </row>
    <row r="57" spans="1:18" ht="16.5" x14ac:dyDescent="0.25">
      <c r="A57" s="12" t="str">
        <f t="shared" si="0"/>
        <v>демкров</v>
      </c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4"/>
    </row>
    <row r="58" spans="1:18" ht="16.5" x14ac:dyDescent="0.25">
      <c r="A58" s="12" t="str">
        <f t="shared" si="0"/>
        <v>демкров</v>
      </c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4"/>
    </row>
    <row r="59" spans="1:18" ht="16.5" x14ac:dyDescent="0.25">
      <c r="A59" s="12" t="str">
        <f t="shared" si="0"/>
        <v>демкров</v>
      </c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4"/>
    </row>
    <row r="60" spans="1:18" ht="16.5" x14ac:dyDescent="0.25">
      <c r="A60" s="12" t="str">
        <f t="shared" si="0"/>
        <v>демкров</v>
      </c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4"/>
    </row>
    <row r="61" spans="1:18" ht="16.5" x14ac:dyDescent="0.25">
      <c r="A61" s="12" t="str">
        <f t="shared" si="0"/>
        <v>демкров</v>
      </c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4"/>
    </row>
    <row r="62" spans="1:18" ht="16.5" x14ac:dyDescent="0.25">
      <c r="A62" s="12" t="str">
        <f t="shared" si="0"/>
        <v>демкров</v>
      </c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4"/>
    </row>
    <row r="63" spans="1:18" ht="16.5" x14ac:dyDescent="0.25">
      <c r="A63" s="12" t="str">
        <f t="shared" si="0"/>
        <v>демкров</v>
      </c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4"/>
    </row>
    <row r="64" spans="1:18" ht="16.5" x14ac:dyDescent="0.25">
      <c r="A64" s="12" t="str">
        <f t="shared" si="0"/>
        <v>демкров</v>
      </c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4"/>
    </row>
    <row r="65" spans="1:18" ht="16.5" x14ac:dyDescent="0.25">
      <c r="A65" s="12" t="str">
        <f t="shared" si="0"/>
        <v>демкров</v>
      </c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4"/>
    </row>
    <row r="66" spans="1:18" ht="16.5" x14ac:dyDescent="0.25">
      <c r="A66" s="12" t="str">
        <f t="shared" si="0"/>
        <v>демкров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4"/>
    </row>
    <row r="67" spans="1:18" ht="16.5" x14ac:dyDescent="0.25">
      <c r="A67" s="12" t="str">
        <f t="shared" si="0"/>
        <v>демкров</v>
      </c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4"/>
    </row>
    <row r="68" spans="1:18" ht="16.5" x14ac:dyDescent="0.25">
      <c r="A68" s="12" t="str">
        <f t="shared" si="0"/>
        <v>демкров</v>
      </c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4"/>
    </row>
    <row r="69" spans="1:18" ht="16.5" x14ac:dyDescent="0.25">
      <c r="A69" s="12" t="str">
        <f t="shared" si="0"/>
        <v>демкров</v>
      </c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4"/>
    </row>
    <row r="70" spans="1:18" ht="16.5" x14ac:dyDescent="0.25">
      <c r="A70" s="12" t="str">
        <f t="shared" ref="A70:A133" si="1">A69</f>
        <v>демкров</v>
      </c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4"/>
    </row>
    <row r="71" spans="1:18" ht="16.5" x14ac:dyDescent="0.25">
      <c r="A71" s="12" t="str">
        <f t="shared" si="1"/>
        <v>демкров</v>
      </c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4"/>
    </row>
    <row r="72" spans="1:18" ht="16.5" x14ac:dyDescent="0.25">
      <c r="A72" s="12" t="str">
        <f t="shared" si="1"/>
        <v>демкров</v>
      </c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4"/>
    </row>
    <row r="73" spans="1:18" ht="16.5" x14ac:dyDescent="0.25">
      <c r="A73" s="12" t="str">
        <f t="shared" si="1"/>
        <v>демкров</v>
      </c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4"/>
    </row>
    <row r="74" spans="1:18" ht="16.5" x14ac:dyDescent="0.25">
      <c r="A74" s="12" t="str">
        <f t="shared" si="1"/>
        <v>демкров</v>
      </c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4"/>
    </row>
    <row r="75" spans="1:18" ht="16.5" x14ac:dyDescent="0.25">
      <c r="A75" s="12" t="str">
        <f t="shared" si="1"/>
        <v>демкров</v>
      </c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4"/>
    </row>
    <row r="76" spans="1:18" ht="16.5" x14ac:dyDescent="0.25">
      <c r="A76" s="12" t="str">
        <f t="shared" si="1"/>
        <v>демкров</v>
      </c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4"/>
    </row>
    <row r="77" spans="1:18" ht="16.5" x14ac:dyDescent="0.25">
      <c r="A77" s="12" t="str">
        <f t="shared" si="1"/>
        <v>демкров</v>
      </c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4"/>
    </row>
    <row r="78" spans="1:18" ht="16.5" x14ac:dyDescent="0.25">
      <c r="A78" s="12" t="str">
        <f t="shared" si="1"/>
        <v>демкров</v>
      </c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4"/>
    </row>
    <row r="79" spans="1:18" ht="16.5" x14ac:dyDescent="0.25">
      <c r="A79" s="12" t="str">
        <f t="shared" si="1"/>
        <v>демкров</v>
      </c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4"/>
    </row>
    <row r="80" spans="1:18" ht="16.5" x14ac:dyDescent="0.25">
      <c r="A80" s="12" t="str">
        <f t="shared" si="1"/>
        <v>демкров</v>
      </c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4"/>
    </row>
    <row r="81" spans="1:18" ht="16.5" x14ac:dyDescent="0.25">
      <c r="A81" s="12" t="str">
        <f t="shared" si="1"/>
        <v>демкров</v>
      </c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4"/>
    </row>
    <row r="82" spans="1:18" ht="16.5" x14ac:dyDescent="0.25">
      <c r="A82" s="12" t="str">
        <f t="shared" si="1"/>
        <v>демкров</v>
      </c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4"/>
    </row>
    <row r="83" spans="1:18" ht="16.5" x14ac:dyDescent="0.25">
      <c r="A83" s="12" t="str">
        <f t="shared" si="1"/>
        <v>демкров</v>
      </c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4"/>
    </row>
    <row r="84" spans="1:18" ht="16.5" x14ac:dyDescent="0.25">
      <c r="A84" s="12" t="str">
        <f t="shared" si="1"/>
        <v>демкров</v>
      </c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4"/>
    </row>
    <row r="85" spans="1:18" ht="16.5" x14ac:dyDescent="0.25">
      <c r="A85" s="12" t="str">
        <f t="shared" si="1"/>
        <v>демкров</v>
      </c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4"/>
    </row>
    <row r="86" spans="1:18" ht="16.5" x14ac:dyDescent="0.25">
      <c r="A86" s="12" t="str">
        <f t="shared" si="1"/>
        <v>демкров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4"/>
    </row>
    <row r="87" spans="1:18" ht="16.5" x14ac:dyDescent="0.25">
      <c r="A87" s="12" t="str">
        <f t="shared" si="1"/>
        <v>демкров</v>
      </c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4"/>
    </row>
    <row r="88" spans="1:18" ht="16.5" x14ac:dyDescent="0.25">
      <c r="A88" s="12" t="str">
        <f t="shared" si="1"/>
        <v>демкров</v>
      </c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4"/>
    </row>
    <row r="89" spans="1:18" ht="16.5" x14ac:dyDescent="0.25">
      <c r="A89" s="12" t="str">
        <f t="shared" si="1"/>
        <v>демкров</v>
      </c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4"/>
    </row>
    <row r="90" spans="1:18" ht="16.5" x14ac:dyDescent="0.25">
      <c r="A90" s="12" t="str">
        <f t="shared" si="1"/>
        <v>демкров</v>
      </c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4"/>
    </row>
    <row r="91" spans="1:18" ht="16.5" x14ac:dyDescent="0.25">
      <c r="A91" s="12" t="str">
        <f t="shared" si="1"/>
        <v>демкров</v>
      </c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4"/>
    </row>
    <row r="92" spans="1:18" ht="16.5" x14ac:dyDescent="0.25">
      <c r="A92" s="12" t="str">
        <f t="shared" si="1"/>
        <v>демкров</v>
      </c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4"/>
    </row>
    <row r="93" spans="1:18" ht="16.5" x14ac:dyDescent="0.25">
      <c r="A93" s="12" t="str">
        <f t="shared" si="1"/>
        <v>демкров</v>
      </c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4"/>
    </row>
    <row r="94" spans="1:18" ht="16.5" x14ac:dyDescent="0.25">
      <c r="A94" s="12" t="str">
        <f t="shared" si="1"/>
        <v>демкров</v>
      </c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4"/>
    </row>
    <row r="95" spans="1:18" ht="16.5" x14ac:dyDescent="0.25">
      <c r="A95" s="12" t="str">
        <f t="shared" si="1"/>
        <v>демкров</v>
      </c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4"/>
    </row>
    <row r="96" spans="1:18" ht="16.5" x14ac:dyDescent="0.25">
      <c r="A96" s="12" t="str">
        <f t="shared" si="1"/>
        <v>демкров</v>
      </c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4"/>
    </row>
    <row r="97" spans="1:18" ht="16.5" x14ac:dyDescent="0.25">
      <c r="A97" s="12" t="str">
        <f t="shared" si="1"/>
        <v>демкров</v>
      </c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4"/>
    </row>
    <row r="98" spans="1:18" ht="16.5" x14ac:dyDescent="0.25">
      <c r="A98" s="12" t="str">
        <f t="shared" si="1"/>
        <v>демкров</v>
      </c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4"/>
    </row>
    <row r="99" spans="1:18" ht="16.5" x14ac:dyDescent="0.25">
      <c r="A99" s="12" t="str">
        <f t="shared" si="1"/>
        <v>демкров</v>
      </c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4"/>
    </row>
    <row r="100" spans="1:18" ht="16.5" x14ac:dyDescent="0.25">
      <c r="A100" s="12" t="str">
        <f t="shared" si="1"/>
        <v>демкров</v>
      </c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4"/>
    </row>
    <row r="101" spans="1:18" ht="16.5" x14ac:dyDescent="0.25">
      <c r="A101" s="12" t="str">
        <f t="shared" si="1"/>
        <v>демкров</v>
      </c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4"/>
    </row>
    <row r="102" spans="1:18" ht="16.5" x14ac:dyDescent="0.25">
      <c r="A102" s="12" t="str">
        <f t="shared" si="1"/>
        <v>демкров</v>
      </c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4"/>
    </row>
    <row r="103" spans="1:18" ht="16.5" x14ac:dyDescent="0.25">
      <c r="A103" s="12" t="str">
        <f t="shared" si="1"/>
        <v>демкров</v>
      </c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4"/>
    </row>
    <row r="104" spans="1:18" ht="16.5" x14ac:dyDescent="0.25">
      <c r="A104" s="12" t="str">
        <f t="shared" si="1"/>
        <v>демкров</v>
      </c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4"/>
    </row>
    <row r="105" spans="1:18" ht="16.5" x14ac:dyDescent="0.25">
      <c r="A105" s="12" t="str">
        <f t="shared" si="1"/>
        <v>демкров</v>
      </c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4"/>
    </row>
    <row r="106" spans="1:18" ht="16.5" x14ac:dyDescent="0.25">
      <c r="A106" s="12" t="str">
        <f t="shared" si="1"/>
        <v>демкров</v>
      </c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4"/>
    </row>
    <row r="107" spans="1:18" ht="16.5" x14ac:dyDescent="0.25">
      <c r="A107" s="12" t="str">
        <f t="shared" si="1"/>
        <v>демкров</v>
      </c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4"/>
    </row>
    <row r="108" spans="1:18" ht="16.5" x14ac:dyDescent="0.25">
      <c r="A108" s="12" t="str">
        <f t="shared" si="1"/>
        <v>демкров</v>
      </c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4"/>
    </row>
    <row r="109" spans="1:18" ht="16.5" x14ac:dyDescent="0.25">
      <c r="A109" s="12" t="str">
        <f t="shared" si="1"/>
        <v>демкров</v>
      </c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4"/>
    </row>
    <row r="110" spans="1:18" ht="16.5" x14ac:dyDescent="0.25">
      <c r="A110" s="12" t="str">
        <f t="shared" si="1"/>
        <v>демкров</v>
      </c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4"/>
    </row>
    <row r="111" spans="1:18" ht="16.5" x14ac:dyDescent="0.25">
      <c r="A111" s="12" t="str">
        <f t="shared" si="1"/>
        <v>демкров</v>
      </c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4"/>
    </row>
    <row r="112" spans="1:18" ht="16.5" x14ac:dyDescent="0.25">
      <c r="A112" s="12" t="str">
        <f t="shared" si="1"/>
        <v>демкров</v>
      </c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4"/>
    </row>
    <row r="113" spans="1:18" ht="16.5" x14ac:dyDescent="0.25">
      <c r="A113" s="12" t="str">
        <f t="shared" si="1"/>
        <v>демкров</v>
      </c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4"/>
    </row>
    <row r="114" spans="1:18" ht="16.5" x14ac:dyDescent="0.25">
      <c r="A114" s="12" t="str">
        <f t="shared" si="1"/>
        <v>демкров</v>
      </c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4"/>
    </row>
    <row r="115" spans="1:18" ht="16.5" x14ac:dyDescent="0.25">
      <c r="A115" s="12" t="str">
        <f t="shared" si="1"/>
        <v>демкров</v>
      </c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4"/>
    </row>
    <row r="116" spans="1:18" ht="16.5" x14ac:dyDescent="0.25">
      <c r="A116" s="12" t="str">
        <f t="shared" si="1"/>
        <v>демкров</v>
      </c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4"/>
    </row>
    <row r="117" spans="1:18" ht="16.5" x14ac:dyDescent="0.25">
      <c r="A117" s="12" t="str">
        <f t="shared" si="1"/>
        <v>демкров</v>
      </c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4"/>
    </row>
    <row r="118" spans="1:18" ht="16.5" x14ac:dyDescent="0.25">
      <c r="A118" s="12" t="str">
        <f t="shared" si="1"/>
        <v>демкров</v>
      </c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4"/>
    </row>
    <row r="119" spans="1:18" ht="16.5" x14ac:dyDescent="0.25">
      <c r="A119" s="12" t="str">
        <f t="shared" si="1"/>
        <v>демкров</v>
      </c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4"/>
    </row>
    <row r="120" spans="1:18" ht="16.5" x14ac:dyDescent="0.25">
      <c r="A120" s="12" t="str">
        <f t="shared" si="1"/>
        <v>демкров</v>
      </c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4"/>
    </row>
    <row r="121" spans="1:18" ht="16.5" x14ac:dyDescent="0.25">
      <c r="A121" s="12" t="str">
        <f t="shared" si="1"/>
        <v>демкров</v>
      </c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4"/>
    </row>
    <row r="122" spans="1:18" ht="16.5" x14ac:dyDescent="0.25">
      <c r="A122" s="12" t="str">
        <f t="shared" si="1"/>
        <v>демкров</v>
      </c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4"/>
    </row>
    <row r="123" spans="1:18" ht="16.5" x14ac:dyDescent="0.25">
      <c r="A123" s="12" t="str">
        <f t="shared" si="1"/>
        <v>демкров</v>
      </c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4"/>
    </row>
    <row r="124" spans="1:18" ht="16.5" x14ac:dyDescent="0.25">
      <c r="A124" s="12" t="str">
        <f t="shared" si="1"/>
        <v>демкров</v>
      </c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4"/>
    </row>
    <row r="125" spans="1:18" ht="16.5" x14ac:dyDescent="0.25">
      <c r="A125" s="12" t="str">
        <f t="shared" si="1"/>
        <v>демкров</v>
      </c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4"/>
    </row>
    <row r="126" spans="1:18" ht="16.5" x14ac:dyDescent="0.25">
      <c r="A126" s="12" t="str">
        <f t="shared" si="1"/>
        <v>демкров</v>
      </c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4"/>
    </row>
    <row r="127" spans="1:18" ht="16.5" x14ac:dyDescent="0.25">
      <c r="A127" s="12" t="str">
        <f t="shared" si="1"/>
        <v>демкров</v>
      </c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4"/>
    </row>
    <row r="128" spans="1:18" ht="16.5" x14ac:dyDescent="0.25">
      <c r="A128" s="12" t="str">
        <f t="shared" si="1"/>
        <v>демкров</v>
      </c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4"/>
    </row>
    <row r="129" spans="1:18" ht="16.5" x14ac:dyDescent="0.25">
      <c r="A129" s="12" t="str">
        <f t="shared" si="1"/>
        <v>демкров</v>
      </c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4"/>
    </row>
    <row r="130" spans="1:18" ht="16.5" x14ac:dyDescent="0.25">
      <c r="A130" s="12" t="str">
        <f t="shared" si="1"/>
        <v>демкров</v>
      </c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4"/>
    </row>
    <row r="131" spans="1:18" ht="16.5" x14ac:dyDescent="0.25">
      <c r="A131" s="12" t="str">
        <f t="shared" si="1"/>
        <v>демкров</v>
      </c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4"/>
    </row>
    <row r="132" spans="1:18" ht="16.5" x14ac:dyDescent="0.25">
      <c r="A132" s="12" t="str">
        <f t="shared" si="1"/>
        <v>демкров</v>
      </c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4"/>
    </row>
    <row r="133" spans="1:18" ht="16.5" x14ac:dyDescent="0.25">
      <c r="A133" s="12" t="str">
        <f t="shared" si="1"/>
        <v>демкров</v>
      </c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4"/>
    </row>
    <row r="134" spans="1:18" ht="16.5" x14ac:dyDescent="0.25">
      <c r="A134" s="12" t="str">
        <f t="shared" ref="A134:A197" si="2">A133</f>
        <v>демкров</v>
      </c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4"/>
    </row>
    <row r="135" spans="1:18" ht="16.5" x14ac:dyDescent="0.25">
      <c r="A135" s="12" t="str">
        <f t="shared" si="2"/>
        <v>демкров</v>
      </c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4"/>
    </row>
    <row r="136" spans="1:18" ht="16.5" x14ac:dyDescent="0.25">
      <c r="A136" s="12" t="str">
        <f t="shared" si="2"/>
        <v>демкров</v>
      </c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4"/>
    </row>
    <row r="137" spans="1:18" ht="16.5" x14ac:dyDescent="0.25">
      <c r="A137" s="12" t="str">
        <f t="shared" si="2"/>
        <v>демкров</v>
      </c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4"/>
    </row>
    <row r="138" spans="1:18" ht="16.5" x14ac:dyDescent="0.25">
      <c r="A138" s="12" t="str">
        <f t="shared" si="2"/>
        <v>демкров</v>
      </c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4"/>
    </row>
    <row r="139" spans="1:18" ht="16.5" x14ac:dyDescent="0.25">
      <c r="A139" s="12" t="str">
        <f t="shared" si="2"/>
        <v>демкров</v>
      </c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4"/>
    </row>
    <row r="140" spans="1:18" ht="16.5" x14ac:dyDescent="0.25">
      <c r="A140" s="12" t="str">
        <f t="shared" si="2"/>
        <v>демкров</v>
      </c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4"/>
    </row>
    <row r="141" spans="1:18" ht="16.5" x14ac:dyDescent="0.25">
      <c r="A141" s="12" t="str">
        <f t="shared" si="2"/>
        <v>демкров</v>
      </c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4"/>
    </row>
    <row r="142" spans="1:18" ht="16.5" x14ac:dyDescent="0.25">
      <c r="A142" s="12" t="str">
        <f t="shared" si="2"/>
        <v>демкров</v>
      </c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4"/>
    </row>
    <row r="143" spans="1:18" ht="16.5" x14ac:dyDescent="0.25">
      <c r="A143" s="12" t="str">
        <f t="shared" si="2"/>
        <v>демкров</v>
      </c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4"/>
    </row>
    <row r="144" spans="1:18" ht="16.5" x14ac:dyDescent="0.25">
      <c r="A144" s="12" t="str">
        <f t="shared" si="2"/>
        <v>демкров</v>
      </c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4"/>
    </row>
    <row r="145" spans="1:18" ht="16.5" x14ac:dyDescent="0.25">
      <c r="A145" s="12" t="str">
        <f t="shared" si="2"/>
        <v>демкров</v>
      </c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4"/>
    </row>
    <row r="146" spans="1:18" ht="16.5" x14ac:dyDescent="0.25">
      <c r="A146" s="12" t="str">
        <f t="shared" si="2"/>
        <v>демкров</v>
      </c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4"/>
    </row>
    <row r="147" spans="1:18" ht="16.5" x14ac:dyDescent="0.25">
      <c r="A147" s="12" t="str">
        <f t="shared" si="2"/>
        <v>демкров</v>
      </c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4"/>
    </row>
    <row r="148" spans="1:18" ht="16.5" x14ac:dyDescent="0.25">
      <c r="A148" s="12" t="str">
        <f t="shared" si="2"/>
        <v>демкров</v>
      </c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4"/>
    </row>
    <row r="149" spans="1:18" ht="16.5" x14ac:dyDescent="0.25">
      <c r="A149" s="12" t="str">
        <f t="shared" si="2"/>
        <v>демкров</v>
      </c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4"/>
    </row>
    <row r="150" spans="1:18" ht="16.5" x14ac:dyDescent="0.25">
      <c r="A150" s="12" t="str">
        <f t="shared" si="2"/>
        <v>демкров</v>
      </c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4"/>
    </row>
    <row r="151" spans="1:18" ht="16.5" x14ac:dyDescent="0.25">
      <c r="A151" s="12" t="str">
        <f t="shared" si="2"/>
        <v>демкров</v>
      </c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4"/>
    </row>
    <row r="152" spans="1:18" ht="16.5" x14ac:dyDescent="0.25">
      <c r="A152" s="12" t="str">
        <f t="shared" si="2"/>
        <v>демкров</v>
      </c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4"/>
    </row>
    <row r="153" spans="1:18" ht="16.5" x14ac:dyDescent="0.25">
      <c r="A153" s="12" t="str">
        <f t="shared" si="2"/>
        <v>демкров</v>
      </c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4"/>
    </row>
    <row r="154" spans="1:18" ht="16.5" x14ac:dyDescent="0.25">
      <c r="A154" s="12" t="str">
        <f t="shared" si="2"/>
        <v>демкров</v>
      </c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4"/>
    </row>
    <row r="155" spans="1:18" ht="16.5" x14ac:dyDescent="0.25">
      <c r="A155" s="12" t="str">
        <f t="shared" si="2"/>
        <v>демкров</v>
      </c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4"/>
    </row>
    <row r="156" spans="1:18" ht="16.5" x14ac:dyDescent="0.25">
      <c r="A156" s="12" t="str">
        <f t="shared" si="2"/>
        <v>демкров</v>
      </c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4"/>
    </row>
    <row r="157" spans="1:18" ht="16.5" x14ac:dyDescent="0.25">
      <c r="A157" s="12" t="str">
        <f t="shared" si="2"/>
        <v>демкров</v>
      </c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4"/>
    </row>
    <row r="158" spans="1:18" ht="16.5" x14ac:dyDescent="0.25">
      <c r="A158" s="12" t="str">
        <f t="shared" si="2"/>
        <v>демкров</v>
      </c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4"/>
    </row>
    <row r="159" spans="1:18" ht="16.5" x14ac:dyDescent="0.25">
      <c r="A159" s="12" t="str">
        <f t="shared" si="2"/>
        <v>демкров</v>
      </c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4"/>
    </row>
    <row r="160" spans="1:18" ht="16.5" x14ac:dyDescent="0.25">
      <c r="A160" s="12" t="str">
        <f t="shared" si="2"/>
        <v>демкров</v>
      </c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4"/>
    </row>
    <row r="161" spans="1:18" ht="16.5" x14ac:dyDescent="0.25">
      <c r="A161" s="12" t="str">
        <f t="shared" si="2"/>
        <v>демкров</v>
      </c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4"/>
    </row>
    <row r="162" spans="1:18" ht="16.5" x14ac:dyDescent="0.25">
      <c r="A162" s="12" t="str">
        <f t="shared" si="2"/>
        <v>демкров</v>
      </c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4"/>
    </row>
    <row r="163" spans="1:18" ht="16.5" x14ac:dyDescent="0.25">
      <c r="A163" s="12" t="str">
        <f t="shared" si="2"/>
        <v>демкров</v>
      </c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4"/>
    </row>
    <row r="164" spans="1:18" ht="16.5" x14ac:dyDescent="0.25">
      <c r="A164" s="12" t="str">
        <f t="shared" si="2"/>
        <v>демкров</v>
      </c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4"/>
    </row>
    <row r="165" spans="1:18" ht="16.5" x14ac:dyDescent="0.25">
      <c r="A165" s="12" t="str">
        <f t="shared" si="2"/>
        <v>демкров</v>
      </c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4"/>
    </row>
    <row r="166" spans="1:18" ht="16.5" x14ac:dyDescent="0.25">
      <c r="A166" s="12" t="str">
        <f t="shared" si="2"/>
        <v>демкров</v>
      </c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4"/>
    </row>
    <row r="167" spans="1:18" ht="16.5" x14ac:dyDescent="0.25">
      <c r="A167" s="12" t="str">
        <f t="shared" si="2"/>
        <v>демкров</v>
      </c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4"/>
    </row>
    <row r="168" spans="1:18" ht="16.5" x14ac:dyDescent="0.25">
      <c r="A168" s="12" t="str">
        <f t="shared" si="2"/>
        <v>демкров</v>
      </c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4"/>
    </row>
    <row r="169" spans="1:18" ht="16.5" x14ac:dyDescent="0.25">
      <c r="A169" s="12" t="str">
        <f t="shared" si="2"/>
        <v>демкров</v>
      </c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4"/>
    </row>
    <row r="170" spans="1:18" ht="16.5" x14ac:dyDescent="0.25">
      <c r="A170" s="12" t="str">
        <f t="shared" si="2"/>
        <v>демкров</v>
      </c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4"/>
    </row>
    <row r="171" spans="1:18" ht="16.5" x14ac:dyDescent="0.25">
      <c r="A171" s="12" t="str">
        <f t="shared" si="2"/>
        <v>демкров</v>
      </c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4"/>
    </row>
    <row r="172" spans="1:18" ht="16.5" x14ac:dyDescent="0.25">
      <c r="A172" s="12" t="str">
        <f t="shared" si="2"/>
        <v>демкров</v>
      </c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4"/>
    </row>
    <row r="173" spans="1:18" ht="16.5" x14ac:dyDescent="0.25">
      <c r="A173" s="12" t="str">
        <f t="shared" si="2"/>
        <v>демкров</v>
      </c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4"/>
    </row>
    <row r="174" spans="1:18" ht="16.5" x14ac:dyDescent="0.25">
      <c r="A174" s="12" t="str">
        <f t="shared" si="2"/>
        <v>демкров</v>
      </c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4"/>
    </row>
    <row r="175" spans="1:18" ht="16.5" x14ac:dyDescent="0.25">
      <c r="A175" s="12" t="str">
        <f t="shared" si="2"/>
        <v>демкров</v>
      </c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4"/>
    </row>
    <row r="176" spans="1:18" ht="16.5" x14ac:dyDescent="0.25">
      <c r="A176" s="12" t="str">
        <f t="shared" si="2"/>
        <v>демкров</v>
      </c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4"/>
    </row>
    <row r="177" spans="1:18" ht="16.5" x14ac:dyDescent="0.25">
      <c r="A177" s="12" t="str">
        <f t="shared" si="2"/>
        <v>демкров</v>
      </c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4"/>
    </row>
    <row r="178" spans="1:18" ht="16.5" x14ac:dyDescent="0.25">
      <c r="A178" s="12" t="str">
        <f t="shared" si="2"/>
        <v>демкров</v>
      </c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4"/>
    </row>
    <row r="179" spans="1:18" ht="16.5" x14ac:dyDescent="0.25">
      <c r="A179" s="12" t="str">
        <f t="shared" si="2"/>
        <v>демкров</v>
      </c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4"/>
    </row>
    <row r="180" spans="1:18" ht="16.5" x14ac:dyDescent="0.25">
      <c r="A180" s="12" t="str">
        <f t="shared" si="2"/>
        <v>демкров</v>
      </c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4"/>
    </row>
    <row r="181" spans="1:18" ht="16.5" x14ac:dyDescent="0.25">
      <c r="A181" s="12" t="str">
        <f t="shared" si="2"/>
        <v>демкров</v>
      </c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4"/>
    </row>
    <row r="182" spans="1:18" ht="16.5" x14ac:dyDescent="0.25">
      <c r="A182" s="12" t="str">
        <f t="shared" si="2"/>
        <v>демкров</v>
      </c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4"/>
    </row>
    <row r="183" spans="1:18" ht="16.5" x14ac:dyDescent="0.25">
      <c r="A183" s="12" t="str">
        <f t="shared" si="2"/>
        <v>демкров</v>
      </c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4"/>
    </row>
    <row r="184" spans="1:18" ht="16.5" x14ac:dyDescent="0.25">
      <c r="A184" s="12" t="str">
        <f t="shared" si="2"/>
        <v>демкров</v>
      </c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4"/>
    </row>
    <row r="185" spans="1:18" ht="16.5" x14ac:dyDescent="0.25">
      <c r="A185" s="12" t="str">
        <f t="shared" si="2"/>
        <v>демкров</v>
      </c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4"/>
    </row>
    <row r="186" spans="1:18" ht="16.5" x14ac:dyDescent="0.25">
      <c r="A186" s="12" t="str">
        <f t="shared" si="2"/>
        <v>демкров</v>
      </c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4"/>
    </row>
    <row r="187" spans="1:18" ht="16.5" x14ac:dyDescent="0.25">
      <c r="A187" s="12" t="str">
        <f t="shared" si="2"/>
        <v>демкров</v>
      </c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4"/>
    </row>
    <row r="188" spans="1:18" ht="16.5" x14ac:dyDescent="0.25">
      <c r="A188" s="12" t="str">
        <f t="shared" si="2"/>
        <v>демкров</v>
      </c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4"/>
    </row>
    <row r="189" spans="1:18" ht="16.5" x14ac:dyDescent="0.25">
      <c r="A189" s="12" t="str">
        <f t="shared" si="2"/>
        <v>демкров</v>
      </c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4"/>
    </row>
    <row r="190" spans="1:18" ht="16.5" x14ac:dyDescent="0.25">
      <c r="A190" s="12" t="str">
        <f t="shared" si="2"/>
        <v>демкров</v>
      </c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4"/>
    </row>
    <row r="191" spans="1:18" ht="16.5" x14ac:dyDescent="0.25">
      <c r="A191" s="12" t="str">
        <f t="shared" si="2"/>
        <v>демкров</v>
      </c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4"/>
    </row>
    <row r="192" spans="1:18" ht="16.5" x14ac:dyDescent="0.25">
      <c r="A192" s="12" t="str">
        <f t="shared" si="2"/>
        <v>демкров</v>
      </c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4"/>
    </row>
    <row r="193" spans="1:18" ht="16.5" x14ac:dyDescent="0.25">
      <c r="A193" s="12" t="str">
        <f t="shared" si="2"/>
        <v>демкров</v>
      </c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4"/>
    </row>
    <row r="194" spans="1:18" ht="16.5" x14ac:dyDescent="0.25">
      <c r="A194" s="12" t="str">
        <f t="shared" si="2"/>
        <v>демкров</v>
      </c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4"/>
    </row>
    <row r="195" spans="1:18" ht="16.5" x14ac:dyDescent="0.25">
      <c r="A195" s="12" t="str">
        <f t="shared" si="2"/>
        <v>демкров</v>
      </c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4"/>
    </row>
    <row r="196" spans="1:18" ht="16.5" x14ac:dyDescent="0.25">
      <c r="A196" s="12" t="str">
        <f t="shared" si="2"/>
        <v>демкров</v>
      </c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4"/>
    </row>
    <row r="197" spans="1:18" ht="16.5" x14ac:dyDescent="0.25">
      <c r="A197" s="12" t="str">
        <f t="shared" si="2"/>
        <v>демкров</v>
      </c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4"/>
    </row>
    <row r="198" spans="1:18" ht="16.5" x14ac:dyDescent="0.25">
      <c r="A198" s="12" t="str">
        <f t="shared" ref="A198:A211" si="3">A197</f>
        <v>демкров</v>
      </c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4"/>
    </row>
    <row r="199" spans="1:18" ht="16.5" x14ac:dyDescent="0.25">
      <c r="A199" s="12" t="str">
        <f t="shared" si="3"/>
        <v>демкров</v>
      </c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4"/>
    </row>
    <row r="200" spans="1:18" ht="16.5" x14ac:dyDescent="0.25">
      <c r="A200" s="12" t="str">
        <f t="shared" si="3"/>
        <v>демкров</v>
      </c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4"/>
    </row>
    <row r="201" spans="1:18" ht="16.5" x14ac:dyDescent="0.25">
      <c r="A201" s="12" t="str">
        <f t="shared" si="3"/>
        <v>демкров</v>
      </c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4"/>
    </row>
    <row r="202" spans="1:18" ht="16.5" x14ac:dyDescent="0.25">
      <c r="A202" s="12" t="str">
        <f t="shared" si="3"/>
        <v>демкров</v>
      </c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4"/>
    </row>
    <row r="203" spans="1:18" ht="16.5" x14ac:dyDescent="0.25">
      <c r="A203" s="12" t="str">
        <f t="shared" si="3"/>
        <v>демкров</v>
      </c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4"/>
    </row>
    <row r="204" spans="1:18" ht="16.5" x14ac:dyDescent="0.25">
      <c r="A204" s="12" t="str">
        <f t="shared" si="3"/>
        <v>демкров</v>
      </c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4"/>
    </row>
    <row r="205" spans="1:18" ht="16.5" x14ac:dyDescent="0.25">
      <c r="A205" s="12" t="str">
        <f t="shared" si="3"/>
        <v>демкров</v>
      </c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4"/>
    </row>
    <row r="206" spans="1:18" ht="16.5" x14ac:dyDescent="0.25">
      <c r="A206" s="12" t="str">
        <f t="shared" si="3"/>
        <v>демкров</v>
      </c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4"/>
    </row>
    <row r="207" spans="1:18" ht="16.5" x14ac:dyDescent="0.25">
      <c r="A207" s="12" t="str">
        <f t="shared" si="3"/>
        <v>демкров</v>
      </c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4"/>
    </row>
    <row r="208" spans="1:18" ht="16.5" x14ac:dyDescent="0.25">
      <c r="A208" s="12" t="str">
        <f t="shared" si="3"/>
        <v>демкров</v>
      </c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4"/>
    </row>
    <row r="209" spans="1:18" ht="16.5" x14ac:dyDescent="0.25">
      <c r="A209" s="12" t="str">
        <f t="shared" si="3"/>
        <v>демкров</v>
      </c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4"/>
    </row>
    <row r="210" spans="1:18" ht="16.5" x14ac:dyDescent="0.25">
      <c r="A210" s="12" t="str">
        <f t="shared" si="3"/>
        <v>демкров</v>
      </c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4"/>
    </row>
    <row r="211" spans="1:18" ht="17.25" thickBot="1" x14ac:dyDescent="0.3">
      <c r="A211" s="15" t="str">
        <f t="shared" si="3"/>
        <v>демкров</v>
      </c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H2:Q2 K1 R1 A3:R7 A10:R211 A8:C9 E8:R9">
    <cfRule type="containsText" dxfId="135" priority="10" stopIfTrue="1" operator="containsText" text="С ЛИСТА">
      <formula>NOT(ISERROR(SEARCH("С ЛИСТА",A1)))</formula>
    </cfRule>
    <cfRule type="containsText" dxfId="134" priority="11" stopIfTrue="1" operator="containsText" text="ИЗ ФАЙЛА">
      <formula>NOT(ISERROR(SEARCH("ИЗ ФАЙЛА",A1)))</formula>
    </cfRule>
    <cfRule type="containsText" dxfId="133" priority="12" stopIfTrue="1" operator="containsText" text="!!!">
      <formula>NOT(ISERROR(SEARCH("!!!",A1)))</formula>
    </cfRule>
    <cfRule type="containsText" dxfId="132" priority="13" stopIfTrue="1" operator="containsText" text=" Изделия ">
      <formula>NOT(ISERROR(SEARCH(" Изделия ",A1)))</formula>
    </cfRule>
    <cfRule type="containsText" dxfId="131" priority="14" stopIfTrue="1" operator="containsText" text=" Прокат ">
      <formula>NOT(ISERROR(SEARCH(" Прокат ",A1)))</formula>
    </cfRule>
    <cfRule type="containsText" dxfId="130" priority="15" stopIfTrue="1" operator="containsText" text=" Сборочные единицы ">
      <formula>NOT(ISERROR(SEARCH(" Сборочные единицы ",A1)))</formula>
    </cfRule>
    <cfRule type="containsText" dxfId="129" priority="16" stopIfTrue="1" operator="containsText" text=" Материалы ">
      <formula>NOT(ISERROR(SEARCH(" Материалы ",A1)))</formula>
    </cfRule>
    <cfRule type="containsText" dxfId="128" priority="17" stopIfTrue="1" operator="containsText" text=", на ">
      <formula>NOT(ISERROR(SEARCH(", на ",A1)))</formula>
    </cfRule>
    <cfRule type="containsText" dxfId="127" priority="18" stopIfTrue="1" operator="containsText" text="шт.)">
      <formula>NOT(ISERROR(SEARCH("шт.)",A1)))</formula>
    </cfRule>
  </conditionalFormatting>
  <conditionalFormatting sqref="D8:D9">
    <cfRule type="containsText" dxfId="126" priority="1" stopIfTrue="1" operator="containsText" text="С ЛИСТА">
      <formula>NOT(ISERROR(SEARCH("С ЛИСТА",D8)))</formula>
    </cfRule>
    <cfRule type="containsText" dxfId="125" priority="2" stopIfTrue="1" operator="containsText" text="ИЗ ФАЙЛА">
      <formula>NOT(ISERROR(SEARCH("ИЗ ФАЙЛА",D8)))</formula>
    </cfRule>
    <cfRule type="containsText" dxfId="124" priority="3" stopIfTrue="1" operator="containsText" text="!!!">
      <formula>NOT(ISERROR(SEARCH("!!!",D8)))</formula>
    </cfRule>
    <cfRule type="containsText" dxfId="123" priority="4" stopIfTrue="1" operator="containsText" text=" Изделия ">
      <formula>NOT(ISERROR(SEARCH(" Изделия ",D8)))</formula>
    </cfRule>
    <cfRule type="containsText" dxfId="122" priority="5" stopIfTrue="1" operator="containsText" text=" Прокат ">
      <formula>NOT(ISERROR(SEARCH(" Прокат ",D8)))</formula>
    </cfRule>
    <cfRule type="containsText" dxfId="121" priority="6" stopIfTrue="1" operator="containsText" text=" Сборочные единицы ">
      <formula>NOT(ISERROR(SEARCH(" Сборочные единицы ",D8)))</formula>
    </cfRule>
    <cfRule type="containsText" dxfId="120" priority="7" stopIfTrue="1" operator="containsText" text=" Материалы ">
      <formula>NOT(ISERROR(SEARCH(" Материалы ",D8)))</formula>
    </cfRule>
    <cfRule type="containsText" dxfId="119" priority="8" stopIfTrue="1" operator="containsText" text=", на ">
      <formula>NOT(ISERROR(SEARCH(", на ",D8)))</formula>
    </cfRule>
    <cfRule type="containsText" dxfId="118" priority="9" stopIfTrue="1" operator="containsText" text="шт.)">
      <formula>NOT(ISERROR(SEARCH("шт.)",D8)))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'!System'!$AO$1:$AO$5</xm:f>
          </x14:formula1>
          <xm:sqref>P3:P211</xm:sqref>
        </x14:dataValidation>
        <x14:dataValidation type="list" allowBlank="1" showInputMessage="1" showErrorMessage="1">
          <x14:formula1>
            <xm:f>'!System'!$AC$1:$AM$1</xm:f>
          </x14:formula1>
          <xm:sqref>O3:O211</xm:sqref>
        </x14:dataValidation>
        <x14:dataValidation type="list" allowBlank="1" showInputMessage="1" showErrorMessage="1">
          <x14:formula1>
            <xm:f>'!System'!$A$1:$R$1</xm:f>
          </x14:formula1>
          <xm:sqref>L3:L211</xm:sqref>
        </x14:dataValidation>
        <x14:dataValidation type="list" allowBlank="1" showInputMessage="1" showErrorMessage="1">
          <x14:formula1>
            <xm:f>'!System'!$T$1:$AB$1</xm:f>
          </x14:formula1>
          <xm:sqref>J3:J211</xm:sqref>
        </x14:dataValidation>
        <x14:dataValidation type="list" errorStyle="warning" allowBlank="1" showInputMessage="1" showErrorMessage="1">
          <x14:formula1>
            <xm:f>'!System'!$AN$1:$AN$6</xm:f>
          </x14:formula1>
          <xm:sqref>G3:G211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7" tint="0.39997558519241921"/>
  </sheetPr>
  <dimension ref="A1:C8"/>
  <sheetViews>
    <sheetView workbookViewId="0">
      <selection activeCell="I9" sqref="I9"/>
    </sheetView>
  </sheetViews>
  <sheetFormatPr defaultRowHeight="15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6384" width="9.140625" style="5"/>
  </cols>
  <sheetData>
    <row r="1" spans="1:3" ht="22.7" customHeight="1" x14ac:dyDescent="0.25">
      <c r="A1" s="18"/>
      <c r="B1" s="20"/>
      <c r="C1" s="19"/>
    </row>
    <row r="2" spans="1:3" ht="33" x14ac:dyDescent="0.25">
      <c r="A2" s="12" t="s">
        <v>2429</v>
      </c>
      <c r="B2" s="13"/>
      <c r="C2" s="14" t="s">
        <v>2428</v>
      </c>
    </row>
    <row r="3" spans="1:3" ht="16.5" x14ac:dyDescent="0.25">
      <c r="A3" s="12" t="s">
        <v>2421</v>
      </c>
      <c r="B3" s="13"/>
      <c r="C3" s="14" t="s">
        <v>2422</v>
      </c>
    </row>
    <row r="4" spans="1:3" ht="33" x14ac:dyDescent="0.25">
      <c r="A4" s="12" t="s">
        <v>2500</v>
      </c>
      <c r="B4" s="13"/>
      <c r="C4" s="14" t="s">
        <v>2501</v>
      </c>
    </row>
    <row r="5" spans="1:3" ht="33" x14ac:dyDescent="0.25">
      <c r="A5" s="12" t="s">
        <v>2474</v>
      </c>
      <c r="B5" s="13"/>
      <c r="C5" s="14" t="s">
        <v>2475</v>
      </c>
    </row>
    <row r="6" spans="1:3" ht="33.75" thickBot="1" x14ac:dyDescent="0.3">
      <c r="A6" s="15" t="s">
        <v>2462</v>
      </c>
      <c r="B6" s="16"/>
      <c r="C6" s="17" t="s">
        <v>2463</v>
      </c>
    </row>
    <row r="7" spans="1:3" ht="16.5" x14ac:dyDescent="0.25">
      <c r="A7" s="22" t="s">
        <v>2530</v>
      </c>
      <c r="C7" s="23" t="s">
        <v>2531</v>
      </c>
    </row>
    <row r="8" spans="1:3" ht="33" x14ac:dyDescent="0.25">
      <c r="A8" s="22" t="s">
        <v>2562</v>
      </c>
      <c r="C8" s="23" t="s">
        <v>2563</v>
      </c>
    </row>
  </sheetData>
  <conditionalFormatting sqref="A1:C6 A7:A8 C7:C8">
    <cfRule type="containsText" dxfId="56" priority="1" stopIfTrue="1" operator="containsText" text="С ЛИСТА">
      <formula>NOT(ISERROR(SEARCH("С ЛИСТА",A1)))</formula>
    </cfRule>
    <cfRule type="containsText" dxfId="55" priority="2" stopIfTrue="1" operator="containsText" text="ИЗ ФАЙЛА">
      <formula>NOT(ISERROR(SEARCH("ИЗ ФАЙЛА",A1)))</formula>
    </cfRule>
    <cfRule type="containsText" dxfId="54" priority="3" stopIfTrue="1" operator="containsText" text="!!!">
      <formula>NOT(ISERROR(SEARCH("!!!",A1)))</formula>
    </cfRule>
    <cfRule type="containsText" dxfId="53" priority="4" stopIfTrue="1" operator="containsText" text=" Изделия ">
      <formula>NOT(ISERROR(SEARCH(" Изделия ",A1)))</formula>
    </cfRule>
    <cfRule type="containsText" dxfId="52" priority="5" stopIfTrue="1" operator="containsText" text=" Прокат ">
      <formula>NOT(ISERROR(SEARCH(" Прокат ",A1)))</formula>
    </cfRule>
    <cfRule type="containsText" dxfId="51" priority="6" stopIfTrue="1" operator="containsText" text=" Сборочные единицы ">
      <formula>NOT(ISERROR(SEARCH(" Сборочные единицы ",A1)))</formula>
    </cfRule>
    <cfRule type="containsText" dxfId="50" priority="7" stopIfTrue="1" operator="containsText" text=" Материалы ">
      <formula>NOT(ISERROR(SEARCH(" Материалы ",A1)))</formula>
    </cfRule>
    <cfRule type="containsText" dxfId="49" priority="8" stopIfTrue="1" operator="containsText" text=", на ">
      <formula>NOT(ISERROR(SEARCH(", на ",A1)))</formula>
    </cfRule>
    <cfRule type="containsText" dxfId="4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G130"/>
  <sheetViews>
    <sheetView workbookViewId="0">
      <selection activeCell="A9" sqref="A9"/>
    </sheetView>
  </sheetViews>
  <sheetFormatPr defaultRowHeight="15" x14ac:dyDescent="0.25"/>
  <cols>
    <col min="1" max="1" width="32.7109375" bestFit="1" customWidth="1"/>
    <col min="2" max="2" width="28.140625" bestFit="1" customWidth="1"/>
    <col min="3" max="3" width="15" bestFit="1" customWidth="1"/>
  </cols>
  <sheetData>
    <row r="1" spans="1:7" x14ac:dyDescent="0.25">
      <c r="B1" t="s">
        <v>2413</v>
      </c>
    </row>
    <row r="2" spans="1:7" x14ac:dyDescent="0.25">
      <c r="A2" t="s">
        <v>2390</v>
      </c>
      <c r="B2" t="s">
        <v>2414</v>
      </c>
      <c r="C2" t="s">
        <v>2386</v>
      </c>
    </row>
    <row r="3" spans="1:7" x14ac:dyDescent="0.25">
      <c r="A3" t="s">
        <v>2549</v>
      </c>
      <c r="B3">
        <v>100</v>
      </c>
      <c r="C3">
        <v>273.18</v>
      </c>
      <c r="G3" t="str">
        <f>IF(ISBLANK(A3),"",CONCATENATE(A3," толщиной ",B3,"мм."))</f>
        <v>Бетонное основание толщиной 100мм.</v>
      </c>
    </row>
    <row r="4" spans="1:7" x14ac:dyDescent="0.25">
      <c r="A4" t="s">
        <v>2415</v>
      </c>
      <c r="B4">
        <v>50</v>
      </c>
      <c r="C4">
        <v>165.75</v>
      </c>
      <c r="G4" t="str">
        <f t="shared" ref="G4:G67" si="0">IF(ISBLANK(A4),"",CONCATENATE(A4," толщиной ",B4,"мм."))</f>
        <v>Брус 50×50 шаг 500 толщиной 50мм.</v>
      </c>
    </row>
    <row r="5" spans="1:7" x14ac:dyDescent="0.25">
      <c r="A5" t="s">
        <v>2416</v>
      </c>
      <c r="B5">
        <v>2.5</v>
      </c>
      <c r="C5">
        <v>686.22</v>
      </c>
      <c r="G5" t="str">
        <f t="shared" si="0"/>
        <v>Гидроизоляция в два слоя толщиной 2,5мм.</v>
      </c>
    </row>
    <row r="6" spans="1:7" x14ac:dyDescent="0.25">
      <c r="A6" t="s">
        <v>2550</v>
      </c>
      <c r="B6">
        <v>25</v>
      </c>
      <c r="C6">
        <v>35.04</v>
      </c>
      <c r="G6" t="str">
        <f t="shared" si="0"/>
        <v>Дерево 45 толщиной 25мм.</v>
      </c>
    </row>
    <row r="7" spans="1:7" x14ac:dyDescent="0.25">
      <c r="A7" t="s">
        <v>2551</v>
      </c>
      <c r="B7">
        <v>5</v>
      </c>
      <c r="C7">
        <v>117.81</v>
      </c>
      <c r="G7" t="str">
        <f t="shared" si="0"/>
        <v>Линолеум толщиной 5мм.</v>
      </c>
    </row>
    <row r="8" spans="1:7" x14ac:dyDescent="0.25">
      <c r="A8" t="s">
        <v>2417</v>
      </c>
      <c r="B8">
        <v>25</v>
      </c>
      <c r="C8">
        <v>188.49</v>
      </c>
      <c r="G8" t="str">
        <f t="shared" si="0"/>
        <v>Паркет на битумной мастике толщиной 25мм.</v>
      </c>
    </row>
    <row r="9" spans="1:7" x14ac:dyDescent="0.25">
      <c r="A9" t="s">
        <v>2418</v>
      </c>
      <c r="B9">
        <v>10</v>
      </c>
      <c r="C9">
        <v>477.53</v>
      </c>
      <c r="G9" t="str">
        <f t="shared" si="0"/>
        <v>Плитка керамическая на растворе толщиной 10мм.</v>
      </c>
    </row>
    <row r="10" spans="1:7" x14ac:dyDescent="0.25">
      <c r="A10" t="s">
        <v>2419</v>
      </c>
      <c r="B10">
        <v>50</v>
      </c>
      <c r="C10">
        <v>273.18</v>
      </c>
      <c r="G10" t="str">
        <f t="shared" si="0"/>
        <v>Стяжка из ц/п раствора марки 150 толщиной 50мм.</v>
      </c>
    </row>
    <row r="11" spans="1:7" x14ac:dyDescent="0.25">
      <c r="A11" t="s">
        <v>2419</v>
      </c>
      <c r="B11">
        <v>60</v>
      </c>
      <c r="C11">
        <v>188.49</v>
      </c>
      <c r="G11" t="str">
        <f t="shared" si="0"/>
        <v>Стяжка из ц/п раствора марки 150 толщиной 60мм.</v>
      </c>
    </row>
    <row r="12" spans="1:7" x14ac:dyDescent="0.25">
      <c r="A12" t="s">
        <v>2419</v>
      </c>
      <c r="B12">
        <v>100</v>
      </c>
      <c r="C12">
        <v>578.46</v>
      </c>
      <c r="G12" t="str">
        <f t="shared" si="0"/>
        <v>Стяжка из ц/п раствора марки 150 толщиной 100мм.</v>
      </c>
    </row>
    <row r="13" spans="1:7" x14ac:dyDescent="0.25">
      <c r="A13" t="s">
        <v>2420</v>
      </c>
      <c r="B13">
        <v>25</v>
      </c>
      <c r="C13">
        <v>357.73</v>
      </c>
      <c r="G13" t="str">
        <f t="shared" si="0"/>
        <v>Фанера толщиной 25мм.</v>
      </c>
    </row>
    <row r="14" spans="1:7" x14ac:dyDescent="0.25">
      <c r="G14" t="str">
        <f t="shared" si="0"/>
        <v/>
      </c>
    </row>
    <row r="15" spans="1:7" x14ac:dyDescent="0.25">
      <c r="G15" t="str">
        <f t="shared" si="0"/>
        <v/>
      </c>
    </row>
    <row r="16" spans="1:7" x14ac:dyDescent="0.25">
      <c r="G16" t="str">
        <f t="shared" si="0"/>
        <v/>
      </c>
    </row>
    <row r="17" spans="7:7" x14ac:dyDescent="0.25">
      <c r="G17" t="str">
        <f t="shared" si="0"/>
        <v/>
      </c>
    </row>
    <row r="18" spans="7:7" x14ac:dyDescent="0.25">
      <c r="G18" t="str">
        <f t="shared" si="0"/>
        <v/>
      </c>
    </row>
    <row r="19" spans="7:7" x14ac:dyDescent="0.25">
      <c r="G19" t="str">
        <f t="shared" si="0"/>
        <v/>
      </c>
    </row>
    <row r="20" spans="7:7" x14ac:dyDescent="0.25">
      <c r="G20" t="str">
        <f t="shared" si="0"/>
        <v/>
      </c>
    </row>
    <row r="21" spans="7:7" x14ac:dyDescent="0.25">
      <c r="G21" t="str">
        <f t="shared" si="0"/>
        <v/>
      </c>
    </row>
    <row r="22" spans="7:7" x14ac:dyDescent="0.25">
      <c r="G22" t="str">
        <f t="shared" si="0"/>
        <v/>
      </c>
    </row>
    <row r="23" spans="7:7" x14ac:dyDescent="0.25">
      <c r="G23" t="str">
        <f t="shared" si="0"/>
        <v/>
      </c>
    </row>
    <row r="24" spans="7:7" x14ac:dyDescent="0.25">
      <c r="G24" t="str">
        <f t="shared" si="0"/>
        <v/>
      </c>
    </row>
    <row r="25" spans="7:7" x14ac:dyDescent="0.25">
      <c r="G25" t="str">
        <f t="shared" si="0"/>
        <v/>
      </c>
    </row>
    <row r="26" spans="7:7" x14ac:dyDescent="0.25">
      <c r="G26" t="str">
        <f t="shared" si="0"/>
        <v/>
      </c>
    </row>
    <row r="27" spans="7:7" x14ac:dyDescent="0.25">
      <c r="G27" t="str">
        <f t="shared" si="0"/>
        <v/>
      </c>
    </row>
    <row r="28" spans="7:7" x14ac:dyDescent="0.25">
      <c r="G28" t="str">
        <f t="shared" si="0"/>
        <v/>
      </c>
    </row>
    <row r="29" spans="7:7" x14ac:dyDescent="0.25">
      <c r="G29" t="str">
        <f t="shared" si="0"/>
        <v/>
      </c>
    </row>
    <row r="30" spans="7:7" x14ac:dyDescent="0.25">
      <c r="G30" t="str">
        <f t="shared" si="0"/>
        <v/>
      </c>
    </row>
    <row r="31" spans="7:7" x14ac:dyDescent="0.25">
      <c r="G31" t="str">
        <f t="shared" si="0"/>
        <v/>
      </c>
    </row>
    <row r="32" spans="7:7" x14ac:dyDescent="0.25">
      <c r="G32" t="str">
        <f t="shared" si="0"/>
        <v/>
      </c>
    </row>
    <row r="33" spans="7:7" x14ac:dyDescent="0.25">
      <c r="G33" t="str">
        <f t="shared" si="0"/>
        <v/>
      </c>
    </row>
    <row r="34" spans="7:7" x14ac:dyDescent="0.25">
      <c r="G34" t="str">
        <f t="shared" si="0"/>
        <v/>
      </c>
    </row>
    <row r="35" spans="7:7" x14ac:dyDescent="0.25">
      <c r="G35" t="str">
        <f t="shared" si="0"/>
        <v/>
      </c>
    </row>
    <row r="36" spans="7:7" x14ac:dyDescent="0.25">
      <c r="G36" t="str">
        <f t="shared" si="0"/>
        <v/>
      </c>
    </row>
    <row r="37" spans="7:7" x14ac:dyDescent="0.25">
      <c r="G37" t="str">
        <f t="shared" si="0"/>
        <v/>
      </c>
    </row>
    <row r="38" spans="7:7" x14ac:dyDescent="0.25">
      <c r="G38" t="str">
        <f t="shared" si="0"/>
        <v/>
      </c>
    </row>
    <row r="39" spans="7:7" x14ac:dyDescent="0.25">
      <c r="G39" t="str">
        <f t="shared" si="0"/>
        <v/>
      </c>
    </row>
    <row r="40" spans="7:7" x14ac:dyDescent="0.25">
      <c r="G40" t="str">
        <f t="shared" si="0"/>
        <v/>
      </c>
    </row>
    <row r="41" spans="7:7" x14ac:dyDescent="0.25">
      <c r="G41" t="str">
        <f t="shared" si="0"/>
        <v/>
      </c>
    </row>
    <row r="42" spans="7:7" x14ac:dyDescent="0.25">
      <c r="G42" t="str">
        <f t="shared" si="0"/>
        <v/>
      </c>
    </row>
    <row r="43" spans="7:7" x14ac:dyDescent="0.25">
      <c r="G43" t="str">
        <f t="shared" si="0"/>
        <v/>
      </c>
    </row>
    <row r="44" spans="7:7" x14ac:dyDescent="0.25">
      <c r="G44" t="str">
        <f t="shared" si="0"/>
        <v/>
      </c>
    </row>
    <row r="45" spans="7:7" x14ac:dyDescent="0.25">
      <c r="G45" t="str">
        <f t="shared" si="0"/>
        <v/>
      </c>
    </row>
    <row r="46" spans="7:7" x14ac:dyDescent="0.25">
      <c r="G46" t="str">
        <f t="shared" si="0"/>
        <v/>
      </c>
    </row>
    <row r="47" spans="7:7" x14ac:dyDescent="0.25">
      <c r="G47" t="str">
        <f t="shared" si="0"/>
        <v/>
      </c>
    </row>
    <row r="48" spans="7:7" x14ac:dyDescent="0.25">
      <c r="G48" t="str">
        <f t="shared" si="0"/>
        <v/>
      </c>
    </row>
    <row r="49" spans="7:7" x14ac:dyDescent="0.25">
      <c r="G49" t="str">
        <f t="shared" si="0"/>
        <v/>
      </c>
    </row>
    <row r="50" spans="7:7" x14ac:dyDescent="0.25">
      <c r="G50" t="str">
        <f t="shared" si="0"/>
        <v/>
      </c>
    </row>
    <row r="51" spans="7:7" x14ac:dyDescent="0.25">
      <c r="G51" t="str">
        <f t="shared" si="0"/>
        <v/>
      </c>
    </row>
    <row r="52" spans="7:7" x14ac:dyDescent="0.25">
      <c r="G52" t="str">
        <f t="shared" si="0"/>
        <v/>
      </c>
    </row>
    <row r="53" spans="7:7" x14ac:dyDescent="0.25">
      <c r="G53" t="str">
        <f t="shared" si="0"/>
        <v/>
      </c>
    </row>
    <row r="54" spans="7:7" x14ac:dyDescent="0.25">
      <c r="G54" t="str">
        <f t="shared" si="0"/>
        <v/>
      </c>
    </row>
    <row r="55" spans="7:7" x14ac:dyDescent="0.25">
      <c r="G55" t="str">
        <f t="shared" si="0"/>
        <v/>
      </c>
    </row>
    <row r="56" spans="7:7" x14ac:dyDescent="0.25">
      <c r="G56" t="str">
        <f t="shared" si="0"/>
        <v/>
      </c>
    </row>
    <row r="57" spans="7:7" x14ac:dyDescent="0.25">
      <c r="G57" t="str">
        <f t="shared" si="0"/>
        <v/>
      </c>
    </row>
    <row r="58" spans="7:7" x14ac:dyDescent="0.25">
      <c r="G58" t="str">
        <f t="shared" si="0"/>
        <v/>
      </c>
    </row>
    <row r="59" spans="7:7" x14ac:dyDescent="0.25">
      <c r="G59" t="str">
        <f t="shared" si="0"/>
        <v/>
      </c>
    </row>
    <row r="60" spans="7:7" x14ac:dyDescent="0.25">
      <c r="G60" t="str">
        <f t="shared" si="0"/>
        <v/>
      </c>
    </row>
    <row r="61" spans="7:7" x14ac:dyDescent="0.25">
      <c r="G61" t="str">
        <f t="shared" si="0"/>
        <v/>
      </c>
    </row>
    <row r="62" spans="7:7" x14ac:dyDescent="0.25">
      <c r="G62" t="str">
        <f t="shared" si="0"/>
        <v/>
      </c>
    </row>
    <row r="63" spans="7:7" x14ac:dyDescent="0.25">
      <c r="G63" t="str">
        <f t="shared" si="0"/>
        <v/>
      </c>
    </row>
    <row r="64" spans="7:7" x14ac:dyDescent="0.25">
      <c r="G64" t="str">
        <f t="shared" si="0"/>
        <v/>
      </c>
    </row>
    <row r="65" spans="7:7" x14ac:dyDescent="0.25">
      <c r="G65" t="str">
        <f t="shared" si="0"/>
        <v/>
      </c>
    </row>
    <row r="66" spans="7:7" x14ac:dyDescent="0.25">
      <c r="G66" t="str">
        <f t="shared" si="0"/>
        <v/>
      </c>
    </row>
    <row r="67" spans="7:7" x14ac:dyDescent="0.25">
      <c r="G67" t="str">
        <f t="shared" si="0"/>
        <v/>
      </c>
    </row>
    <row r="68" spans="7:7" x14ac:dyDescent="0.25">
      <c r="G68" t="str">
        <f t="shared" ref="G68:G130" si="1">IF(ISBLANK(A68),"",CONCATENATE(A68," толщиной ",B68,"мм."))</f>
        <v/>
      </c>
    </row>
    <row r="69" spans="7:7" x14ac:dyDescent="0.25">
      <c r="G69" t="str">
        <f t="shared" si="1"/>
        <v/>
      </c>
    </row>
    <row r="70" spans="7:7" x14ac:dyDescent="0.25">
      <c r="G70" t="str">
        <f t="shared" si="1"/>
        <v/>
      </c>
    </row>
    <row r="71" spans="7:7" x14ac:dyDescent="0.25">
      <c r="G71" t="str">
        <f t="shared" si="1"/>
        <v/>
      </c>
    </row>
    <row r="72" spans="7:7" x14ac:dyDescent="0.25">
      <c r="G72" t="str">
        <f t="shared" si="1"/>
        <v/>
      </c>
    </row>
    <row r="73" spans="7:7" x14ac:dyDescent="0.25">
      <c r="G73" t="str">
        <f t="shared" si="1"/>
        <v/>
      </c>
    </row>
    <row r="74" spans="7:7" x14ac:dyDescent="0.25">
      <c r="G74" t="str">
        <f t="shared" si="1"/>
        <v/>
      </c>
    </row>
    <row r="75" spans="7:7" x14ac:dyDescent="0.25">
      <c r="G75" t="str">
        <f t="shared" si="1"/>
        <v/>
      </c>
    </row>
    <row r="76" spans="7:7" x14ac:dyDescent="0.25">
      <c r="G76" t="str">
        <f t="shared" si="1"/>
        <v/>
      </c>
    </row>
    <row r="77" spans="7:7" x14ac:dyDescent="0.25">
      <c r="G77" t="str">
        <f t="shared" si="1"/>
        <v/>
      </c>
    </row>
    <row r="78" spans="7:7" x14ac:dyDescent="0.25">
      <c r="G78" t="str">
        <f t="shared" si="1"/>
        <v/>
      </c>
    </row>
    <row r="79" spans="7:7" x14ac:dyDescent="0.25">
      <c r="G79" t="str">
        <f t="shared" si="1"/>
        <v/>
      </c>
    </row>
    <row r="80" spans="7:7" x14ac:dyDescent="0.25">
      <c r="G80" t="str">
        <f t="shared" si="1"/>
        <v/>
      </c>
    </row>
    <row r="81" spans="7:7" x14ac:dyDescent="0.25">
      <c r="G81" t="str">
        <f t="shared" si="1"/>
        <v/>
      </c>
    </row>
    <row r="82" spans="7:7" x14ac:dyDescent="0.25">
      <c r="G82" t="str">
        <f t="shared" si="1"/>
        <v/>
      </c>
    </row>
    <row r="83" spans="7:7" x14ac:dyDescent="0.25">
      <c r="G83" t="str">
        <f t="shared" si="1"/>
        <v/>
      </c>
    </row>
    <row r="84" spans="7:7" x14ac:dyDescent="0.25">
      <c r="G84" t="str">
        <f t="shared" si="1"/>
        <v/>
      </c>
    </row>
    <row r="85" spans="7:7" x14ac:dyDescent="0.25">
      <c r="G85" t="str">
        <f t="shared" si="1"/>
        <v/>
      </c>
    </row>
    <row r="86" spans="7:7" x14ac:dyDescent="0.25">
      <c r="G86" t="str">
        <f t="shared" si="1"/>
        <v/>
      </c>
    </row>
    <row r="87" spans="7:7" x14ac:dyDescent="0.25">
      <c r="G87" t="str">
        <f t="shared" si="1"/>
        <v/>
      </c>
    </row>
    <row r="88" spans="7:7" x14ac:dyDescent="0.25">
      <c r="G88" t="str">
        <f t="shared" si="1"/>
        <v/>
      </c>
    </row>
    <row r="89" spans="7:7" x14ac:dyDescent="0.25">
      <c r="G89" t="str">
        <f t="shared" si="1"/>
        <v/>
      </c>
    </row>
    <row r="90" spans="7:7" x14ac:dyDescent="0.25">
      <c r="G90" t="str">
        <f t="shared" si="1"/>
        <v/>
      </c>
    </row>
    <row r="91" spans="7:7" x14ac:dyDescent="0.25">
      <c r="G91" t="str">
        <f t="shared" si="1"/>
        <v/>
      </c>
    </row>
    <row r="92" spans="7:7" x14ac:dyDescent="0.25">
      <c r="G92" t="str">
        <f t="shared" si="1"/>
        <v/>
      </c>
    </row>
    <row r="93" spans="7:7" x14ac:dyDescent="0.25">
      <c r="G93" t="str">
        <f t="shared" si="1"/>
        <v/>
      </c>
    </row>
    <row r="94" spans="7:7" x14ac:dyDescent="0.25">
      <c r="G94" t="str">
        <f t="shared" si="1"/>
        <v/>
      </c>
    </row>
    <row r="95" spans="7:7" x14ac:dyDescent="0.25">
      <c r="G95" t="str">
        <f t="shared" si="1"/>
        <v/>
      </c>
    </row>
    <row r="96" spans="7:7" x14ac:dyDescent="0.25">
      <c r="G96" t="str">
        <f t="shared" si="1"/>
        <v/>
      </c>
    </row>
    <row r="97" spans="7:7" x14ac:dyDescent="0.25">
      <c r="G97" t="str">
        <f t="shared" si="1"/>
        <v/>
      </c>
    </row>
    <row r="98" spans="7:7" x14ac:dyDescent="0.25">
      <c r="G98" t="str">
        <f t="shared" si="1"/>
        <v/>
      </c>
    </row>
    <row r="99" spans="7:7" x14ac:dyDescent="0.25">
      <c r="G99" t="str">
        <f t="shared" si="1"/>
        <v/>
      </c>
    </row>
    <row r="100" spans="7:7" x14ac:dyDescent="0.25">
      <c r="G100" t="str">
        <f t="shared" si="1"/>
        <v/>
      </c>
    </row>
    <row r="101" spans="7:7" x14ac:dyDescent="0.25">
      <c r="G101" t="str">
        <f t="shared" si="1"/>
        <v/>
      </c>
    </row>
    <row r="102" spans="7:7" x14ac:dyDescent="0.25">
      <c r="G102" t="str">
        <f t="shared" si="1"/>
        <v/>
      </c>
    </row>
    <row r="103" spans="7:7" x14ac:dyDescent="0.25">
      <c r="G103" t="str">
        <f t="shared" si="1"/>
        <v/>
      </c>
    </row>
    <row r="104" spans="7:7" x14ac:dyDescent="0.25">
      <c r="G104" t="str">
        <f t="shared" si="1"/>
        <v/>
      </c>
    </row>
    <row r="105" spans="7:7" x14ac:dyDescent="0.25">
      <c r="G105" t="str">
        <f t="shared" si="1"/>
        <v/>
      </c>
    </row>
    <row r="106" spans="7:7" x14ac:dyDescent="0.25">
      <c r="G106" t="str">
        <f t="shared" si="1"/>
        <v/>
      </c>
    </row>
    <row r="107" spans="7:7" x14ac:dyDescent="0.25">
      <c r="G107" t="str">
        <f t="shared" si="1"/>
        <v/>
      </c>
    </row>
    <row r="108" spans="7:7" x14ac:dyDescent="0.25">
      <c r="G108" t="str">
        <f t="shared" si="1"/>
        <v/>
      </c>
    </row>
    <row r="109" spans="7:7" x14ac:dyDescent="0.25">
      <c r="G109" t="str">
        <f t="shared" si="1"/>
        <v/>
      </c>
    </row>
    <row r="110" spans="7:7" x14ac:dyDescent="0.25">
      <c r="G110" t="str">
        <f t="shared" si="1"/>
        <v/>
      </c>
    </row>
    <row r="111" spans="7:7" x14ac:dyDescent="0.25">
      <c r="G111" t="str">
        <f t="shared" si="1"/>
        <v/>
      </c>
    </row>
    <row r="112" spans="7:7" x14ac:dyDescent="0.25">
      <c r="G112" t="str">
        <f t="shared" si="1"/>
        <v/>
      </c>
    </row>
    <row r="113" spans="7:7" x14ac:dyDescent="0.25">
      <c r="G113" t="str">
        <f t="shared" si="1"/>
        <v/>
      </c>
    </row>
    <row r="114" spans="7:7" x14ac:dyDescent="0.25">
      <c r="G114" t="str">
        <f t="shared" si="1"/>
        <v/>
      </c>
    </row>
    <row r="115" spans="7:7" x14ac:dyDescent="0.25">
      <c r="G115" t="str">
        <f t="shared" si="1"/>
        <v/>
      </c>
    </row>
    <row r="116" spans="7:7" x14ac:dyDescent="0.25">
      <c r="G116" t="str">
        <f t="shared" si="1"/>
        <v/>
      </c>
    </row>
    <row r="117" spans="7:7" x14ac:dyDescent="0.25">
      <c r="G117" t="str">
        <f t="shared" si="1"/>
        <v/>
      </c>
    </row>
    <row r="118" spans="7:7" x14ac:dyDescent="0.25">
      <c r="G118" t="str">
        <f t="shared" si="1"/>
        <v/>
      </c>
    </row>
    <row r="119" spans="7:7" x14ac:dyDescent="0.25">
      <c r="G119" t="str">
        <f t="shared" si="1"/>
        <v/>
      </c>
    </row>
    <row r="120" spans="7:7" x14ac:dyDescent="0.25">
      <c r="G120" t="str">
        <f t="shared" si="1"/>
        <v/>
      </c>
    </row>
    <row r="121" spans="7:7" x14ac:dyDescent="0.25">
      <c r="G121" t="str">
        <f t="shared" si="1"/>
        <v/>
      </c>
    </row>
    <row r="122" spans="7:7" x14ac:dyDescent="0.25">
      <c r="G122" t="str">
        <f t="shared" si="1"/>
        <v/>
      </c>
    </row>
    <row r="123" spans="7:7" x14ac:dyDescent="0.25">
      <c r="G123" t="str">
        <f t="shared" si="1"/>
        <v/>
      </c>
    </row>
    <row r="124" spans="7:7" x14ac:dyDescent="0.25">
      <c r="G124" t="str">
        <f t="shared" si="1"/>
        <v/>
      </c>
    </row>
    <row r="125" spans="7:7" x14ac:dyDescent="0.25">
      <c r="G125" t="str">
        <f t="shared" si="1"/>
        <v/>
      </c>
    </row>
    <row r="126" spans="7:7" x14ac:dyDescent="0.25">
      <c r="G126" t="str">
        <f t="shared" si="1"/>
        <v/>
      </c>
    </row>
    <row r="127" spans="7:7" x14ac:dyDescent="0.25">
      <c r="G127" t="str">
        <f t="shared" si="1"/>
        <v/>
      </c>
    </row>
    <row r="128" spans="7:7" x14ac:dyDescent="0.25">
      <c r="G128" t="str">
        <f t="shared" si="1"/>
        <v/>
      </c>
    </row>
    <row r="129" spans="7:7" x14ac:dyDescent="0.25">
      <c r="G129" t="str">
        <f t="shared" si="1"/>
        <v/>
      </c>
    </row>
    <row r="130" spans="7:7" x14ac:dyDescent="0.25">
      <c r="G130" t="str">
        <f t="shared" si="1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F40"/>
  <sheetViews>
    <sheetView workbookViewId="0">
      <selection activeCell="I26" sqref="I26"/>
    </sheetView>
  </sheetViews>
  <sheetFormatPr defaultRowHeight="15" x14ac:dyDescent="0.25"/>
  <cols>
    <col min="1" max="1" width="32.28515625" customWidth="1"/>
    <col min="2" max="2" width="26.5703125" customWidth="1"/>
    <col min="3" max="3" width="15" customWidth="1"/>
  </cols>
  <sheetData>
    <row r="1" spans="1:6" x14ac:dyDescent="0.25">
      <c r="B1" t="s">
        <v>2424</v>
      </c>
    </row>
    <row r="2" spans="1:6" x14ac:dyDescent="0.25">
      <c r="A2" t="s">
        <v>2390</v>
      </c>
      <c r="B2" t="s">
        <v>2414</v>
      </c>
      <c r="C2" t="s">
        <v>2386</v>
      </c>
    </row>
    <row r="3" spans="1:6" x14ac:dyDescent="0.25">
      <c r="A3" t="s">
        <v>2425</v>
      </c>
      <c r="B3">
        <v>80</v>
      </c>
      <c r="C3">
        <v>59.64</v>
      </c>
      <c r="F3" t="str">
        <f>IF(ISBLANK(A3),"",CONCATENATE(A3," толщиной ",B3,"мм."))</f>
        <v>Деревянные перегородки толщиной 80мм.</v>
      </c>
    </row>
    <row r="4" spans="1:6" x14ac:dyDescent="0.25">
      <c r="A4" t="s">
        <v>2425</v>
      </c>
      <c r="B4">
        <v>120</v>
      </c>
      <c r="C4">
        <v>54.48</v>
      </c>
      <c r="F4" t="str">
        <f t="shared" ref="F4:F40" si="0">IF(ISBLANK(A4),"",CONCATENATE(A4," толщиной ",B4,"мм."))</f>
        <v>Деревянные перегородки толщиной 120мм.</v>
      </c>
    </row>
    <row r="5" spans="1:6" x14ac:dyDescent="0.25">
      <c r="A5" t="s">
        <v>2426</v>
      </c>
      <c r="B5">
        <v>120</v>
      </c>
      <c r="C5">
        <v>364.7</v>
      </c>
      <c r="F5" t="str">
        <f t="shared" si="0"/>
        <v>Существующая кирпичная кладка толщиной 120мм.</v>
      </c>
    </row>
    <row r="6" spans="1:6" x14ac:dyDescent="0.25">
      <c r="A6" t="s">
        <v>2427</v>
      </c>
      <c r="B6">
        <v>20</v>
      </c>
      <c r="C6">
        <v>705.55</v>
      </c>
      <c r="F6" t="str">
        <f t="shared" si="0"/>
        <v>Штукатурка для вн. работ толщиной 20мм.</v>
      </c>
    </row>
    <row r="7" spans="1:6" x14ac:dyDescent="0.25">
      <c r="F7" t="str">
        <f t="shared" si="0"/>
        <v/>
      </c>
    </row>
    <row r="8" spans="1:6" x14ac:dyDescent="0.25">
      <c r="F8" t="str">
        <f t="shared" si="0"/>
        <v/>
      </c>
    </row>
    <row r="9" spans="1:6" x14ac:dyDescent="0.25">
      <c r="F9" t="str">
        <f t="shared" si="0"/>
        <v/>
      </c>
    </row>
    <row r="10" spans="1:6" x14ac:dyDescent="0.25">
      <c r="F10" t="str">
        <f t="shared" si="0"/>
        <v/>
      </c>
    </row>
    <row r="11" spans="1:6" x14ac:dyDescent="0.25">
      <c r="F11" t="str">
        <f t="shared" si="0"/>
        <v/>
      </c>
    </row>
    <row r="12" spans="1:6" x14ac:dyDescent="0.25">
      <c r="F12" t="str">
        <f t="shared" si="0"/>
        <v/>
      </c>
    </row>
    <row r="13" spans="1:6" x14ac:dyDescent="0.25">
      <c r="F13" t="str">
        <f t="shared" si="0"/>
        <v/>
      </c>
    </row>
    <row r="14" spans="1:6" x14ac:dyDescent="0.25">
      <c r="F14" t="str">
        <f t="shared" si="0"/>
        <v/>
      </c>
    </row>
    <row r="15" spans="1:6" x14ac:dyDescent="0.25">
      <c r="F15" t="str">
        <f t="shared" si="0"/>
        <v/>
      </c>
    </row>
    <row r="16" spans="1:6" x14ac:dyDescent="0.25">
      <c r="F16" t="str">
        <f t="shared" si="0"/>
        <v/>
      </c>
    </row>
    <row r="17" spans="6:6" x14ac:dyDescent="0.25">
      <c r="F17" t="str">
        <f t="shared" si="0"/>
        <v/>
      </c>
    </row>
    <row r="18" spans="6:6" x14ac:dyDescent="0.25">
      <c r="F18" t="str">
        <f t="shared" si="0"/>
        <v/>
      </c>
    </row>
    <row r="19" spans="6:6" x14ac:dyDescent="0.25">
      <c r="F19" t="str">
        <f t="shared" si="0"/>
        <v/>
      </c>
    </row>
    <row r="20" spans="6:6" x14ac:dyDescent="0.25">
      <c r="F20" t="str">
        <f t="shared" si="0"/>
        <v/>
      </c>
    </row>
    <row r="21" spans="6:6" x14ac:dyDescent="0.25">
      <c r="F21" t="str">
        <f t="shared" si="0"/>
        <v/>
      </c>
    </row>
    <row r="22" spans="6:6" x14ac:dyDescent="0.25">
      <c r="F22" t="str">
        <f t="shared" si="0"/>
        <v/>
      </c>
    </row>
    <row r="23" spans="6:6" x14ac:dyDescent="0.25">
      <c r="F23" t="str">
        <f t="shared" si="0"/>
        <v/>
      </c>
    </row>
    <row r="24" spans="6:6" x14ac:dyDescent="0.25">
      <c r="F24" t="str">
        <f t="shared" si="0"/>
        <v/>
      </c>
    </row>
    <row r="25" spans="6:6" x14ac:dyDescent="0.25">
      <c r="F25" t="str">
        <f t="shared" si="0"/>
        <v/>
      </c>
    </row>
    <row r="26" spans="6:6" x14ac:dyDescent="0.25">
      <c r="F26" t="str">
        <f t="shared" si="0"/>
        <v/>
      </c>
    </row>
    <row r="27" spans="6:6" x14ac:dyDescent="0.25">
      <c r="F27" t="str">
        <f t="shared" si="0"/>
        <v/>
      </c>
    </row>
    <row r="28" spans="6:6" x14ac:dyDescent="0.25">
      <c r="F28" t="str">
        <f t="shared" si="0"/>
        <v/>
      </c>
    </row>
    <row r="29" spans="6:6" x14ac:dyDescent="0.25">
      <c r="F29" t="str">
        <f t="shared" si="0"/>
        <v/>
      </c>
    </row>
    <row r="30" spans="6:6" x14ac:dyDescent="0.25">
      <c r="F30" t="str">
        <f t="shared" si="0"/>
        <v/>
      </c>
    </row>
    <row r="31" spans="6:6" x14ac:dyDescent="0.25">
      <c r="F31" t="str">
        <f t="shared" si="0"/>
        <v/>
      </c>
    </row>
    <row r="32" spans="6:6" x14ac:dyDescent="0.25">
      <c r="F32" t="str">
        <f t="shared" si="0"/>
        <v/>
      </c>
    </row>
    <row r="33" spans="6:6" x14ac:dyDescent="0.25">
      <c r="F33" t="str">
        <f t="shared" si="0"/>
        <v/>
      </c>
    </row>
    <row r="34" spans="6:6" x14ac:dyDescent="0.25">
      <c r="F34" t="str">
        <f t="shared" si="0"/>
        <v/>
      </c>
    </row>
    <row r="35" spans="6:6" x14ac:dyDescent="0.25">
      <c r="F35" t="str">
        <f t="shared" si="0"/>
        <v/>
      </c>
    </row>
    <row r="36" spans="6:6" x14ac:dyDescent="0.25">
      <c r="F36" t="str">
        <f t="shared" si="0"/>
        <v/>
      </c>
    </row>
    <row r="37" spans="6:6" x14ac:dyDescent="0.25">
      <c r="F37" t="str">
        <f t="shared" si="0"/>
        <v/>
      </c>
    </row>
    <row r="38" spans="6:6" x14ac:dyDescent="0.25">
      <c r="F38" t="str">
        <f t="shared" si="0"/>
        <v/>
      </c>
    </row>
    <row r="39" spans="6:6" x14ac:dyDescent="0.25">
      <c r="F39" t="str">
        <f t="shared" si="0"/>
        <v/>
      </c>
    </row>
    <row r="40" spans="6:6" x14ac:dyDescent="0.25">
      <c r="F40" t="str">
        <f t="shared" si="0"/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I460"/>
  <sheetViews>
    <sheetView workbookViewId="0">
      <selection activeCell="J50" sqref="J50"/>
    </sheetView>
  </sheetViews>
  <sheetFormatPr defaultRowHeight="15" x14ac:dyDescent="0.25"/>
  <cols>
    <col min="1" max="1" width="4.85546875" customWidth="1"/>
    <col min="2" max="2" width="19" bestFit="1" customWidth="1"/>
    <col min="3" max="3" width="52.85546875" bestFit="1" customWidth="1"/>
    <col min="4" max="4" width="7.28515625" customWidth="1"/>
    <col min="5" max="5" width="15.85546875" bestFit="1" customWidth="1"/>
    <col min="14" max="14" width="6.7109375" bestFit="1" customWidth="1"/>
    <col min="15" max="15" width="4.85546875" bestFit="1" customWidth="1"/>
    <col min="16" max="16" width="19" bestFit="1" customWidth="1"/>
    <col min="17" max="17" width="52.85546875" bestFit="1" customWidth="1"/>
    <col min="18" max="18" width="7.28515625" bestFit="1" customWidth="1"/>
    <col min="19" max="19" width="15.85546875" bestFit="1" customWidth="1"/>
  </cols>
  <sheetData>
    <row r="1" spans="1:9" x14ac:dyDescent="0.25">
      <c r="C1" t="s">
        <v>2431</v>
      </c>
    </row>
    <row r="2" spans="1:9" x14ac:dyDescent="0.25">
      <c r="A2" t="s">
        <v>2388</v>
      </c>
      <c r="B2" t="s">
        <v>2432</v>
      </c>
      <c r="C2" t="s">
        <v>2433</v>
      </c>
      <c r="D2" t="s">
        <v>2391</v>
      </c>
      <c r="E2" t="s">
        <v>2384</v>
      </c>
    </row>
    <row r="3" spans="1:9" x14ac:dyDescent="0.25">
      <c r="A3" t="s">
        <v>2434</v>
      </c>
      <c r="B3">
        <v>1400</v>
      </c>
      <c r="C3">
        <v>2100</v>
      </c>
      <c r="D3">
        <v>8</v>
      </c>
      <c r="E3" t="s">
        <v>2435</v>
      </c>
      <c r="H3" t="str">
        <f>IF(LEFT(A3,1)="О","оконного","дверного")</f>
        <v>дверного</v>
      </c>
      <c r="I3" t="str">
        <f>IF(ISBLANK(A3),"",CONCATENATE("Демонтаж ",H3," блока ",B3,"x",C3,"(h)","мм."))</f>
        <v>Демонтаж дверного блока 1400x2100(h)мм.</v>
      </c>
    </row>
    <row r="4" spans="1:9" x14ac:dyDescent="0.25">
      <c r="A4" t="s">
        <v>2436</v>
      </c>
      <c r="B4">
        <v>1500</v>
      </c>
      <c r="C4">
        <v>2100</v>
      </c>
      <c r="D4">
        <v>6</v>
      </c>
      <c r="E4" t="s">
        <v>2435</v>
      </c>
      <c r="H4" t="str">
        <f t="shared" ref="H4:H63" si="0">IF(LEFT(A4,1)="О","оконного","дверного")</f>
        <v>дверного</v>
      </c>
      <c r="I4" t="str">
        <f t="shared" ref="I4:I67" si="1">IF(ISBLANK(A4),"",CONCATENATE("Демонтаж ",H4," блока ",B4,"x",C4,"(h)","мм."))</f>
        <v>Демонтаж дверного блока 1500x2100(h)мм.</v>
      </c>
    </row>
    <row r="5" spans="1:9" x14ac:dyDescent="0.25">
      <c r="A5" t="s">
        <v>2437</v>
      </c>
      <c r="B5">
        <v>650</v>
      </c>
      <c r="C5">
        <v>2100</v>
      </c>
      <c r="D5">
        <v>2</v>
      </c>
      <c r="E5" t="s">
        <v>2435</v>
      </c>
      <c r="H5" t="str">
        <f t="shared" si="0"/>
        <v>дверного</v>
      </c>
      <c r="I5" t="str">
        <f t="shared" si="1"/>
        <v>Демонтаж дверного блока 650x2100(h)мм.</v>
      </c>
    </row>
    <row r="6" spans="1:9" x14ac:dyDescent="0.25">
      <c r="A6" t="s">
        <v>2438</v>
      </c>
      <c r="B6">
        <v>700</v>
      </c>
      <c r="C6">
        <v>2100</v>
      </c>
      <c r="D6">
        <v>4</v>
      </c>
      <c r="E6" t="s">
        <v>2435</v>
      </c>
      <c r="H6" t="str">
        <f t="shared" si="0"/>
        <v>дверного</v>
      </c>
      <c r="I6" t="str">
        <f t="shared" si="1"/>
        <v>Демонтаж дверного блока 700x2100(h)мм.</v>
      </c>
    </row>
    <row r="7" spans="1:9" x14ac:dyDescent="0.25">
      <c r="A7" t="s">
        <v>2439</v>
      </c>
      <c r="B7">
        <v>1280</v>
      </c>
      <c r="C7">
        <v>2100</v>
      </c>
      <c r="D7">
        <v>7</v>
      </c>
      <c r="E7" t="s">
        <v>2435</v>
      </c>
      <c r="H7" t="str">
        <f t="shared" si="0"/>
        <v>дверного</v>
      </c>
      <c r="I7" t="str">
        <f t="shared" si="1"/>
        <v>Демонтаж дверного блока 1280x2100(h)мм.</v>
      </c>
    </row>
    <row r="8" spans="1:9" x14ac:dyDescent="0.25">
      <c r="A8" t="s">
        <v>2440</v>
      </c>
      <c r="B8">
        <v>1000</v>
      </c>
      <c r="C8">
        <v>2100</v>
      </c>
      <c r="D8">
        <v>1</v>
      </c>
      <c r="E8" t="s">
        <v>2435</v>
      </c>
      <c r="H8" t="str">
        <f t="shared" si="0"/>
        <v>дверного</v>
      </c>
      <c r="I8" t="str">
        <f t="shared" si="1"/>
        <v>Демонтаж дверного блока 1000x2100(h)мм.</v>
      </c>
    </row>
    <row r="9" spans="1:9" x14ac:dyDescent="0.25">
      <c r="A9" t="s">
        <v>2441</v>
      </c>
      <c r="B9">
        <v>900</v>
      </c>
      <c r="C9">
        <v>2100</v>
      </c>
      <c r="D9">
        <v>1</v>
      </c>
      <c r="E9" t="s">
        <v>2435</v>
      </c>
      <c r="H9" t="str">
        <f t="shared" si="0"/>
        <v>дверного</v>
      </c>
      <c r="I9" t="str">
        <f t="shared" si="1"/>
        <v>Демонтаж дверного блока 900x2100(h)мм.</v>
      </c>
    </row>
    <row r="10" spans="1:9" x14ac:dyDescent="0.25">
      <c r="A10" t="s">
        <v>2442</v>
      </c>
      <c r="B10">
        <v>790</v>
      </c>
      <c r="C10">
        <v>2100</v>
      </c>
      <c r="D10">
        <v>1</v>
      </c>
      <c r="E10" t="s">
        <v>2435</v>
      </c>
      <c r="H10" t="str">
        <f t="shared" si="0"/>
        <v>дверного</v>
      </c>
      <c r="I10" t="str">
        <f t="shared" si="1"/>
        <v>Демонтаж дверного блока 790x2100(h)мм.</v>
      </c>
    </row>
    <row r="11" spans="1:9" x14ac:dyDescent="0.25">
      <c r="A11" t="s">
        <v>2443</v>
      </c>
      <c r="B11">
        <v>800</v>
      </c>
      <c r="C11">
        <v>2100</v>
      </c>
      <c r="D11">
        <v>3</v>
      </c>
      <c r="E11" t="s">
        <v>2435</v>
      </c>
      <c r="H11" t="str">
        <f t="shared" si="0"/>
        <v>дверного</v>
      </c>
      <c r="I11" t="str">
        <f t="shared" si="1"/>
        <v>Демонтаж дверного блока 800x2100(h)мм.</v>
      </c>
    </row>
    <row r="12" spans="1:9" x14ac:dyDescent="0.25">
      <c r="A12" t="s">
        <v>2444</v>
      </c>
      <c r="B12">
        <v>2150</v>
      </c>
      <c r="C12">
        <v>2100</v>
      </c>
      <c r="D12">
        <v>1</v>
      </c>
      <c r="E12" t="s">
        <v>2445</v>
      </c>
      <c r="H12" t="str">
        <f t="shared" si="0"/>
        <v>дверного</v>
      </c>
      <c r="I12" t="str">
        <f t="shared" si="1"/>
        <v>Демонтаж дверного блока 2150x2100(h)мм.</v>
      </c>
    </row>
    <row r="13" spans="1:9" x14ac:dyDescent="0.25">
      <c r="A13" t="s">
        <v>2446</v>
      </c>
      <c r="B13">
        <v>680</v>
      </c>
      <c r="C13">
        <v>2100</v>
      </c>
      <c r="D13">
        <v>2</v>
      </c>
      <c r="E13" t="s">
        <v>2445</v>
      </c>
      <c r="H13" t="str">
        <f t="shared" si="0"/>
        <v>дверного</v>
      </c>
      <c r="I13" t="str">
        <f t="shared" si="1"/>
        <v>Демонтаж дверного блока 680x2100(h)мм.</v>
      </c>
    </row>
    <row r="14" spans="1:9" x14ac:dyDescent="0.25">
      <c r="A14" t="s">
        <v>2447</v>
      </c>
      <c r="B14">
        <v>1000</v>
      </c>
      <c r="C14">
        <v>2100</v>
      </c>
      <c r="D14">
        <v>3</v>
      </c>
      <c r="E14" t="s">
        <v>2445</v>
      </c>
      <c r="H14" t="str">
        <f t="shared" si="0"/>
        <v>дверного</v>
      </c>
      <c r="I14" t="str">
        <f t="shared" si="1"/>
        <v>Демонтаж дверного блока 1000x2100(h)мм.</v>
      </c>
    </row>
    <row r="15" spans="1:9" x14ac:dyDescent="0.25">
      <c r="A15" t="s">
        <v>2448</v>
      </c>
      <c r="B15">
        <v>700</v>
      </c>
      <c r="C15">
        <v>2100</v>
      </c>
      <c r="D15">
        <v>2</v>
      </c>
      <c r="E15" t="s">
        <v>2445</v>
      </c>
      <c r="H15" t="str">
        <f t="shared" si="0"/>
        <v>дверного</v>
      </c>
      <c r="I15" t="str">
        <f t="shared" si="1"/>
        <v>Демонтаж дверного блока 700x2100(h)мм.</v>
      </c>
    </row>
    <row r="16" spans="1:9" x14ac:dyDescent="0.25">
      <c r="A16" t="s">
        <v>2449</v>
      </c>
      <c r="B16">
        <v>900</v>
      </c>
      <c r="C16">
        <v>2100</v>
      </c>
      <c r="D16">
        <v>1</v>
      </c>
      <c r="E16" t="s">
        <v>2445</v>
      </c>
      <c r="H16" t="str">
        <f t="shared" si="0"/>
        <v>дверного</v>
      </c>
      <c r="I16" t="str">
        <f t="shared" si="1"/>
        <v>Демонтаж дверного блока 900x2100(h)мм.</v>
      </c>
    </row>
    <row r="17" spans="1:9" x14ac:dyDescent="0.25">
      <c r="A17" t="s">
        <v>2450</v>
      </c>
      <c r="B17">
        <v>1400</v>
      </c>
      <c r="C17">
        <v>2100</v>
      </c>
      <c r="D17">
        <v>1</v>
      </c>
      <c r="E17" t="s">
        <v>2445</v>
      </c>
      <c r="H17" t="str">
        <f t="shared" si="0"/>
        <v>дверного</v>
      </c>
      <c r="I17" t="str">
        <f t="shared" si="1"/>
        <v>Демонтаж дверного блока 1400x2100(h)мм.</v>
      </c>
    </row>
    <row r="18" spans="1:9" x14ac:dyDescent="0.25">
      <c r="A18" t="s">
        <v>2451</v>
      </c>
      <c r="B18">
        <v>800</v>
      </c>
      <c r="C18">
        <v>2100</v>
      </c>
      <c r="D18">
        <v>1</v>
      </c>
      <c r="E18" t="s">
        <v>2445</v>
      </c>
      <c r="H18" t="str">
        <f t="shared" si="0"/>
        <v>дверного</v>
      </c>
      <c r="I18" t="str">
        <f t="shared" si="1"/>
        <v>Демонтаж дверного блока 800x2100(h)мм.</v>
      </c>
    </row>
    <row r="19" spans="1:9" x14ac:dyDescent="0.25">
      <c r="A19" t="s">
        <v>2452</v>
      </c>
      <c r="B19">
        <v>700</v>
      </c>
      <c r="C19">
        <v>2100</v>
      </c>
      <c r="D19">
        <v>5</v>
      </c>
      <c r="E19" t="s">
        <v>2453</v>
      </c>
      <c r="H19" t="str">
        <f t="shared" si="0"/>
        <v>дверного</v>
      </c>
      <c r="I19" t="str">
        <f t="shared" si="1"/>
        <v>Демонтаж дверного блока 700x2100(h)мм.</v>
      </c>
    </row>
    <row r="20" spans="1:9" x14ac:dyDescent="0.25">
      <c r="A20" t="s">
        <v>2454</v>
      </c>
      <c r="B20">
        <v>800</v>
      </c>
      <c r="C20">
        <v>2100</v>
      </c>
      <c r="D20">
        <v>6</v>
      </c>
      <c r="E20" t="s">
        <v>2453</v>
      </c>
      <c r="H20" t="str">
        <f t="shared" si="0"/>
        <v>дверного</v>
      </c>
      <c r="I20" t="str">
        <f t="shared" si="1"/>
        <v>Демонтаж дверного блока 800x2100(h)мм.</v>
      </c>
    </row>
    <row r="21" spans="1:9" x14ac:dyDescent="0.25">
      <c r="A21" t="s">
        <v>2455</v>
      </c>
      <c r="B21">
        <v>900</v>
      </c>
      <c r="C21">
        <v>2100</v>
      </c>
      <c r="D21">
        <v>4</v>
      </c>
      <c r="E21" t="s">
        <v>2453</v>
      </c>
      <c r="H21" t="str">
        <f t="shared" si="0"/>
        <v>дверного</v>
      </c>
      <c r="I21" t="str">
        <f t="shared" si="1"/>
        <v>Демонтаж дверного блока 900x2100(h)мм.</v>
      </c>
    </row>
    <row r="22" spans="1:9" x14ac:dyDescent="0.25">
      <c r="A22" t="s">
        <v>2456</v>
      </c>
      <c r="B22">
        <v>1000</v>
      </c>
      <c r="C22">
        <v>2100</v>
      </c>
      <c r="D22">
        <v>1</v>
      </c>
      <c r="E22" t="s">
        <v>2453</v>
      </c>
      <c r="H22" t="str">
        <f t="shared" si="0"/>
        <v>дверного</v>
      </c>
      <c r="I22" t="str">
        <f t="shared" si="1"/>
        <v>Демонтаж дверного блока 1000x2100(h)мм.</v>
      </c>
    </row>
    <row r="23" spans="1:9" x14ac:dyDescent="0.25">
      <c r="A23" t="s">
        <v>2457</v>
      </c>
      <c r="B23">
        <v>680</v>
      </c>
      <c r="C23">
        <v>2100</v>
      </c>
      <c r="D23">
        <v>1</v>
      </c>
      <c r="E23" t="s">
        <v>2453</v>
      </c>
      <c r="H23" t="str">
        <f t="shared" si="0"/>
        <v>дверного</v>
      </c>
      <c r="I23" t="str">
        <f t="shared" si="1"/>
        <v>Демонтаж дверного блока 680x2100(h)мм.</v>
      </c>
    </row>
    <row r="24" spans="1:9" x14ac:dyDescent="0.25">
      <c r="A24" t="s">
        <v>2458</v>
      </c>
      <c r="B24">
        <v>2120</v>
      </c>
      <c r="C24">
        <v>2200</v>
      </c>
      <c r="D24">
        <v>12</v>
      </c>
      <c r="E24" t="s">
        <v>2435</v>
      </c>
      <c r="H24" t="str">
        <f t="shared" si="0"/>
        <v>оконного</v>
      </c>
      <c r="I24" t="str">
        <f t="shared" si="1"/>
        <v>Демонтаж оконного блока 2120x2200(h)мм.</v>
      </c>
    </row>
    <row r="25" spans="1:9" x14ac:dyDescent="0.25">
      <c r="A25" t="s">
        <v>2459</v>
      </c>
      <c r="B25">
        <v>2050</v>
      </c>
      <c r="C25">
        <v>2200</v>
      </c>
      <c r="D25">
        <v>2</v>
      </c>
      <c r="E25" t="s">
        <v>2435</v>
      </c>
      <c r="H25" t="str">
        <f t="shared" si="0"/>
        <v>оконного</v>
      </c>
      <c r="I25" t="str">
        <f t="shared" si="1"/>
        <v>Демонтаж оконного блока 2050x2200(h)мм.</v>
      </c>
    </row>
    <row r="26" spans="1:9" x14ac:dyDescent="0.25">
      <c r="A26" t="s">
        <v>2460</v>
      </c>
      <c r="B26">
        <v>1690</v>
      </c>
      <c r="C26">
        <v>2200</v>
      </c>
      <c r="D26">
        <v>1</v>
      </c>
      <c r="E26" t="s">
        <v>2435</v>
      </c>
      <c r="H26" t="str">
        <f t="shared" si="0"/>
        <v>оконного</v>
      </c>
      <c r="I26" t="str">
        <f t="shared" si="1"/>
        <v>Демонтаж оконного блока 1690x2200(h)мм.</v>
      </c>
    </row>
    <row r="27" spans="1:9" x14ac:dyDescent="0.25">
      <c r="A27" t="s">
        <v>2461</v>
      </c>
      <c r="B27">
        <v>2120</v>
      </c>
      <c r="C27">
        <v>1650</v>
      </c>
      <c r="D27">
        <v>24</v>
      </c>
      <c r="E27" t="s">
        <v>2435</v>
      </c>
      <c r="H27" t="str">
        <f t="shared" si="0"/>
        <v>оконного</v>
      </c>
      <c r="I27" t="str">
        <f t="shared" si="1"/>
        <v>Демонтаж оконного блока 2120x1650(h)мм.</v>
      </c>
    </row>
    <row r="28" spans="1:9" x14ac:dyDescent="0.25">
      <c r="A28" t="s">
        <v>2498</v>
      </c>
      <c r="B28">
        <v>2210</v>
      </c>
      <c r="C28">
        <v>1650</v>
      </c>
      <c r="D28">
        <v>8</v>
      </c>
      <c r="E28" t="s">
        <v>2435</v>
      </c>
      <c r="H28" t="str">
        <f t="shared" si="0"/>
        <v>оконного</v>
      </c>
      <c r="I28" t="str">
        <f t="shared" si="1"/>
        <v>Демонтаж оконного блока 2210x1650(h)мм.</v>
      </c>
    </row>
    <row r="29" spans="1:9" x14ac:dyDescent="0.25">
      <c r="H29" t="str">
        <f t="shared" si="0"/>
        <v>дверного</v>
      </c>
      <c r="I29" t="str">
        <f t="shared" si="1"/>
        <v/>
      </c>
    </row>
    <row r="30" spans="1:9" x14ac:dyDescent="0.25">
      <c r="H30" t="str">
        <f t="shared" si="0"/>
        <v>дверного</v>
      </c>
      <c r="I30" t="str">
        <f t="shared" si="1"/>
        <v/>
      </c>
    </row>
    <row r="31" spans="1:9" x14ac:dyDescent="0.25">
      <c r="H31" t="str">
        <f t="shared" si="0"/>
        <v>дверного</v>
      </c>
      <c r="I31" t="str">
        <f t="shared" si="1"/>
        <v/>
      </c>
    </row>
    <row r="32" spans="1:9" x14ac:dyDescent="0.25">
      <c r="H32" t="str">
        <f t="shared" si="0"/>
        <v>дверного</v>
      </c>
      <c r="I32" t="str">
        <f t="shared" si="1"/>
        <v/>
      </c>
    </row>
    <row r="33" spans="8:9" x14ac:dyDescent="0.25">
      <c r="H33" t="str">
        <f t="shared" si="0"/>
        <v>дверного</v>
      </c>
      <c r="I33" t="str">
        <f t="shared" si="1"/>
        <v/>
      </c>
    </row>
    <row r="34" spans="8:9" x14ac:dyDescent="0.25">
      <c r="H34" t="str">
        <f t="shared" si="0"/>
        <v>дверного</v>
      </c>
      <c r="I34" t="str">
        <f t="shared" si="1"/>
        <v/>
      </c>
    </row>
    <row r="35" spans="8:9" x14ac:dyDescent="0.25">
      <c r="H35" t="str">
        <f t="shared" si="0"/>
        <v>дверного</v>
      </c>
      <c r="I35" t="str">
        <f t="shared" si="1"/>
        <v/>
      </c>
    </row>
    <row r="36" spans="8:9" x14ac:dyDescent="0.25">
      <c r="H36" t="str">
        <f t="shared" si="0"/>
        <v>дверного</v>
      </c>
      <c r="I36" t="str">
        <f t="shared" si="1"/>
        <v/>
      </c>
    </row>
    <row r="37" spans="8:9" x14ac:dyDescent="0.25">
      <c r="H37" t="str">
        <f t="shared" si="0"/>
        <v>дверного</v>
      </c>
      <c r="I37" t="str">
        <f t="shared" si="1"/>
        <v/>
      </c>
    </row>
    <row r="38" spans="8:9" x14ac:dyDescent="0.25">
      <c r="H38" t="str">
        <f t="shared" si="0"/>
        <v>дверного</v>
      </c>
      <c r="I38" t="str">
        <f t="shared" si="1"/>
        <v/>
      </c>
    </row>
    <row r="39" spans="8:9" x14ac:dyDescent="0.25">
      <c r="H39" t="str">
        <f t="shared" si="0"/>
        <v>дверного</v>
      </c>
      <c r="I39" t="str">
        <f t="shared" si="1"/>
        <v/>
      </c>
    </row>
    <row r="40" spans="8:9" x14ac:dyDescent="0.25">
      <c r="H40" t="str">
        <f t="shared" si="0"/>
        <v>дверного</v>
      </c>
      <c r="I40" t="str">
        <f t="shared" si="1"/>
        <v/>
      </c>
    </row>
    <row r="41" spans="8:9" x14ac:dyDescent="0.25">
      <c r="H41" t="str">
        <f t="shared" si="0"/>
        <v>дверного</v>
      </c>
      <c r="I41" t="str">
        <f t="shared" si="1"/>
        <v/>
      </c>
    </row>
    <row r="42" spans="8:9" x14ac:dyDescent="0.25">
      <c r="H42" t="str">
        <f t="shared" si="0"/>
        <v>дверного</v>
      </c>
      <c r="I42" t="str">
        <f t="shared" si="1"/>
        <v/>
      </c>
    </row>
    <row r="43" spans="8:9" x14ac:dyDescent="0.25">
      <c r="H43" t="str">
        <f t="shared" si="0"/>
        <v>дверного</v>
      </c>
      <c r="I43" t="str">
        <f t="shared" si="1"/>
        <v/>
      </c>
    </row>
    <row r="44" spans="8:9" x14ac:dyDescent="0.25">
      <c r="H44" t="str">
        <f t="shared" si="0"/>
        <v>дверного</v>
      </c>
      <c r="I44" t="str">
        <f t="shared" si="1"/>
        <v/>
      </c>
    </row>
    <row r="45" spans="8:9" x14ac:dyDescent="0.25">
      <c r="H45" t="str">
        <f t="shared" si="0"/>
        <v>дверного</v>
      </c>
      <c r="I45" t="str">
        <f t="shared" si="1"/>
        <v/>
      </c>
    </row>
    <row r="46" spans="8:9" x14ac:dyDescent="0.25">
      <c r="H46" t="str">
        <f t="shared" si="0"/>
        <v>дверного</v>
      </c>
      <c r="I46" t="str">
        <f t="shared" si="1"/>
        <v/>
      </c>
    </row>
    <row r="47" spans="8:9" x14ac:dyDescent="0.25">
      <c r="H47" t="str">
        <f t="shared" si="0"/>
        <v>дверного</v>
      </c>
      <c r="I47" t="str">
        <f t="shared" si="1"/>
        <v/>
      </c>
    </row>
    <row r="48" spans="8:9" x14ac:dyDescent="0.25">
      <c r="H48" t="str">
        <f t="shared" si="0"/>
        <v>дверного</v>
      </c>
      <c r="I48" t="str">
        <f t="shared" si="1"/>
        <v/>
      </c>
    </row>
    <row r="49" spans="8:9" x14ac:dyDescent="0.25">
      <c r="H49" t="str">
        <f t="shared" si="0"/>
        <v>дверного</v>
      </c>
      <c r="I49" t="str">
        <f t="shared" si="1"/>
        <v/>
      </c>
    </row>
    <row r="50" spans="8:9" x14ac:dyDescent="0.25">
      <c r="H50" t="str">
        <f t="shared" si="0"/>
        <v>дверного</v>
      </c>
      <c r="I50" t="str">
        <f t="shared" si="1"/>
        <v/>
      </c>
    </row>
    <row r="51" spans="8:9" x14ac:dyDescent="0.25">
      <c r="H51" t="str">
        <f t="shared" si="0"/>
        <v>дверного</v>
      </c>
      <c r="I51" t="str">
        <f t="shared" si="1"/>
        <v/>
      </c>
    </row>
    <row r="52" spans="8:9" x14ac:dyDescent="0.25">
      <c r="H52" t="str">
        <f t="shared" si="0"/>
        <v>дверного</v>
      </c>
      <c r="I52" t="str">
        <f t="shared" si="1"/>
        <v/>
      </c>
    </row>
    <row r="53" spans="8:9" x14ac:dyDescent="0.25">
      <c r="H53" t="str">
        <f t="shared" si="0"/>
        <v>дверного</v>
      </c>
      <c r="I53" t="str">
        <f t="shared" si="1"/>
        <v/>
      </c>
    </row>
    <row r="54" spans="8:9" x14ac:dyDescent="0.25">
      <c r="H54" t="str">
        <f t="shared" si="0"/>
        <v>дверного</v>
      </c>
      <c r="I54" t="str">
        <f t="shared" si="1"/>
        <v/>
      </c>
    </row>
    <row r="55" spans="8:9" x14ac:dyDescent="0.25">
      <c r="H55" t="str">
        <f t="shared" si="0"/>
        <v>дверного</v>
      </c>
      <c r="I55" t="str">
        <f t="shared" si="1"/>
        <v/>
      </c>
    </row>
    <row r="56" spans="8:9" x14ac:dyDescent="0.25">
      <c r="H56" t="str">
        <f t="shared" si="0"/>
        <v>дверного</v>
      </c>
      <c r="I56" t="str">
        <f t="shared" si="1"/>
        <v/>
      </c>
    </row>
    <row r="57" spans="8:9" x14ac:dyDescent="0.25">
      <c r="H57" t="str">
        <f t="shared" si="0"/>
        <v>дверного</v>
      </c>
      <c r="I57" t="str">
        <f t="shared" si="1"/>
        <v/>
      </c>
    </row>
    <row r="58" spans="8:9" x14ac:dyDescent="0.25">
      <c r="H58" t="str">
        <f t="shared" si="0"/>
        <v>дверного</v>
      </c>
      <c r="I58" t="str">
        <f t="shared" si="1"/>
        <v/>
      </c>
    </row>
    <row r="59" spans="8:9" x14ac:dyDescent="0.25">
      <c r="H59" t="str">
        <f t="shared" si="0"/>
        <v>дверного</v>
      </c>
      <c r="I59" t="str">
        <f t="shared" si="1"/>
        <v/>
      </c>
    </row>
    <row r="60" spans="8:9" x14ac:dyDescent="0.25">
      <c r="H60" t="str">
        <f t="shared" si="0"/>
        <v>дверного</v>
      </c>
      <c r="I60" t="str">
        <f t="shared" si="1"/>
        <v/>
      </c>
    </row>
    <row r="61" spans="8:9" x14ac:dyDescent="0.25">
      <c r="H61" t="str">
        <f t="shared" si="0"/>
        <v>дверного</v>
      </c>
      <c r="I61" t="str">
        <f t="shared" si="1"/>
        <v/>
      </c>
    </row>
    <row r="62" spans="8:9" x14ac:dyDescent="0.25">
      <c r="H62" t="str">
        <f t="shared" si="0"/>
        <v>дверного</v>
      </c>
      <c r="I62" t="str">
        <f t="shared" si="1"/>
        <v/>
      </c>
    </row>
    <row r="63" spans="8:9" x14ac:dyDescent="0.25">
      <c r="H63" t="str">
        <f t="shared" si="0"/>
        <v>дверного</v>
      </c>
      <c r="I63" t="str">
        <f t="shared" si="1"/>
        <v/>
      </c>
    </row>
    <row r="64" spans="8:9" x14ac:dyDescent="0.25">
      <c r="I64" t="str">
        <f t="shared" si="1"/>
        <v/>
      </c>
    </row>
    <row r="65" spans="9:9" x14ac:dyDescent="0.25">
      <c r="I65" t="str">
        <f t="shared" si="1"/>
        <v/>
      </c>
    </row>
    <row r="66" spans="9:9" x14ac:dyDescent="0.25">
      <c r="I66" t="str">
        <f t="shared" si="1"/>
        <v/>
      </c>
    </row>
    <row r="67" spans="9:9" x14ac:dyDescent="0.25">
      <c r="I67" t="str">
        <f t="shared" si="1"/>
        <v/>
      </c>
    </row>
    <row r="68" spans="9:9" x14ac:dyDescent="0.25">
      <c r="I68" t="str">
        <f t="shared" ref="I68:I77" si="2">IF(ISBLANK(A68),"",CONCATENATE("Демонтаж ",H68," блока ",B68,"x",C68,"(h)","мм."))</f>
        <v/>
      </c>
    </row>
    <row r="69" spans="9:9" x14ac:dyDescent="0.25">
      <c r="I69" t="str">
        <f t="shared" si="2"/>
        <v/>
      </c>
    </row>
    <row r="70" spans="9:9" x14ac:dyDescent="0.25">
      <c r="I70" t="str">
        <f t="shared" si="2"/>
        <v/>
      </c>
    </row>
    <row r="71" spans="9:9" x14ac:dyDescent="0.25">
      <c r="I71" t="str">
        <f t="shared" si="2"/>
        <v/>
      </c>
    </row>
    <row r="72" spans="9:9" x14ac:dyDescent="0.25">
      <c r="I72" t="str">
        <f t="shared" si="2"/>
        <v/>
      </c>
    </row>
    <row r="73" spans="9:9" x14ac:dyDescent="0.25">
      <c r="I73" t="str">
        <f t="shared" si="2"/>
        <v/>
      </c>
    </row>
    <row r="74" spans="9:9" x14ac:dyDescent="0.25">
      <c r="I74" t="str">
        <f t="shared" si="2"/>
        <v/>
      </c>
    </row>
    <row r="75" spans="9:9" x14ac:dyDescent="0.25">
      <c r="I75" t="str">
        <f t="shared" si="2"/>
        <v/>
      </c>
    </row>
    <row r="76" spans="9:9" x14ac:dyDescent="0.25">
      <c r="I76" t="str">
        <f t="shared" si="2"/>
        <v/>
      </c>
    </row>
    <row r="77" spans="9:9" x14ac:dyDescent="0.25">
      <c r="I77" t="str">
        <f t="shared" si="2"/>
        <v/>
      </c>
    </row>
    <row r="78" spans="9:9" x14ac:dyDescent="0.25">
      <c r="I78" t="str">
        <f t="shared" ref="I78:I131" si="3">IF(ISBLANK(A78),"",CONCATENATE("Замена ",H78," блока ",B78,"x",C78,"(h)","мм."))</f>
        <v/>
      </c>
    </row>
    <row r="79" spans="9:9" x14ac:dyDescent="0.25">
      <c r="I79" t="str">
        <f t="shared" si="3"/>
        <v/>
      </c>
    </row>
    <row r="80" spans="9:9" x14ac:dyDescent="0.25">
      <c r="I80" t="str">
        <f t="shared" si="3"/>
        <v/>
      </c>
    </row>
    <row r="81" spans="9:9" x14ac:dyDescent="0.25">
      <c r="I81" t="str">
        <f t="shared" si="3"/>
        <v/>
      </c>
    </row>
    <row r="82" spans="9:9" x14ac:dyDescent="0.25">
      <c r="I82" t="str">
        <f t="shared" si="3"/>
        <v/>
      </c>
    </row>
    <row r="83" spans="9:9" x14ac:dyDescent="0.25">
      <c r="I83" t="str">
        <f t="shared" si="3"/>
        <v/>
      </c>
    </row>
    <row r="84" spans="9:9" x14ac:dyDescent="0.25">
      <c r="I84" t="str">
        <f t="shared" si="3"/>
        <v/>
      </c>
    </row>
    <row r="85" spans="9:9" x14ac:dyDescent="0.25">
      <c r="I85" t="str">
        <f t="shared" si="3"/>
        <v/>
      </c>
    </row>
    <row r="86" spans="9:9" x14ac:dyDescent="0.25">
      <c r="I86" t="str">
        <f t="shared" si="3"/>
        <v/>
      </c>
    </row>
    <row r="87" spans="9:9" x14ac:dyDescent="0.25">
      <c r="I87" t="str">
        <f t="shared" si="3"/>
        <v/>
      </c>
    </row>
    <row r="88" spans="9:9" x14ac:dyDescent="0.25">
      <c r="I88" t="str">
        <f t="shared" si="3"/>
        <v/>
      </c>
    </row>
    <row r="89" spans="9:9" x14ac:dyDescent="0.25">
      <c r="I89" t="str">
        <f t="shared" si="3"/>
        <v/>
      </c>
    </row>
    <row r="90" spans="9:9" x14ac:dyDescent="0.25">
      <c r="I90" t="str">
        <f t="shared" si="3"/>
        <v/>
      </c>
    </row>
    <row r="91" spans="9:9" x14ac:dyDescent="0.25">
      <c r="I91" t="str">
        <f t="shared" si="3"/>
        <v/>
      </c>
    </row>
    <row r="92" spans="9:9" x14ac:dyDescent="0.25">
      <c r="I92" t="str">
        <f t="shared" si="3"/>
        <v/>
      </c>
    </row>
    <row r="93" spans="9:9" x14ac:dyDescent="0.25">
      <c r="I93" t="str">
        <f t="shared" si="3"/>
        <v/>
      </c>
    </row>
    <row r="94" spans="9:9" x14ac:dyDescent="0.25">
      <c r="I94" t="str">
        <f t="shared" si="3"/>
        <v/>
      </c>
    </row>
    <row r="95" spans="9:9" x14ac:dyDescent="0.25">
      <c r="I95" t="str">
        <f t="shared" si="3"/>
        <v/>
      </c>
    </row>
    <row r="96" spans="9:9" x14ac:dyDescent="0.25">
      <c r="I96" t="str">
        <f t="shared" si="3"/>
        <v/>
      </c>
    </row>
    <row r="97" spans="9:9" x14ac:dyDescent="0.25">
      <c r="I97" t="str">
        <f t="shared" si="3"/>
        <v/>
      </c>
    </row>
    <row r="98" spans="9:9" x14ac:dyDescent="0.25">
      <c r="I98" t="str">
        <f t="shared" si="3"/>
        <v/>
      </c>
    </row>
    <row r="99" spans="9:9" x14ac:dyDescent="0.25">
      <c r="I99" t="str">
        <f t="shared" si="3"/>
        <v/>
      </c>
    </row>
    <row r="100" spans="9:9" x14ac:dyDescent="0.25">
      <c r="I100" t="str">
        <f t="shared" si="3"/>
        <v/>
      </c>
    </row>
    <row r="101" spans="9:9" x14ac:dyDescent="0.25">
      <c r="I101" t="str">
        <f t="shared" si="3"/>
        <v/>
      </c>
    </row>
    <row r="102" spans="9:9" x14ac:dyDescent="0.25">
      <c r="I102" t="str">
        <f t="shared" si="3"/>
        <v/>
      </c>
    </row>
    <row r="103" spans="9:9" x14ac:dyDescent="0.25">
      <c r="I103" t="str">
        <f t="shared" si="3"/>
        <v/>
      </c>
    </row>
    <row r="104" spans="9:9" x14ac:dyDescent="0.25">
      <c r="I104" t="str">
        <f t="shared" si="3"/>
        <v/>
      </c>
    </row>
    <row r="105" spans="9:9" x14ac:dyDescent="0.25">
      <c r="I105" t="str">
        <f t="shared" si="3"/>
        <v/>
      </c>
    </row>
    <row r="106" spans="9:9" x14ac:dyDescent="0.25">
      <c r="I106" t="str">
        <f t="shared" si="3"/>
        <v/>
      </c>
    </row>
    <row r="107" spans="9:9" x14ac:dyDescent="0.25">
      <c r="I107" t="str">
        <f t="shared" si="3"/>
        <v/>
      </c>
    </row>
    <row r="108" spans="9:9" x14ac:dyDescent="0.25">
      <c r="I108" t="str">
        <f t="shared" si="3"/>
        <v/>
      </c>
    </row>
    <row r="109" spans="9:9" x14ac:dyDescent="0.25">
      <c r="I109" t="str">
        <f t="shared" si="3"/>
        <v/>
      </c>
    </row>
    <row r="110" spans="9:9" x14ac:dyDescent="0.25">
      <c r="I110" t="str">
        <f t="shared" si="3"/>
        <v/>
      </c>
    </row>
    <row r="111" spans="9:9" x14ac:dyDescent="0.25">
      <c r="I111" t="str">
        <f t="shared" si="3"/>
        <v/>
      </c>
    </row>
    <row r="112" spans="9:9" x14ac:dyDescent="0.25">
      <c r="I112" t="str">
        <f t="shared" si="3"/>
        <v/>
      </c>
    </row>
    <row r="113" spans="9:9" x14ac:dyDescent="0.25">
      <c r="I113" t="str">
        <f t="shared" si="3"/>
        <v/>
      </c>
    </row>
    <row r="114" spans="9:9" x14ac:dyDescent="0.25">
      <c r="I114" t="str">
        <f t="shared" si="3"/>
        <v/>
      </c>
    </row>
    <row r="115" spans="9:9" x14ac:dyDescent="0.25">
      <c r="I115" t="str">
        <f t="shared" si="3"/>
        <v/>
      </c>
    </row>
    <row r="116" spans="9:9" x14ac:dyDescent="0.25">
      <c r="I116" t="str">
        <f t="shared" si="3"/>
        <v/>
      </c>
    </row>
    <row r="117" spans="9:9" x14ac:dyDescent="0.25">
      <c r="I117" t="str">
        <f t="shared" si="3"/>
        <v/>
      </c>
    </row>
    <row r="118" spans="9:9" x14ac:dyDescent="0.25">
      <c r="I118" t="str">
        <f t="shared" si="3"/>
        <v/>
      </c>
    </row>
    <row r="119" spans="9:9" x14ac:dyDescent="0.25">
      <c r="I119" t="str">
        <f t="shared" si="3"/>
        <v/>
      </c>
    </row>
    <row r="120" spans="9:9" x14ac:dyDescent="0.25">
      <c r="I120" t="str">
        <f t="shared" si="3"/>
        <v/>
      </c>
    </row>
    <row r="121" spans="9:9" x14ac:dyDescent="0.25">
      <c r="I121" t="str">
        <f t="shared" si="3"/>
        <v/>
      </c>
    </row>
    <row r="122" spans="9:9" x14ac:dyDescent="0.25">
      <c r="I122" t="str">
        <f t="shared" si="3"/>
        <v/>
      </c>
    </row>
    <row r="123" spans="9:9" x14ac:dyDescent="0.25">
      <c r="I123" t="str">
        <f t="shared" si="3"/>
        <v/>
      </c>
    </row>
    <row r="124" spans="9:9" x14ac:dyDescent="0.25">
      <c r="I124" t="str">
        <f t="shared" si="3"/>
        <v/>
      </c>
    </row>
    <row r="125" spans="9:9" x14ac:dyDescent="0.25">
      <c r="I125" t="str">
        <f t="shared" si="3"/>
        <v/>
      </c>
    </row>
    <row r="126" spans="9:9" x14ac:dyDescent="0.25">
      <c r="I126" t="str">
        <f t="shared" si="3"/>
        <v/>
      </c>
    </row>
    <row r="127" spans="9:9" x14ac:dyDescent="0.25">
      <c r="I127" t="str">
        <f t="shared" si="3"/>
        <v/>
      </c>
    </row>
    <row r="128" spans="9:9" x14ac:dyDescent="0.25">
      <c r="I128" t="str">
        <f t="shared" si="3"/>
        <v/>
      </c>
    </row>
    <row r="129" spans="9:9" x14ac:dyDescent="0.25">
      <c r="I129" t="str">
        <f t="shared" si="3"/>
        <v/>
      </c>
    </row>
    <row r="130" spans="9:9" x14ac:dyDescent="0.25">
      <c r="I130" t="str">
        <f t="shared" si="3"/>
        <v/>
      </c>
    </row>
    <row r="131" spans="9:9" x14ac:dyDescent="0.25">
      <c r="I131" t="str">
        <f t="shared" si="3"/>
        <v/>
      </c>
    </row>
    <row r="132" spans="9:9" x14ac:dyDescent="0.25">
      <c r="I132" t="str">
        <f t="shared" ref="I132:I195" si="4">IF(ISBLANK(A132),"",CONCATENATE("Замена ",H132," блока ",B132,"x",C132,"(h)","мм."))</f>
        <v/>
      </c>
    </row>
    <row r="133" spans="9:9" x14ac:dyDescent="0.25">
      <c r="I133" t="str">
        <f t="shared" si="4"/>
        <v/>
      </c>
    </row>
    <row r="134" spans="9:9" x14ac:dyDescent="0.25">
      <c r="I134" t="str">
        <f t="shared" si="4"/>
        <v/>
      </c>
    </row>
    <row r="135" spans="9:9" x14ac:dyDescent="0.25">
      <c r="I135" t="str">
        <f t="shared" si="4"/>
        <v/>
      </c>
    </row>
    <row r="136" spans="9:9" x14ac:dyDescent="0.25">
      <c r="I136" t="str">
        <f t="shared" si="4"/>
        <v/>
      </c>
    </row>
    <row r="137" spans="9:9" x14ac:dyDescent="0.25">
      <c r="I137" t="str">
        <f t="shared" si="4"/>
        <v/>
      </c>
    </row>
    <row r="138" spans="9:9" x14ac:dyDescent="0.25">
      <c r="I138" t="str">
        <f t="shared" si="4"/>
        <v/>
      </c>
    </row>
    <row r="139" spans="9:9" x14ac:dyDescent="0.25">
      <c r="I139" t="str">
        <f t="shared" si="4"/>
        <v/>
      </c>
    </row>
    <row r="140" spans="9:9" x14ac:dyDescent="0.25">
      <c r="I140" t="str">
        <f t="shared" si="4"/>
        <v/>
      </c>
    </row>
    <row r="141" spans="9:9" x14ac:dyDescent="0.25">
      <c r="I141" t="str">
        <f t="shared" si="4"/>
        <v/>
      </c>
    </row>
    <row r="142" spans="9:9" x14ac:dyDescent="0.25">
      <c r="I142" t="str">
        <f t="shared" si="4"/>
        <v/>
      </c>
    </row>
    <row r="143" spans="9:9" x14ac:dyDescent="0.25">
      <c r="I143" t="str">
        <f t="shared" si="4"/>
        <v/>
      </c>
    </row>
    <row r="144" spans="9:9" x14ac:dyDescent="0.25">
      <c r="I144" t="str">
        <f t="shared" si="4"/>
        <v/>
      </c>
    </row>
    <row r="145" spans="9:9" x14ac:dyDescent="0.25">
      <c r="I145" t="str">
        <f t="shared" si="4"/>
        <v/>
      </c>
    </row>
    <row r="146" spans="9:9" x14ac:dyDescent="0.25">
      <c r="I146" t="str">
        <f t="shared" si="4"/>
        <v/>
      </c>
    </row>
    <row r="147" spans="9:9" x14ac:dyDescent="0.25">
      <c r="I147" t="str">
        <f t="shared" si="4"/>
        <v/>
      </c>
    </row>
    <row r="148" spans="9:9" x14ac:dyDescent="0.25">
      <c r="I148" t="str">
        <f t="shared" si="4"/>
        <v/>
      </c>
    </row>
    <row r="149" spans="9:9" x14ac:dyDescent="0.25">
      <c r="I149" t="str">
        <f t="shared" si="4"/>
        <v/>
      </c>
    </row>
    <row r="150" spans="9:9" x14ac:dyDescent="0.25">
      <c r="I150" t="str">
        <f t="shared" si="4"/>
        <v/>
      </c>
    </row>
    <row r="151" spans="9:9" x14ac:dyDescent="0.25">
      <c r="I151" t="str">
        <f t="shared" si="4"/>
        <v/>
      </c>
    </row>
    <row r="152" spans="9:9" x14ac:dyDescent="0.25">
      <c r="I152" t="str">
        <f t="shared" si="4"/>
        <v/>
      </c>
    </row>
    <row r="153" spans="9:9" x14ac:dyDescent="0.25">
      <c r="I153" t="str">
        <f t="shared" si="4"/>
        <v/>
      </c>
    </row>
    <row r="154" spans="9:9" x14ac:dyDescent="0.25">
      <c r="I154" t="str">
        <f t="shared" si="4"/>
        <v/>
      </c>
    </row>
    <row r="155" spans="9:9" x14ac:dyDescent="0.25">
      <c r="I155" t="str">
        <f t="shared" si="4"/>
        <v/>
      </c>
    </row>
    <row r="156" spans="9:9" x14ac:dyDescent="0.25">
      <c r="I156" t="str">
        <f t="shared" si="4"/>
        <v/>
      </c>
    </row>
    <row r="157" spans="9:9" x14ac:dyDescent="0.25">
      <c r="I157" t="str">
        <f t="shared" si="4"/>
        <v/>
      </c>
    </row>
    <row r="158" spans="9:9" x14ac:dyDescent="0.25">
      <c r="I158" t="str">
        <f t="shared" si="4"/>
        <v/>
      </c>
    </row>
    <row r="159" spans="9:9" x14ac:dyDescent="0.25">
      <c r="I159" t="str">
        <f t="shared" si="4"/>
        <v/>
      </c>
    </row>
    <row r="160" spans="9:9" x14ac:dyDescent="0.25">
      <c r="I160" t="str">
        <f t="shared" si="4"/>
        <v/>
      </c>
    </row>
    <row r="161" spans="9:9" x14ac:dyDescent="0.25">
      <c r="I161" t="str">
        <f t="shared" si="4"/>
        <v/>
      </c>
    </row>
    <row r="162" spans="9:9" x14ac:dyDescent="0.25">
      <c r="I162" t="str">
        <f t="shared" si="4"/>
        <v/>
      </c>
    </row>
    <row r="163" spans="9:9" x14ac:dyDescent="0.25">
      <c r="I163" t="str">
        <f t="shared" si="4"/>
        <v/>
      </c>
    </row>
    <row r="164" spans="9:9" x14ac:dyDescent="0.25">
      <c r="I164" t="str">
        <f t="shared" si="4"/>
        <v/>
      </c>
    </row>
    <row r="165" spans="9:9" x14ac:dyDescent="0.25">
      <c r="I165" t="str">
        <f t="shared" si="4"/>
        <v/>
      </c>
    </row>
    <row r="166" spans="9:9" x14ac:dyDescent="0.25">
      <c r="I166" t="str">
        <f t="shared" si="4"/>
        <v/>
      </c>
    </row>
    <row r="167" spans="9:9" x14ac:dyDescent="0.25">
      <c r="I167" t="str">
        <f t="shared" si="4"/>
        <v/>
      </c>
    </row>
    <row r="168" spans="9:9" x14ac:dyDescent="0.25">
      <c r="I168" t="str">
        <f t="shared" si="4"/>
        <v/>
      </c>
    </row>
    <row r="169" spans="9:9" x14ac:dyDescent="0.25">
      <c r="I169" t="str">
        <f t="shared" si="4"/>
        <v/>
      </c>
    </row>
    <row r="170" spans="9:9" x14ac:dyDescent="0.25">
      <c r="I170" t="str">
        <f t="shared" si="4"/>
        <v/>
      </c>
    </row>
    <row r="171" spans="9:9" x14ac:dyDescent="0.25">
      <c r="I171" t="str">
        <f t="shared" si="4"/>
        <v/>
      </c>
    </row>
    <row r="172" spans="9:9" x14ac:dyDescent="0.25">
      <c r="I172" t="str">
        <f t="shared" si="4"/>
        <v/>
      </c>
    </row>
    <row r="173" spans="9:9" x14ac:dyDescent="0.25">
      <c r="I173" t="str">
        <f t="shared" si="4"/>
        <v/>
      </c>
    </row>
    <row r="174" spans="9:9" x14ac:dyDescent="0.25">
      <c r="I174" t="str">
        <f t="shared" si="4"/>
        <v/>
      </c>
    </row>
    <row r="175" spans="9:9" x14ac:dyDescent="0.25">
      <c r="I175" t="str">
        <f t="shared" si="4"/>
        <v/>
      </c>
    </row>
    <row r="176" spans="9:9" x14ac:dyDescent="0.25">
      <c r="I176" t="str">
        <f t="shared" si="4"/>
        <v/>
      </c>
    </row>
    <row r="177" spans="9:9" x14ac:dyDescent="0.25">
      <c r="I177" t="str">
        <f t="shared" si="4"/>
        <v/>
      </c>
    </row>
    <row r="178" spans="9:9" x14ac:dyDescent="0.25">
      <c r="I178" t="str">
        <f t="shared" si="4"/>
        <v/>
      </c>
    </row>
    <row r="179" spans="9:9" x14ac:dyDescent="0.25">
      <c r="I179" t="str">
        <f t="shared" si="4"/>
        <v/>
      </c>
    </row>
    <row r="180" spans="9:9" x14ac:dyDescent="0.25">
      <c r="I180" t="str">
        <f t="shared" si="4"/>
        <v/>
      </c>
    </row>
    <row r="181" spans="9:9" x14ac:dyDescent="0.25">
      <c r="I181" t="str">
        <f t="shared" si="4"/>
        <v/>
      </c>
    </row>
    <row r="182" spans="9:9" x14ac:dyDescent="0.25">
      <c r="I182" t="str">
        <f t="shared" si="4"/>
        <v/>
      </c>
    </row>
    <row r="183" spans="9:9" x14ac:dyDescent="0.25">
      <c r="I183" t="str">
        <f t="shared" si="4"/>
        <v/>
      </c>
    </row>
    <row r="184" spans="9:9" x14ac:dyDescent="0.25">
      <c r="I184" t="str">
        <f t="shared" si="4"/>
        <v/>
      </c>
    </row>
    <row r="185" spans="9:9" x14ac:dyDescent="0.25">
      <c r="I185" t="str">
        <f t="shared" si="4"/>
        <v/>
      </c>
    </row>
    <row r="186" spans="9:9" x14ac:dyDescent="0.25">
      <c r="I186" t="str">
        <f t="shared" si="4"/>
        <v/>
      </c>
    </row>
    <row r="187" spans="9:9" x14ac:dyDescent="0.25">
      <c r="I187" t="str">
        <f t="shared" si="4"/>
        <v/>
      </c>
    </row>
    <row r="188" spans="9:9" x14ac:dyDescent="0.25">
      <c r="I188" t="str">
        <f t="shared" si="4"/>
        <v/>
      </c>
    </row>
    <row r="189" spans="9:9" x14ac:dyDescent="0.25">
      <c r="I189" t="str">
        <f t="shared" si="4"/>
        <v/>
      </c>
    </row>
    <row r="190" spans="9:9" x14ac:dyDescent="0.25">
      <c r="I190" t="str">
        <f t="shared" si="4"/>
        <v/>
      </c>
    </row>
    <row r="191" spans="9:9" x14ac:dyDescent="0.25">
      <c r="I191" t="str">
        <f t="shared" si="4"/>
        <v/>
      </c>
    </row>
    <row r="192" spans="9:9" x14ac:dyDescent="0.25">
      <c r="I192" t="str">
        <f t="shared" si="4"/>
        <v/>
      </c>
    </row>
    <row r="193" spans="9:9" x14ac:dyDescent="0.25">
      <c r="I193" t="str">
        <f t="shared" si="4"/>
        <v/>
      </c>
    </row>
    <row r="194" spans="9:9" x14ac:dyDescent="0.25">
      <c r="I194" t="str">
        <f t="shared" si="4"/>
        <v/>
      </c>
    </row>
    <row r="195" spans="9:9" x14ac:dyDescent="0.25">
      <c r="I195" t="str">
        <f t="shared" si="4"/>
        <v/>
      </c>
    </row>
    <row r="196" spans="9:9" x14ac:dyDescent="0.25">
      <c r="I196" t="str">
        <f t="shared" ref="I196:I259" si="5">IF(ISBLANK(A196),"",CONCATENATE("Замена ",H196," блока ",B196,"x",C196,"(h)","мм."))</f>
        <v/>
      </c>
    </row>
    <row r="197" spans="9:9" x14ac:dyDescent="0.25">
      <c r="I197" t="str">
        <f t="shared" si="5"/>
        <v/>
      </c>
    </row>
    <row r="198" spans="9:9" x14ac:dyDescent="0.25">
      <c r="I198" t="str">
        <f t="shared" si="5"/>
        <v/>
      </c>
    </row>
    <row r="199" spans="9:9" x14ac:dyDescent="0.25">
      <c r="I199" t="str">
        <f t="shared" si="5"/>
        <v/>
      </c>
    </row>
    <row r="200" spans="9:9" x14ac:dyDescent="0.25">
      <c r="I200" t="str">
        <f t="shared" si="5"/>
        <v/>
      </c>
    </row>
    <row r="201" spans="9:9" x14ac:dyDescent="0.25">
      <c r="I201" t="str">
        <f t="shared" si="5"/>
        <v/>
      </c>
    </row>
    <row r="202" spans="9:9" x14ac:dyDescent="0.25">
      <c r="I202" t="str">
        <f t="shared" si="5"/>
        <v/>
      </c>
    </row>
    <row r="203" spans="9:9" x14ac:dyDescent="0.25">
      <c r="I203" t="str">
        <f t="shared" si="5"/>
        <v/>
      </c>
    </row>
    <row r="204" spans="9:9" x14ac:dyDescent="0.25">
      <c r="I204" t="str">
        <f t="shared" si="5"/>
        <v/>
      </c>
    </row>
    <row r="205" spans="9:9" x14ac:dyDescent="0.25">
      <c r="I205" t="str">
        <f t="shared" si="5"/>
        <v/>
      </c>
    </row>
    <row r="206" spans="9:9" x14ac:dyDescent="0.25">
      <c r="I206" t="str">
        <f t="shared" si="5"/>
        <v/>
      </c>
    </row>
    <row r="207" spans="9:9" x14ac:dyDescent="0.25">
      <c r="I207" t="str">
        <f t="shared" si="5"/>
        <v/>
      </c>
    </row>
    <row r="208" spans="9:9" x14ac:dyDescent="0.25">
      <c r="I208" t="str">
        <f t="shared" si="5"/>
        <v/>
      </c>
    </row>
    <row r="209" spans="9:9" x14ac:dyDescent="0.25">
      <c r="I209" t="str">
        <f t="shared" si="5"/>
        <v/>
      </c>
    </row>
    <row r="210" spans="9:9" x14ac:dyDescent="0.25">
      <c r="I210" t="str">
        <f t="shared" si="5"/>
        <v/>
      </c>
    </row>
    <row r="211" spans="9:9" x14ac:dyDescent="0.25">
      <c r="I211" t="str">
        <f t="shared" si="5"/>
        <v/>
      </c>
    </row>
    <row r="212" spans="9:9" x14ac:dyDescent="0.25">
      <c r="I212" t="str">
        <f t="shared" si="5"/>
        <v/>
      </c>
    </row>
    <row r="213" spans="9:9" x14ac:dyDescent="0.25">
      <c r="I213" t="str">
        <f t="shared" si="5"/>
        <v/>
      </c>
    </row>
    <row r="214" spans="9:9" x14ac:dyDescent="0.25">
      <c r="I214" t="str">
        <f t="shared" si="5"/>
        <v/>
      </c>
    </row>
    <row r="215" spans="9:9" x14ac:dyDescent="0.25">
      <c r="I215" t="str">
        <f t="shared" si="5"/>
        <v/>
      </c>
    </row>
    <row r="216" spans="9:9" x14ac:dyDescent="0.25">
      <c r="I216" t="str">
        <f t="shared" si="5"/>
        <v/>
      </c>
    </row>
    <row r="217" spans="9:9" x14ac:dyDescent="0.25">
      <c r="I217" t="str">
        <f t="shared" si="5"/>
        <v/>
      </c>
    </row>
    <row r="218" spans="9:9" x14ac:dyDescent="0.25">
      <c r="I218" t="str">
        <f t="shared" si="5"/>
        <v/>
      </c>
    </row>
    <row r="219" spans="9:9" x14ac:dyDescent="0.25">
      <c r="I219" t="str">
        <f t="shared" si="5"/>
        <v/>
      </c>
    </row>
    <row r="220" spans="9:9" x14ac:dyDescent="0.25">
      <c r="I220" t="str">
        <f t="shared" si="5"/>
        <v/>
      </c>
    </row>
    <row r="221" spans="9:9" x14ac:dyDescent="0.25">
      <c r="I221" t="str">
        <f t="shared" si="5"/>
        <v/>
      </c>
    </row>
    <row r="222" spans="9:9" x14ac:dyDescent="0.25">
      <c r="I222" t="str">
        <f t="shared" si="5"/>
        <v/>
      </c>
    </row>
    <row r="223" spans="9:9" x14ac:dyDescent="0.25">
      <c r="I223" t="str">
        <f t="shared" si="5"/>
        <v/>
      </c>
    </row>
    <row r="224" spans="9:9" x14ac:dyDescent="0.25">
      <c r="I224" t="str">
        <f t="shared" si="5"/>
        <v/>
      </c>
    </row>
    <row r="225" spans="9:9" x14ac:dyDescent="0.25">
      <c r="I225" t="str">
        <f t="shared" si="5"/>
        <v/>
      </c>
    </row>
    <row r="226" spans="9:9" x14ac:dyDescent="0.25">
      <c r="I226" t="str">
        <f t="shared" si="5"/>
        <v/>
      </c>
    </row>
    <row r="227" spans="9:9" x14ac:dyDescent="0.25">
      <c r="I227" t="str">
        <f t="shared" si="5"/>
        <v/>
      </c>
    </row>
    <row r="228" spans="9:9" x14ac:dyDescent="0.25">
      <c r="I228" t="str">
        <f t="shared" si="5"/>
        <v/>
      </c>
    </row>
    <row r="229" spans="9:9" x14ac:dyDescent="0.25">
      <c r="I229" t="str">
        <f t="shared" si="5"/>
        <v/>
      </c>
    </row>
    <row r="230" spans="9:9" x14ac:dyDescent="0.25">
      <c r="I230" t="str">
        <f t="shared" si="5"/>
        <v/>
      </c>
    </row>
    <row r="231" spans="9:9" x14ac:dyDescent="0.25">
      <c r="I231" t="str">
        <f t="shared" si="5"/>
        <v/>
      </c>
    </row>
    <row r="232" spans="9:9" x14ac:dyDescent="0.25">
      <c r="I232" t="str">
        <f t="shared" si="5"/>
        <v/>
      </c>
    </row>
    <row r="233" spans="9:9" x14ac:dyDescent="0.25">
      <c r="I233" t="str">
        <f t="shared" si="5"/>
        <v/>
      </c>
    </row>
    <row r="234" spans="9:9" x14ac:dyDescent="0.25">
      <c r="I234" t="str">
        <f t="shared" si="5"/>
        <v/>
      </c>
    </row>
    <row r="235" spans="9:9" x14ac:dyDescent="0.25">
      <c r="I235" t="str">
        <f t="shared" si="5"/>
        <v/>
      </c>
    </row>
    <row r="236" spans="9:9" x14ac:dyDescent="0.25">
      <c r="I236" t="str">
        <f t="shared" si="5"/>
        <v/>
      </c>
    </row>
    <row r="237" spans="9:9" x14ac:dyDescent="0.25">
      <c r="I237" t="str">
        <f t="shared" si="5"/>
        <v/>
      </c>
    </row>
    <row r="238" spans="9:9" x14ac:dyDescent="0.25">
      <c r="I238" t="str">
        <f t="shared" si="5"/>
        <v/>
      </c>
    </row>
    <row r="239" spans="9:9" x14ac:dyDescent="0.25">
      <c r="I239" t="str">
        <f t="shared" si="5"/>
        <v/>
      </c>
    </row>
    <row r="240" spans="9:9" x14ac:dyDescent="0.25">
      <c r="I240" t="str">
        <f t="shared" si="5"/>
        <v/>
      </c>
    </row>
    <row r="241" spans="9:9" x14ac:dyDescent="0.25">
      <c r="I241" t="str">
        <f t="shared" si="5"/>
        <v/>
      </c>
    </row>
    <row r="242" spans="9:9" x14ac:dyDescent="0.25">
      <c r="I242" t="str">
        <f t="shared" si="5"/>
        <v/>
      </c>
    </row>
    <row r="243" spans="9:9" x14ac:dyDescent="0.25">
      <c r="I243" t="str">
        <f t="shared" si="5"/>
        <v/>
      </c>
    </row>
    <row r="244" spans="9:9" x14ac:dyDescent="0.25">
      <c r="I244" t="str">
        <f t="shared" si="5"/>
        <v/>
      </c>
    </row>
    <row r="245" spans="9:9" x14ac:dyDescent="0.25">
      <c r="I245" t="str">
        <f t="shared" si="5"/>
        <v/>
      </c>
    </row>
    <row r="246" spans="9:9" x14ac:dyDescent="0.25">
      <c r="I246" t="str">
        <f t="shared" si="5"/>
        <v/>
      </c>
    </row>
    <row r="247" spans="9:9" x14ac:dyDescent="0.25">
      <c r="I247" t="str">
        <f t="shared" si="5"/>
        <v/>
      </c>
    </row>
    <row r="248" spans="9:9" x14ac:dyDescent="0.25">
      <c r="I248" t="str">
        <f t="shared" si="5"/>
        <v/>
      </c>
    </row>
    <row r="249" spans="9:9" x14ac:dyDescent="0.25">
      <c r="I249" t="str">
        <f t="shared" si="5"/>
        <v/>
      </c>
    </row>
    <row r="250" spans="9:9" x14ac:dyDescent="0.25">
      <c r="I250" t="str">
        <f t="shared" si="5"/>
        <v/>
      </c>
    </row>
    <row r="251" spans="9:9" x14ac:dyDescent="0.25">
      <c r="I251" t="str">
        <f t="shared" si="5"/>
        <v/>
      </c>
    </row>
    <row r="252" spans="9:9" x14ac:dyDescent="0.25">
      <c r="I252" t="str">
        <f t="shared" si="5"/>
        <v/>
      </c>
    </row>
    <row r="253" spans="9:9" x14ac:dyDescent="0.25">
      <c r="I253" t="str">
        <f t="shared" si="5"/>
        <v/>
      </c>
    </row>
    <row r="254" spans="9:9" x14ac:dyDescent="0.25">
      <c r="I254" t="str">
        <f t="shared" si="5"/>
        <v/>
      </c>
    </row>
    <row r="255" spans="9:9" x14ac:dyDescent="0.25">
      <c r="I255" t="str">
        <f t="shared" si="5"/>
        <v/>
      </c>
    </row>
    <row r="256" spans="9:9" x14ac:dyDescent="0.25">
      <c r="I256" t="str">
        <f t="shared" si="5"/>
        <v/>
      </c>
    </row>
    <row r="257" spans="9:9" x14ac:dyDescent="0.25">
      <c r="I257" t="str">
        <f t="shared" si="5"/>
        <v/>
      </c>
    </row>
    <row r="258" spans="9:9" x14ac:dyDescent="0.25">
      <c r="I258" t="str">
        <f t="shared" si="5"/>
        <v/>
      </c>
    </row>
    <row r="259" spans="9:9" x14ac:dyDescent="0.25">
      <c r="I259" t="str">
        <f t="shared" si="5"/>
        <v/>
      </c>
    </row>
    <row r="260" spans="9:9" x14ac:dyDescent="0.25">
      <c r="I260" t="str">
        <f t="shared" ref="I260:I323" si="6">IF(ISBLANK(A260),"",CONCATENATE("Замена ",H260," блока ",B260,"x",C260,"(h)","мм."))</f>
        <v/>
      </c>
    </row>
    <row r="261" spans="9:9" x14ac:dyDescent="0.25">
      <c r="I261" t="str">
        <f t="shared" si="6"/>
        <v/>
      </c>
    </row>
    <row r="262" spans="9:9" x14ac:dyDescent="0.25">
      <c r="I262" t="str">
        <f t="shared" si="6"/>
        <v/>
      </c>
    </row>
    <row r="263" spans="9:9" x14ac:dyDescent="0.25">
      <c r="I263" t="str">
        <f t="shared" si="6"/>
        <v/>
      </c>
    </row>
    <row r="264" spans="9:9" x14ac:dyDescent="0.25">
      <c r="I264" t="str">
        <f t="shared" si="6"/>
        <v/>
      </c>
    </row>
    <row r="265" spans="9:9" x14ac:dyDescent="0.25">
      <c r="I265" t="str">
        <f t="shared" si="6"/>
        <v/>
      </c>
    </row>
    <row r="266" spans="9:9" x14ac:dyDescent="0.25">
      <c r="I266" t="str">
        <f t="shared" si="6"/>
        <v/>
      </c>
    </row>
    <row r="267" spans="9:9" x14ac:dyDescent="0.25">
      <c r="I267" t="str">
        <f t="shared" si="6"/>
        <v/>
      </c>
    </row>
    <row r="268" spans="9:9" x14ac:dyDescent="0.25">
      <c r="I268" t="str">
        <f t="shared" si="6"/>
        <v/>
      </c>
    </row>
    <row r="269" spans="9:9" x14ac:dyDescent="0.25">
      <c r="I269" t="str">
        <f t="shared" si="6"/>
        <v/>
      </c>
    </row>
    <row r="270" spans="9:9" x14ac:dyDescent="0.25">
      <c r="I270" t="str">
        <f t="shared" si="6"/>
        <v/>
      </c>
    </row>
    <row r="271" spans="9:9" x14ac:dyDescent="0.25">
      <c r="I271" t="str">
        <f t="shared" si="6"/>
        <v/>
      </c>
    </row>
    <row r="272" spans="9:9" x14ac:dyDescent="0.25">
      <c r="I272" t="str">
        <f t="shared" si="6"/>
        <v/>
      </c>
    </row>
    <row r="273" spans="9:9" x14ac:dyDescent="0.25">
      <c r="I273" t="str">
        <f t="shared" si="6"/>
        <v/>
      </c>
    </row>
    <row r="274" spans="9:9" x14ac:dyDescent="0.25">
      <c r="I274" t="str">
        <f t="shared" si="6"/>
        <v/>
      </c>
    </row>
    <row r="275" spans="9:9" x14ac:dyDescent="0.25">
      <c r="I275" t="str">
        <f t="shared" si="6"/>
        <v/>
      </c>
    </row>
    <row r="276" spans="9:9" x14ac:dyDescent="0.25">
      <c r="I276" t="str">
        <f t="shared" si="6"/>
        <v/>
      </c>
    </row>
    <row r="277" spans="9:9" x14ac:dyDescent="0.25">
      <c r="I277" t="str">
        <f t="shared" si="6"/>
        <v/>
      </c>
    </row>
    <row r="278" spans="9:9" x14ac:dyDescent="0.25">
      <c r="I278" t="str">
        <f t="shared" si="6"/>
        <v/>
      </c>
    </row>
    <row r="279" spans="9:9" x14ac:dyDescent="0.25">
      <c r="I279" t="str">
        <f t="shared" si="6"/>
        <v/>
      </c>
    </row>
    <row r="280" spans="9:9" x14ac:dyDescent="0.25">
      <c r="I280" t="str">
        <f t="shared" si="6"/>
        <v/>
      </c>
    </row>
    <row r="281" spans="9:9" x14ac:dyDescent="0.25">
      <c r="I281" t="str">
        <f t="shared" si="6"/>
        <v/>
      </c>
    </row>
    <row r="282" spans="9:9" x14ac:dyDescent="0.25">
      <c r="I282" t="str">
        <f t="shared" si="6"/>
        <v/>
      </c>
    </row>
    <row r="283" spans="9:9" x14ac:dyDescent="0.25">
      <c r="I283" t="str">
        <f t="shared" si="6"/>
        <v/>
      </c>
    </row>
    <row r="284" spans="9:9" x14ac:dyDescent="0.25">
      <c r="I284" t="str">
        <f t="shared" si="6"/>
        <v/>
      </c>
    </row>
    <row r="285" spans="9:9" x14ac:dyDescent="0.25">
      <c r="I285" t="str">
        <f t="shared" si="6"/>
        <v/>
      </c>
    </row>
    <row r="286" spans="9:9" x14ac:dyDescent="0.25">
      <c r="I286" t="str">
        <f t="shared" si="6"/>
        <v/>
      </c>
    </row>
    <row r="287" spans="9:9" x14ac:dyDescent="0.25">
      <c r="I287" t="str">
        <f t="shared" si="6"/>
        <v/>
      </c>
    </row>
    <row r="288" spans="9:9" x14ac:dyDescent="0.25">
      <c r="I288" t="str">
        <f t="shared" si="6"/>
        <v/>
      </c>
    </row>
    <row r="289" spans="9:9" x14ac:dyDescent="0.25">
      <c r="I289" t="str">
        <f t="shared" si="6"/>
        <v/>
      </c>
    </row>
    <row r="290" spans="9:9" x14ac:dyDescent="0.25">
      <c r="I290" t="str">
        <f t="shared" si="6"/>
        <v/>
      </c>
    </row>
    <row r="291" spans="9:9" x14ac:dyDescent="0.25">
      <c r="I291" t="str">
        <f t="shared" si="6"/>
        <v/>
      </c>
    </row>
    <row r="292" spans="9:9" x14ac:dyDescent="0.25">
      <c r="I292" t="str">
        <f t="shared" si="6"/>
        <v/>
      </c>
    </row>
    <row r="293" spans="9:9" x14ac:dyDescent="0.25">
      <c r="I293" t="str">
        <f t="shared" si="6"/>
        <v/>
      </c>
    </row>
    <row r="294" spans="9:9" x14ac:dyDescent="0.25">
      <c r="I294" t="str">
        <f t="shared" si="6"/>
        <v/>
      </c>
    </row>
    <row r="295" spans="9:9" x14ac:dyDescent="0.25">
      <c r="I295" t="str">
        <f t="shared" si="6"/>
        <v/>
      </c>
    </row>
    <row r="296" spans="9:9" x14ac:dyDescent="0.25">
      <c r="I296" t="str">
        <f t="shared" si="6"/>
        <v/>
      </c>
    </row>
    <row r="297" spans="9:9" x14ac:dyDescent="0.25">
      <c r="I297" t="str">
        <f t="shared" si="6"/>
        <v/>
      </c>
    </row>
    <row r="298" spans="9:9" x14ac:dyDescent="0.25">
      <c r="I298" t="str">
        <f t="shared" si="6"/>
        <v/>
      </c>
    </row>
    <row r="299" spans="9:9" x14ac:dyDescent="0.25">
      <c r="I299" t="str">
        <f t="shared" si="6"/>
        <v/>
      </c>
    </row>
    <row r="300" spans="9:9" x14ac:dyDescent="0.25">
      <c r="I300" t="str">
        <f t="shared" si="6"/>
        <v/>
      </c>
    </row>
    <row r="301" spans="9:9" x14ac:dyDescent="0.25">
      <c r="I301" t="str">
        <f t="shared" si="6"/>
        <v/>
      </c>
    </row>
    <row r="302" spans="9:9" x14ac:dyDescent="0.25">
      <c r="I302" t="str">
        <f t="shared" si="6"/>
        <v/>
      </c>
    </row>
    <row r="303" spans="9:9" x14ac:dyDescent="0.25">
      <c r="I303" t="str">
        <f t="shared" si="6"/>
        <v/>
      </c>
    </row>
    <row r="304" spans="9:9" x14ac:dyDescent="0.25">
      <c r="I304" t="str">
        <f t="shared" si="6"/>
        <v/>
      </c>
    </row>
    <row r="305" spans="9:9" x14ac:dyDescent="0.25">
      <c r="I305" t="str">
        <f t="shared" si="6"/>
        <v/>
      </c>
    </row>
    <row r="306" spans="9:9" x14ac:dyDescent="0.25">
      <c r="I306" t="str">
        <f t="shared" si="6"/>
        <v/>
      </c>
    </row>
    <row r="307" spans="9:9" x14ac:dyDescent="0.25">
      <c r="I307" t="str">
        <f t="shared" si="6"/>
        <v/>
      </c>
    </row>
    <row r="308" spans="9:9" x14ac:dyDescent="0.25">
      <c r="I308" t="str">
        <f t="shared" si="6"/>
        <v/>
      </c>
    </row>
    <row r="309" spans="9:9" x14ac:dyDescent="0.25">
      <c r="I309" t="str">
        <f t="shared" si="6"/>
        <v/>
      </c>
    </row>
    <row r="310" spans="9:9" x14ac:dyDescent="0.25">
      <c r="I310" t="str">
        <f t="shared" si="6"/>
        <v/>
      </c>
    </row>
    <row r="311" spans="9:9" x14ac:dyDescent="0.25">
      <c r="I311" t="str">
        <f t="shared" si="6"/>
        <v/>
      </c>
    </row>
    <row r="312" spans="9:9" x14ac:dyDescent="0.25">
      <c r="I312" t="str">
        <f t="shared" si="6"/>
        <v/>
      </c>
    </row>
    <row r="313" spans="9:9" x14ac:dyDescent="0.25">
      <c r="I313" t="str">
        <f t="shared" si="6"/>
        <v/>
      </c>
    </row>
    <row r="314" spans="9:9" x14ac:dyDescent="0.25">
      <c r="I314" t="str">
        <f t="shared" si="6"/>
        <v/>
      </c>
    </row>
    <row r="315" spans="9:9" x14ac:dyDescent="0.25">
      <c r="I315" t="str">
        <f t="shared" si="6"/>
        <v/>
      </c>
    </row>
    <row r="316" spans="9:9" x14ac:dyDescent="0.25">
      <c r="I316" t="str">
        <f t="shared" si="6"/>
        <v/>
      </c>
    </row>
    <row r="317" spans="9:9" x14ac:dyDescent="0.25">
      <c r="I317" t="str">
        <f t="shared" si="6"/>
        <v/>
      </c>
    </row>
    <row r="318" spans="9:9" x14ac:dyDescent="0.25">
      <c r="I318" t="str">
        <f t="shared" si="6"/>
        <v/>
      </c>
    </row>
    <row r="319" spans="9:9" x14ac:dyDescent="0.25">
      <c r="I319" t="str">
        <f t="shared" si="6"/>
        <v/>
      </c>
    </row>
    <row r="320" spans="9:9" x14ac:dyDescent="0.25">
      <c r="I320" t="str">
        <f t="shared" si="6"/>
        <v/>
      </c>
    </row>
    <row r="321" spans="9:9" x14ac:dyDescent="0.25">
      <c r="I321" t="str">
        <f t="shared" si="6"/>
        <v/>
      </c>
    </row>
    <row r="322" spans="9:9" x14ac:dyDescent="0.25">
      <c r="I322" t="str">
        <f t="shared" si="6"/>
        <v/>
      </c>
    </row>
    <row r="323" spans="9:9" x14ac:dyDescent="0.25">
      <c r="I323" t="str">
        <f t="shared" si="6"/>
        <v/>
      </c>
    </row>
    <row r="324" spans="9:9" x14ac:dyDescent="0.25">
      <c r="I324" t="str">
        <f t="shared" ref="I324:I387" si="7">IF(ISBLANK(A324),"",CONCATENATE("Замена ",H324," блока ",B324,"x",C324,"(h)","мм."))</f>
        <v/>
      </c>
    </row>
    <row r="325" spans="9:9" x14ac:dyDescent="0.25">
      <c r="I325" t="str">
        <f t="shared" si="7"/>
        <v/>
      </c>
    </row>
    <row r="326" spans="9:9" x14ac:dyDescent="0.25">
      <c r="I326" t="str">
        <f t="shared" si="7"/>
        <v/>
      </c>
    </row>
    <row r="327" spans="9:9" x14ac:dyDescent="0.25">
      <c r="I327" t="str">
        <f t="shared" si="7"/>
        <v/>
      </c>
    </row>
    <row r="328" spans="9:9" x14ac:dyDescent="0.25">
      <c r="I328" t="str">
        <f t="shared" si="7"/>
        <v/>
      </c>
    </row>
    <row r="329" spans="9:9" x14ac:dyDescent="0.25">
      <c r="I329" t="str">
        <f t="shared" si="7"/>
        <v/>
      </c>
    </row>
    <row r="330" spans="9:9" x14ac:dyDescent="0.25">
      <c r="I330" t="str">
        <f t="shared" si="7"/>
        <v/>
      </c>
    </row>
    <row r="331" spans="9:9" x14ac:dyDescent="0.25">
      <c r="I331" t="str">
        <f t="shared" si="7"/>
        <v/>
      </c>
    </row>
    <row r="332" spans="9:9" x14ac:dyDescent="0.25">
      <c r="I332" t="str">
        <f t="shared" si="7"/>
        <v/>
      </c>
    </row>
    <row r="333" spans="9:9" x14ac:dyDescent="0.25">
      <c r="I333" t="str">
        <f t="shared" si="7"/>
        <v/>
      </c>
    </row>
    <row r="334" spans="9:9" x14ac:dyDescent="0.25">
      <c r="I334" t="str">
        <f t="shared" si="7"/>
        <v/>
      </c>
    </row>
    <row r="335" spans="9:9" x14ac:dyDescent="0.25">
      <c r="I335" t="str">
        <f t="shared" si="7"/>
        <v/>
      </c>
    </row>
    <row r="336" spans="9:9" x14ac:dyDescent="0.25">
      <c r="I336" t="str">
        <f t="shared" si="7"/>
        <v/>
      </c>
    </row>
    <row r="337" spans="9:9" x14ac:dyDescent="0.25">
      <c r="I337" t="str">
        <f t="shared" si="7"/>
        <v/>
      </c>
    </row>
    <row r="338" spans="9:9" x14ac:dyDescent="0.25">
      <c r="I338" t="str">
        <f t="shared" si="7"/>
        <v/>
      </c>
    </row>
    <row r="339" spans="9:9" x14ac:dyDescent="0.25">
      <c r="I339" t="str">
        <f t="shared" si="7"/>
        <v/>
      </c>
    </row>
    <row r="340" spans="9:9" x14ac:dyDescent="0.25">
      <c r="I340" t="str">
        <f t="shared" si="7"/>
        <v/>
      </c>
    </row>
    <row r="341" spans="9:9" x14ac:dyDescent="0.25">
      <c r="I341" t="str">
        <f t="shared" si="7"/>
        <v/>
      </c>
    </row>
    <row r="342" spans="9:9" x14ac:dyDescent="0.25">
      <c r="I342" t="str">
        <f t="shared" si="7"/>
        <v/>
      </c>
    </row>
    <row r="343" spans="9:9" x14ac:dyDescent="0.25">
      <c r="I343" t="str">
        <f t="shared" si="7"/>
        <v/>
      </c>
    </row>
    <row r="344" spans="9:9" x14ac:dyDescent="0.25">
      <c r="I344" t="str">
        <f t="shared" si="7"/>
        <v/>
      </c>
    </row>
    <row r="345" spans="9:9" x14ac:dyDescent="0.25">
      <c r="I345" t="str">
        <f t="shared" si="7"/>
        <v/>
      </c>
    </row>
    <row r="346" spans="9:9" x14ac:dyDescent="0.25">
      <c r="I346" t="str">
        <f t="shared" si="7"/>
        <v/>
      </c>
    </row>
    <row r="347" spans="9:9" x14ac:dyDescent="0.25">
      <c r="I347" t="str">
        <f t="shared" si="7"/>
        <v/>
      </c>
    </row>
    <row r="348" spans="9:9" x14ac:dyDescent="0.25">
      <c r="I348" t="str">
        <f t="shared" si="7"/>
        <v/>
      </c>
    </row>
    <row r="349" spans="9:9" x14ac:dyDescent="0.25">
      <c r="I349" t="str">
        <f t="shared" si="7"/>
        <v/>
      </c>
    </row>
    <row r="350" spans="9:9" x14ac:dyDescent="0.25">
      <c r="I350" t="str">
        <f t="shared" si="7"/>
        <v/>
      </c>
    </row>
    <row r="351" spans="9:9" x14ac:dyDescent="0.25">
      <c r="I351" t="str">
        <f t="shared" si="7"/>
        <v/>
      </c>
    </row>
    <row r="352" spans="9:9" x14ac:dyDescent="0.25">
      <c r="I352" t="str">
        <f t="shared" si="7"/>
        <v/>
      </c>
    </row>
    <row r="353" spans="9:9" x14ac:dyDescent="0.25">
      <c r="I353" t="str">
        <f t="shared" si="7"/>
        <v/>
      </c>
    </row>
    <row r="354" spans="9:9" x14ac:dyDescent="0.25">
      <c r="I354" t="str">
        <f t="shared" si="7"/>
        <v/>
      </c>
    </row>
    <row r="355" spans="9:9" x14ac:dyDescent="0.25">
      <c r="I355" t="str">
        <f t="shared" si="7"/>
        <v/>
      </c>
    </row>
    <row r="356" spans="9:9" x14ac:dyDescent="0.25">
      <c r="I356" t="str">
        <f t="shared" si="7"/>
        <v/>
      </c>
    </row>
    <row r="357" spans="9:9" x14ac:dyDescent="0.25">
      <c r="I357" t="str">
        <f t="shared" si="7"/>
        <v/>
      </c>
    </row>
    <row r="358" spans="9:9" x14ac:dyDescent="0.25">
      <c r="I358" t="str">
        <f t="shared" si="7"/>
        <v/>
      </c>
    </row>
    <row r="359" spans="9:9" x14ac:dyDescent="0.25">
      <c r="I359" t="str">
        <f t="shared" si="7"/>
        <v/>
      </c>
    </row>
    <row r="360" spans="9:9" x14ac:dyDescent="0.25">
      <c r="I360" t="str">
        <f t="shared" si="7"/>
        <v/>
      </c>
    </row>
    <row r="361" spans="9:9" x14ac:dyDescent="0.25">
      <c r="I361" t="str">
        <f t="shared" si="7"/>
        <v/>
      </c>
    </row>
    <row r="362" spans="9:9" x14ac:dyDescent="0.25">
      <c r="I362" t="str">
        <f t="shared" si="7"/>
        <v/>
      </c>
    </row>
    <row r="363" spans="9:9" x14ac:dyDescent="0.25">
      <c r="I363" t="str">
        <f t="shared" si="7"/>
        <v/>
      </c>
    </row>
    <row r="364" spans="9:9" x14ac:dyDescent="0.25">
      <c r="I364" t="str">
        <f t="shared" si="7"/>
        <v/>
      </c>
    </row>
    <row r="365" spans="9:9" x14ac:dyDescent="0.25">
      <c r="I365" t="str">
        <f t="shared" si="7"/>
        <v/>
      </c>
    </row>
    <row r="366" spans="9:9" x14ac:dyDescent="0.25">
      <c r="I366" t="str">
        <f t="shared" si="7"/>
        <v/>
      </c>
    </row>
    <row r="367" spans="9:9" x14ac:dyDescent="0.25">
      <c r="I367" t="str">
        <f t="shared" si="7"/>
        <v/>
      </c>
    </row>
    <row r="368" spans="9:9" x14ac:dyDescent="0.25">
      <c r="I368" t="str">
        <f t="shared" si="7"/>
        <v/>
      </c>
    </row>
    <row r="369" spans="9:9" x14ac:dyDescent="0.25">
      <c r="I369" t="str">
        <f t="shared" si="7"/>
        <v/>
      </c>
    </row>
    <row r="370" spans="9:9" x14ac:dyDescent="0.25">
      <c r="I370" t="str">
        <f t="shared" si="7"/>
        <v/>
      </c>
    </row>
    <row r="371" spans="9:9" x14ac:dyDescent="0.25">
      <c r="I371" t="str">
        <f t="shared" si="7"/>
        <v/>
      </c>
    </row>
    <row r="372" spans="9:9" x14ac:dyDescent="0.25">
      <c r="I372" t="str">
        <f t="shared" si="7"/>
        <v/>
      </c>
    </row>
    <row r="373" spans="9:9" x14ac:dyDescent="0.25">
      <c r="I373" t="str">
        <f t="shared" si="7"/>
        <v/>
      </c>
    </row>
    <row r="374" spans="9:9" x14ac:dyDescent="0.25">
      <c r="I374" t="str">
        <f t="shared" si="7"/>
        <v/>
      </c>
    </row>
    <row r="375" spans="9:9" x14ac:dyDescent="0.25">
      <c r="I375" t="str">
        <f t="shared" si="7"/>
        <v/>
      </c>
    </row>
    <row r="376" spans="9:9" x14ac:dyDescent="0.25">
      <c r="I376" t="str">
        <f t="shared" si="7"/>
        <v/>
      </c>
    </row>
    <row r="377" spans="9:9" x14ac:dyDescent="0.25">
      <c r="I377" t="str">
        <f t="shared" si="7"/>
        <v/>
      </c>
    </row>
    <row r="378" spans="9:9" x14ac:dyDescent="0.25">
      <c r="I378" t="str">
        <f t="shared" si="7"/>
        <v/>
      </c>
    </row>
    <row r="379" spans="9:9" x14ac:dyDescent="0.25">
      <c r="I379" t="str">
        <f t="shared" si="7"/>
        <v/>
      </c>
    </row>
    <row r="380" spans="9:9" x14ac:dyDescent="0.25">
      <c r="I380" t="str">
        <f t="shared" si="7"/>
        <v/>
      </c>
    </row>
    <row r="381" spans="9:9" x14ac:dyDescent="0.25">
      <c r="I381" t="str">
        <f t="shared" si="7"/>
        <v/>
      </c>
    </row>
    <row r="382" spans="9:9" x14ac:dyDescent="0.25">
      <c r="I382" t="str">
        <f t="shared" si="7"/>
        <v/>
      </c>
    </row>
    <row r="383" spans="9:9" x14ac:dyDescent="0.25">
      <c r="I383" t="str">
        <f t="shared" si="7"/>
        <v/>
      </c>
    </row>
    <row r="384" spans="9:9" x14ac:dyDescent="0.25">
      <c r="I384" t="str">
        <f t="shared" si="7"/>
        <v/>
      </c>
    </row>
    <row r="385" spans="9:9" x14ac:dyDescent="0.25">
      <c r="I385" t="str">
        <f t="shared" si="7"/>
        <v/>
      </c>
    </row>
    <row r="386" spans="9:9" x14ac:dyDescent="0.25">
      <c r="I386" t="str">
        <f t="shared" si="7"/>
        <v/>
      </c>
    </row>
    <row r="387" spans="9:9" x14ac:dyDescent="0.25">
      <c r="I387" t="str">
        <f t="shared" si="7"/>
        <v/>
      </c>
    </row>
    <row r="388" spans="9:9" x14ac:dyDescent="0.25">
      <c r="I388" t="str">
        <f t="shared" ref="I388:I451" si="8">IF(ISBLANK(A388),"",CONCATENATE("Замена ",H388," блока ",B388,"x",C388,"(h)","мм."))</f>
        <v/>
      </c>
    </row>
    <row r="389" spans="9:9" x14ac:dyDescent="0.25">
      <c r="I389" t="str">
        <f t="shared" si="8"/>
        <v/>
      </c>
    </row>
    <row r="390" spans="9:9" x14ac:dyDescent="0.25">
      <c r="I390" t="str">
        <f t="shared" si="8"/>
        <v/>
      </c>
    </row>
    <row r="391" spans="9:9" x14ac:dyDescent="0.25">
      <c r="I391" t="str">
        <f t="shared" si="8"/>
        <v/>
      </c>
    </row>
    <row r="392" spans="9:9" x14ac:dyDescent="0.25">
      <c r="I392" t="str">
        <f t="shared" si="8"/>
        <v/>
      </c>
    </row>
    <row r="393" spans="9:9" x14ac:dyDescent="0.25">
      <c r="I393" t="str">
        <f t="shared" si="8"/>
        <v/>
      </c>
    </row>
    <row r="394" spans="9:9" x14ac:dyDescent="0.25">
      <c r="I394" t="str">
        <f t="shared" si="8"/>
        <v/>
      </c>
    </row>
    <row r="395" spans="9:9" x14ac:dyDescent="0.25">
      <c r="I395" t="str">
        <f t="shared" si="8"/>
        <v/>
      </c>
    </row>
    <row r="396" spans="9:9" x14ac:dyDescent="0.25">
      <c r="I396" t="str">
        <f t="shared" si="8"/>
        <v/>
      </c>
    </row>
    <row r="397" spans="9:9" x14ac:dyDescent="0.25">
      <c r="I397" t="str">
        <f t="shared" si="8"/>
        <v/>
      </c>
    </row>
    <row r="398" spans="9:9" x14ac:dyDescent="0.25">
      <c r="I398" t="str">
        <f t="shared" si="8"/>
        <v/>
      </c>
    </row>
    <row r="399" spans="9:9" x14ac:dyDescent="0.25">
      <c r="I399" t="str">
        <f t="shared" si="8"/>
        <v/>
      </c>
    </row>
    <row r="400" spans="9:9" x14ac:dyDescent="0.25">
      <c r="I400" t="str">
        <f t="shared" si="8"/>
        <v/>
      </c>
    </row>
    <row r="401" spans="9:9" x14ac:dyDescent="0.25">
      <c r="I401" t="str">
        <f t="shared" si="8"/>
        <v/>
      </c>
    </row>
    <row r="402" spans="9:9" x14ac:dyDescent="0.25">
      <c r="I402" t="str">
        <f t="shared" si="8"/>
        <v/>
      </c>
    </row>
    <row r="403" spans="9:9" x14ac:dyDescent="0.25">
      <c r="I403" t="str">
        <f t="shared" si="8"/>
        <v/>
      </c>
    </row>
    <row r="404" spans="9:9" x14ac:dyDescent="0.25">
      <c r="I404" t="str">
        <f t="shared" si="8"/>
        <v/>
      </c>
    </row>
    <row r="405" spans="9:9" x14ac:dyDescent="0.25">
      <c r="I405" t="str">
        <f t="shared" si="8"/>
        <v/>
      </c>
    </row>
    <row r="406" spans="9:9" x14ac:dyDescent="0.25">
      <c r="I406" t="str">
        <f t="shared" si="8"/>
        <v/>
      </c>
    </row>
    <row r="407" spans="9:9" x14ac:dyDescent="0.25">
      <c r="I407" t="str">
        <f t="shared" si="8"/>
        <v/>
      </c>
    </row>
    <row r="408" spans="9:9" x14ac:dyDescent="0.25">
      <c r="I408" t="str">
        <f t="shared" si="8"/>
        <v/>
      </c>
    </row>
    <row r="409" spans="9:9" x14ac:dyDescent="0.25">
      <c r="I409" t="str">
        <f t="shared" si="8"/>
        <v/>
      </c>
    </row>
    <row r="410" spans="9:9" x14ac:dyDescent="0.25">
      <c r="I410" t="str">
        <f t="shared" si="8"/>
        <v/>
      </c>
    </row>
    <row r="411" spans="9:9" x14ac:dyDescent="0.25">
      <c r="I411" t="str">
        <f t="shared" si="8"/>
        <v/>
      </c>
    </row>
    <row r="412" spans="9:9" x14ac:dyDescent="0.25">
      <c r="I412" t="str">
        <f t="shared" si="8"/>
        <v/>
      </c>
    </row>
    <row r="413" spans="9:9" x14ac:dyDescent="0.25">
      <c r="I413" t="str">
        <f t="shared" si="8"/>
        <v/>
      </c>
    </row>
    <row r="414" spans="9:9" x14ac:dyDescent="0.25">
      <c r="I414" t="str">
        <f t="shared" si="8"/>
        <v/>
      </c>
    </row>
    <row r="415" spans="9:9" x14ac:dyDescent="0.25">
      <c r="I415" t="str">
        <f t="shared" si="8"/>
        <v/>
      </c>
    </row>
    <row r="416" spans="9:9" x14ac:dyDescent="0.25">
      <c r="I416" t="str">
        <f t="shared" si="8"/>
        <v/>
      </c>
    </row>
    <row r="417" spans="9:9" x14ac:dyDescent="0.25">
      <c r="I417" t="str">
        <f t="shared" si="8"/>
        <v/>
      </c>
    </row>
    <row r="418" spans="9:9" x14ac:dyDescent="0.25">
      <c r="I418" t="str">
        <f t="shared" si="8"/>
        <v/>
      </c>
    </row>
    <row r="419" spans="9:9" x14ac:dyDescent="0.25">
      <c r="I419" t="str">
        <f t="shared" si="8"/>
        <v/>
      </c>
    </row>
    <row r="420" spans="9:9" x14ac:dyDescent="0.25">
      <c r="I420" t="str">
        <f t="shared" si="8"/>
        <v/>
      </c>
    </row>
    <row r="421" spans="9:9" x14ac:dyDescent="0.25">
      <c r="I421" t="str">
        <f t="shared" si="8"/>
        <v/>
      </c>
    </row>
    <row r="422" spans="9:9" x14ac:dyDescent="0.25">
      <c r="I422" t="str">
        <f t="shared" si="8"/>
        <v/>
      </c>
    </row>
    <row r="423" spans="9:9" x14ac:dyDescent="0.25">
      <c r="I423" t="str">
        <f t="shared" si="8"/>
        <v/>
      </c>
    </row>
    <row r="424" spans="9:9" x14ac:dyDescent="0.25">
      <c r="I424" t="str">
        <f t="shared" si="8"/>
        <v/>
      </c>
    </row>
    <row r="425" spans="9:9" x14ac:dyDescent="0.25">
      <c r="I425" t="str">
        <f t="shared" si="8"/>
        <v/>
      </c>
    </row>
    <row r="426" spans="9:9" x14ac:dyDescent="0.25">
      <c r="I426" t="str">
        <f t="shared" si="8"/>
        <v/>
      </c>
    </row>
    <row r="427" spans="9:9" x14ac:dyDescent="0.25">
      <c r="I427" t="str">
        <f t="shared" si="8"/>
        <v/>
      </c>
    </row>
    <row r="428" spans="9:9" x14ac:dyDescent="0.25">
      <c r="I428" t="str">
        <f t="shared" si="8"/>
        <v/>
      </c>
    </row>
    <row r="429" spans="9:9" x14ac:dyDescent="0.25">
      <c r="I429" t="str">
        <f t="shared" si="8"/>
        <v/>
      </c>
    </row>
    <row r="430" spans="9:9" x14ac:dyDescent="0.25">
      <c r="I430" t="str">
        <f t="shared" si="8"/>
        <v/>
      </c>
    </row>
    <row r="431" spans="9:9" x14ac:dyDescent="0.25">
      <c r="I431" t="str">
        <f t="shared" si="8"/>
        <v/>
      </c>
    </row>
    <row r="432" spans="9:9" x14ac:dyDescent="0.25">
      <c r="I432" t="str">
        <f t="shared" si="8"/>
        <v/>
      </c>
    </row>
    <row r="433" spans="9:9" x14ac:dyDescent="0.25">
      <c r="I433" t="str">
        <f t="shared" si="8"/>
        <v/>
      </c>
    </row>
    <row r="434" spans="9:9" x14ac:dyDescent="0.25">
      <c r="I434" t="str">
        <f t="shared" si="8"/>
        <v/>
      </c>
    </row>
    <row r="435" spans="9:9" x14ac:dyDescent="0.25">
      <c r="I435" t="str">
        <f t="shared" si="8"/>
        <v/>
      </c>
    </row>
    <row r="436" spans="9:9" x14ac:dyDescent="0.25">
      <c r="I436" t="str">
        <f t="shared" si="8"/>
        <v/>
      </c>
    </row>
    <row r="437" spans="9:9" x14ac:dyDescent="0.25">
      <c r="I437" t="str">
        <f t="shared" si="8"/>
        <v/>
      </c>
    </row>
    <row r="438" spans="9:9" x14ac:dyDescent="0.25">
      <c r="I438" t="str">
        <f t="shared" si="8"/>
        <v/>
      </c>
    </row>
    <row r="439" spans="9:9" x14ac:dyDescent="0.25">
      <c r="I439" t="str">
        <f t="shared" si="8"/>
        <v/>
      </c>
    </row>
    <row r="440" spans="9:9" x14ac:dyDescent="0.25">
      <c r="I440" t="str">
        <f t="shared" si="8"/>
        <v/>
      </c>
    </row>
    <row r="441" spans="9:9" x14ac:dyDescent="0.25">
      <c r="I441" t="str">
        <f t="shared" si="8"/>
        <v/>
      </c>
    </row>
    <row r="442" spans="9:9" x14ac:dyDescent="0.25">
      <c r="I442" t="str">
        <f t="shared" si="8"/>
        <v/>
      </c>
    </row>
    <row r="443" spans="9:9" x14ac:dyDescent="0.25">
      <c r="I443" t="str">
        <f t="shared" si="8"/>
        <v/>
      </c>
    </row>
    <row r="444" spans="9:9" x14ac:dyDescent="0.25">
      <c r="I444" t="str">
        <f t="shared" si="8"/>
        <v/>
      </c>
    </row>
    <row r="445" spans="9:9" x14ac:dyDescent="0.25">
      <c r="I445" t="str">
        <f t="shared" si="8"/>
        <v/>
      </c>
    </row>
    <row r="446" spans="9:9" x14ac:dyDescent="0.25">
      <c r="I446" t="str">
        <f t="shared" si="8"/>
        <v/>
      </c>
    </row>
    <row r="447" spans="9:9" x14ac:dyDescent="0.25">
      <c r="I447" t="str">
        <f t="shared" si="8"/>
        <v/>
      </c>
    </row>
    <row r="448" spans="9:9" x14ac:dyDescent="0.25">
      <c r="I448" t="str">
        <f t="shared" si="8"/>
        <v/>
      </c>
    </row>
    <row r="449" spans="9:9" x14ac:dyDescent="0.25">
      <c r="I449" t="str">
        <f t="shared" si="8"/>
        <v/>
      </c>
    </row>
    <row r="450" spans="9:9" x14ac:dyDescent="0.25">
      <c r="I450" t="str">
        <f t="shared" si="8"/>
        <v/>
      </c>
    </row>
    <row r="451" spans="9:9" x14ac:dyDescent="0.25">
      <c r="I451" t="str">
        <f t="shared" si="8"/>
        <v/>
      </c>
    </row>
    <row r="452" spans="9:9" x14ac:dyDescent="0.25">
      <c r="I452" t="str">
        <f t="shared" ref="I452:I460" si="9">IF(ISBLANK(A452),"",CONCATENATE("Замена ",H452," блока ",B452,"x",C452,"(h)","мм."))</f>
        <v/>
      </c>
    </row>
    <row r="453" spans="9:9" x14ac:dyDescent="0.25">
      <c r="I453" t="str">
        <f t="shared" si="9"/>
        <v/>
      </c>
    </row>
    <row r="454" spans="9:9" x14ac:dyDescent="0.25">
      <c r="I454" t="str">
        <f t="shared" si="9"/>
        <v/>
      </c>
    </row>
    <row r="455" spans="9:9" x14ac:dyDescent="0.25">
      <c r="I455" t="str">
        <f t="shared" si="9"/>
        <v/>
      </c>
    </row>
    <row r="456" spans="9:9" x14ac:dyDescent="0.25">
      <c r="I456" t="str">
        <f t="shared" si="9"/>
        <v/>
      </c>
    </row>
    <row r="457" spans="9:9" x14ac:dyDescent="0.25">
      <c r="I457" t="str">
        <f t="shared" si="9"/>
        <v/>
      </c>
    </row>
    <row r="458" spans="9:9" x14ac:dyDescent="0.25">
      <c r="I458" t="str">
        <f t="shared" si="9"/>
        <v/>
      </c>
    </row>
    <row r="459" spans="9:9" x14ac:dyDescent="0.25">
      <c r="I459" t="str">
        <f t="shared" si="9"/>
        <v/>
      </c>
    </row>
    <row r="460" spans="9:9" x14ac:dyDescent="0.25">
      <c r="I460" t="str">
        <f t="shared" si="9"/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L460"/>
  <sheetViews>
    <sheetView workbookViewId="0">
      <selection activeCell="A5" sqref="A5"/>
    </sheetView>
  </sheetViews>
  <sheetFormatPr defaultRowHeight="15" x14ac:dyDescent="0.25"/>
  <cols>
    <col min="1" max="1" width="41.42578125" customWidth="1"/>
    <col min="2" max="2" width="4.85546875" customWidth="1"/>
    <col min="3" max="3" width="35.28515625" customWidth="1"/>
    <col min="4" max="4" width="11.85546875" customWidth="1"/>
    <col min="5" max="5" width="7.28515625" customWidth="1"/>
    <col min="11" max="11" width="11" bestFit="1" customWidth="1"/>
    <col min="14" max="14" width="6.7109375" bestFit="1" customWidth="1"/>
    <col min="15" max="15" width="4.85546875" bestFit="1" customWidth="1"/>
    <col min="16" max="16" width="19" bestFit="1" customWidth="1"/>
    <col min="17" max="17" width="52.85546875" bestFit="1" customWidth="1"/>
    <col min="18" max="18" width="7.28515625" bestFit="1" customWidth="1"/>
    <col min="19" max="19" width="15.85546875" bestFit="1" customWidth="1"/>
  </cols>
  <sheetData>
    <row r="1" spans="1:12" x14ac:dyDescent="0.25">
      <c r="C1" t="s">
        <v>2469</v>
      </c>
    </row>
    <row r="2" spans="1:12" x14ac:dyDescent="0.25">
      <c r="B2" t="s">
        <v>2388</v>
      </c>
      <c r="C2" t="s">
        <v>2470</v>
      </c>
      <c r="D2" t="s">
        <v>2471</v>
      </c>
      <c r="E2" t="s">
        <v>2391</v>
      </c>
    </row>
    <row r="3" spans="1:12" x14ac:dyDescent="0.25">
      <c r="A3" t="s">
        <v>2472</v>
      </c>
      <c r="B3" t="s">
        <v>2446</v>
      </c>
      <c r="C3">
        <v>680</v>
      </c>
      <c r="D3">
        <v>2100</v>
      </c>
      <c r="E3">
        <v>2</v>
      </c>
      <c r="H3" t="str">
        <f>IF(LEFT(A3,1)="О","оконного","дверного")</f>
        <v>дверного</v>
      </c>
      <c r="I3" t="str">
        <f>IF(ISBLANK(A3),"",CONCATENATE("Закладка кирпичом ",H3," проёма ",C3,"x",D3,"(h)","мм. в стене толщиной ",RIGHT(A3,6)))</f>
        <v>Закладка кирпичом дверного проёма 680x2100(h)мм. в стене толщиной 120мм.</v>
      </c>
      <c r="J3" t="str">
        <f>LEFT(RIGHT(A3,6),3)</f>
        <v>120</v>
      </c>
      <c r="K3">
        <f>((J3*C3*D3)/(1000*1000*1000))*E3</f>
        <v>0.34272000000000002</v>
      </c>
      <c r="L3" t="str">
        <f>IF(ISBLANK(A3),"",CONCATENATE(ROUND(K3,2)," куб.м."))</f>
        <v>0,34 куб.м.</v>
      </c>
    </row>
    <row r="4" spans="1:12" x14ac:dyDescent="0.25">
      <c r="A4" t="s">
        <v>2472</v>
      </c>
      <c r="B4" t="s">
        <v>2447</v>
      </c>
      <c r="C4">
        <v>1000</v>
      </c>
      <c r="D4">
        <v>2100</v>
      </c>
      <c r="E4">
        <v>3</v>
      </c>
      <c r="H4" t="str">
        <f t="shared" ref="H4:H27" si="0">IF(LEFT(A4,1)="О","оконного","дверного")</f>
        <v>дверного</v>
      </c>
      <c r="I4" t="str">
        <f t="shared" ref="I4:I67" si="1">IF(ISBLANK(A4),"",CONCATENATE("Закладка кирпичом ",H4," проёма ",C4,"x",D4,"(h)","мм. в стене толщиной ",RIGHT(A4,6)))</f>
        <v>Закладка кирпичом дверного проёма 1000x2100(h)мм. в стене толщиной 120мм.</v>
      </c>
      <c r="J4" t="str">
        <f t="shared" ref="J4:J67" si="2">LEFT(RIGHT(A4,6),3)</f>
        <v>120</v>
      </c>
      <c r="K4">
        <f t="shared" ref="K4:K67" si="3">((J4*C4*D4)/(1000*1000*1000))*E4</f>
        <v>0.75600000000000001</v>
      </c>
      <c r="L4" t="str">
        <f t="shared" ref="L4:L67" si="4">IF(ISBLANK(A4),"",CONCATENATE(ROUND(K4,2)," куб.м."))</f>
        <v>0,76 куб.м.</v>
      </c>
    </row>
    <row r="5" spans="1:12" x14ac:dyDescent="0.25">
      <c r="A5" t="s">
        <v>2472</v>
      </c>
      <c r="B5" t="s">
        <v>2448</v>
      </c>
      <c r="C5">
        <v>700</v>
      </c>
      <c r="D5">
        <v>2100</v>
      </c>
      <c r="E5">
        <v>1</v>
      </c>
      <c r="H5" t="str">
        <f t="shared" si="0"/>
        <v>дверного</v>
      </c>
      <c r="I5" t="str">
        <f t="shared" si="1"/>
        <v>Закладка кирпичом дверного проёма 700x2100(h)мм. в стене толщиной 120мм.</v>
      </c>
      <c r="J5" t="str">
        <f t="shared" si="2"/>
        <v>120</v>
      </c>
      <c r="K5">
        <f t="shared" si="3"/>
        <v>0.1764</v>
      </c>
      <c r="L5" t="str">
        <f t="shared" si="4"/>
        <v>0,18 куб.м.</v>
      </c>
    </row>
    <row r="6" spans="1:12" x14ac:dyDescent="0.25">
      <c r="A6" t="s">
        <v>2472</v>
      </c>
      <c r="B6" t="s">
        <v>2448</v>
      </c>
      <c r="C6">
        <v>730</v>
      </c>
      <c r="D6">
        <v>2100</v>
      </c>
      <c r="E6">
        <v>1</v>
      </c>
      <c r="H6" t="str">
        <f t="shared" si="0"/>
        <v>дверного</v>
      </c>
      <c r="I6" t="str">
        <f t="shared" si="1"/>
        <v>Закладка кирпичом дверного проёма 730x2100(h)мм. в стене толщиной 120мм.</v>
      </c>
      <c r="J6" t="str">
        <f t="shared" si="2"/>
        <v>120</v>
      </c>
      <c r="K6">
        <f t="shared" si="3"/>
        <v>0.18396000000000001</v>
      </c>
      <c r="L6" t="str">
        <f t="shared" si="4"/>
        <v>0,18 куб.м.</v>
      </c>
    </row>
    <row r="7" spans="1:12" x14ac:dyDescent="0.25">
      <c r="A7" t="s">
        <v>2472</v>
      </c>
      <c r="B7" t="s">
        <v>2449</v>
      </c>
      <c r="C7">
        <v>910</v>
      </c>
      <c r="D7">
        <v>2100</v>
      </c>
      <c r="E7">
        <v>1</v>
      </c>
      <c r="H7" t="str">
        <f t="shared" si="0"/>
        <v>дверного</v>
      </c>
      <c r="I7" t="str">
        <f t="shared" si="1"/>
        <v>Закладка кирпичом дверного проёма 910x2100(h)мм. в стене толщиной 120мм.</v>
      </c>
      <c r="J7" t="str">
        <f t="shared" si="2"/>
        <v>120</v>
      </c>
      <c r="K7">
        <f t="shared" si="3"/>
        <v>0.22932</v>
      </c>
      <c r="L7" t="str">
        <f t="shared" si="4"/>
        <v>0,23 куб.м.</v>
      </c>
    </row>
    <row r="8" spans="1:12" x14ac:dyDescent="0.25">
      <c r="A8" t="s">
        <v>2472</v>
      </c>
      <c r="B8" t="s">
        <v>2450</v>
      </c>
      <c r="C8">
        <v>1420</v>
      </c>
      <c r="D8">
        <v>2100</v>
      </c>
      <c r="E8">
        <v>1</v>
      </c>
      <c r="H8" t="str">
        <f t="shared" si="0"/>
        <v>дверного</v>
      </c>
      <c r="I8" t="str">
        <f t="shared" si="1"/>
        <v>Закладка кирпичом дверного проёма 1420x2100(h)мм. в стене толщиной 120мм.</v>
      </c>
      <c r="J8" t="str">
        <f t="shared" si="2"/>
        <v>120</v>
      </c>
      <c r="K8">
        <f t="shared" si="3"/>
        <v>0.35783999999999999</v>
      </c>
      <c r="L8" t="str">
        <f t="shared" si="4"/>
        <v>0,36 куб.м.</v>
      </c>
    </row>
    <row r="9" spans="1:12" x14ac:dyDescent="0.25">
      <c r="A9" t="s">
        <v>2473</v>
      </c>
      <c r="B9" t="s">
        <v>2444</v>
      </c>
      <c r="C9">
        <v>2150</v>
      </c>
      <c r="D9">
        <v>2100</v>
      </c>
      <c r="E9">
        <v>1</v>
      </c>
      <c r="H9" t="str">
        <f t="shared" si="0"/>
        <v>дверного</v>
      </c>
      <c r="I9" t="str">
        <f t="shared" si="1"/>
        <v>Закладка кирпичом дверного проёма 2150x2100(h)мм. в стене толщиной 510мм.</v>
      </c>
      <c r="J9" t="str">
        <f t="shared" si="2"/>
        <v>510</v>
      </c>
      <c r="K9">
        <f t="shared" si="3"/>
        <v>2.3026499999999999</v>
      </c>
      <c r="L9" t="str">
        <f t="shared" si="4"/>
        <v>2,3 куб.м.</v>
      </c>
    </row>
    <row r="10" spans="1:12" x14ac:dyDescent="0.25">
      <c r="A10" t="s">
        <v>2473</v>
      </c>
      <c r="B10" t="s">
        <v>2451</v>
      </c>
      <c r="C10">
        <v>800</v>
      </c>
      <c r="D10">
        <v>2100</v>
      </c>
      <c r="E10">
        <v>1</v>
      </c>
      <c r="H10" t="str">
        <f t="shared" si="0"/>
        <v>дверного</v>
      </c>
      <c r="I10" t="str">
        <f t="shared" si="1"/>
        <v>Закладка кирпичом дверного проёма 800x2100(h)мм. в стене толщиной 510мм.</v>
      </c>
      <c r="J10" t="str">
        <f t="shared" si="2"/>
        <v>510</v>
      </c>
      <c r="K10">
        <f t="shared" si="3"/>
        <v>0.85680000000000001</v>
      </c>
      <c r="L10" t="str">
        <f t="shared" si="4"/>
        <v>0,86 куб.м.</v>
      </c>
    </row>
    <row r="11" spans="1:12" x14ac:dyDescent="0.25">
      <c r="H11" t="str">
        <f t="shared" si="0"/>
        <v>дверного</v>
      </c>
      <c r="I11" t="str">
        <f t="shared" si="1"/>
        <v/>
      </c>
      <c r="J11" t="str">
        <f t="shared" si="2"/>
        <v/>
      </c>
      <c r="K11" t="e">
        <f t="shared" si="3"/>
        <v>#VALUE!</v>
      </c>
      <c r="L11" t="str">
        <f t="shared" si="4"/>
        <v/>
      </c>
    </row>
    <row r="12" spans="1:12" x14ac:dyDescent="0.25">
      <c r="H12" t="str">
        <f t="shared" si="0"/>
        <v>дверного</v>
      </c>
      <c r="I12" t="str">
        <f t="shared" si="1"/>
        <v/>
      </c>
      <c r="J12" t="str">
        <f t="shared" si="2"/>
        <v/>
      </c>
      <c r="K12" t="e">
        <f t="shared" si="3"/>
        <v>#VALUE!</v>
      </c>
      <c r="L12" t="str">
        <f t="shared" si="4"/>
        <v/>
      </c>
    </row>
    <row r="13" spans="1:12" x14ac:dyDescent="0.25">
      <c r="H13" t="str">
        <f t="shared" si="0"/>
        <v>дверного</v>
      </c>
      <c r="I13" t="str">
        <f t="shared" si="1"/>
        <v/>
      </c>
      <c r="J13" t="str">
        <f t="shared" si="2"/>
        <v/>
      </c>
      <c r="K13" t="e">
        <f t="shared" si="3"/>
        <v>#VALUE!</v>
      </c>
      <c r="L13" t="str">
        <f t="shared" si="4"/>
        <v/>
      </c>
    </row>
    <row r="14" spans="1:12" x14ac:dyDescent="0.25">
      <c r="H14" t="str">
        <f t="shared" si="0"/>
        <v>дверного</v>
      </c>
      <c r="I14" t="str">
        <f t="shared" si="1"/>
        <v/>
      </c>
      <c r="J14" t="str">
        <f t="shared" si="2"/>
        <v/>
      </c>
      <c r="K14" t="e">
        <f t="shared" si="3"/>
        <v>#VALUE!</v>
      </c>
      <c r="L14" t="str">
        <f t="shared" si="4"/>
        <v/>
      </c>
    </row>
    <row r="15" spans="1:12" x14ac:dyDescent="0.25">
      <c r="H15" t="str">
        <f t="shared" si="0"/>
        <v>дверного</v>
      </c>
      <c r="I15" t="str">
        <f t="shared" si="1"/>
        <v/>
      </c>
      <c r="J15" t="str">
        <f t="shared" si="2"/>
        <v/>
      </c>
      <c r="K15" t="e">
        <f t="shared" si="3"/>
        <v>#VALUE!</v>
      </c>
      <c r="L15" t="str">
        <f t="shared" si="4"/>
        <v/>
      </c>
    </row>
    <row r="16" spans="1:12" x14ac:dyDescent="0.25">
      <c r="H16" t="str">
        <f t="shared" si="0"/>
        <v>дверного</v>
      </c>
      <c r="I16" t="str">
        <f t="shared" si="1"/>
        <v/>
      </c>
      <c r="J16" t="str">
        <f t="shared" si="2"/>
        <v/>
      </c>
      <c r="K16" t="e">
        <f t="shared" si="3"/>
        <v>#VALUE!</v>
      </c>
      <c r="L16" t="str">
        <f t="shared" si="4"/>
        <v/>
      </c>
    </row>
    <row r="17" spans="8:12" x14ac:dyDescent="0.25">
      <c r="H17" t="str">
        <f t="shared" si="0"/>
        <v>дверного</v>
      </c>
      <c r="I17" t="str">
        <f t="shared" si="1"/>
        <v/>
      </c>
      <c r="J17" t="str">
        <f t="shared" si="2"/>
        <v/>
      </c>
      <c r="K17" t="e">
        <f t="shared" si="3"/>
        <v>#VALUE!</v>
      </c>
      <c r="L17" t="str">
        <f t="shared" si="4"/>
        <v/>
      </c>
    </row>
    <row r="18" spans="8:12" x14ac:dyDescent="0.25">
      <c r="H18" t="str">
        <f t="shared" si="0"/>
        <v>дверного</v>
      </c>
      <c r="I18" t="str">
        <f t="shared" si="1"/>
        <v/>
      </c>
      <c r="J18" t="str">
        <f t="shared" si="2"/>
        <v/>
      </c>
      <c r="K18" t="e">
        <f t="shared" si="3"/>
        <v>#VALUE!</v>
      </c>
      <c r="L18" t="str">
        <f t="shared" si="4"/>
        <v/>
      </c>
    </row>
    <row r="19" spans="8:12" x14ac:dyDescent="0.25">
      <c r="H19" t="str">
        <f t="shared" si="0"/>
        <v>дверного</v>
      </c>
      <c r="I19" t="str">
        <f t="shared" si="1"/>
        <v/>
      </c>
      <c r="J19" t="str">
        <f t="shared" si="2"/>
        <v/>
      </c>
      <c r="K19" t="e">
        <f t="shared" si="3"/>
        <v>#VALUE!</v>
      </c>
      <c r="L19" t="str">
        <f t="shared" si="4"/>
        <v/>
      </c>
    </row>
    <row r="20" spans="8:12" x14ac:dyDescent="0.25">
      <c r="H20" t="str">
        <f t="shared" si="0"/>
        <v>дверного</v>
      </c>
      <c r="I20" t="str">
        <f t="shared" si="1"/>
        <v/>
      </c>
      <c r="J20" t="str">
        <f t="shared" si="2"/>
        <v/>
      </c>
      <c r="K20" t="e">
        <f t="shared" si="3"/>
        <v>#VALUE!</v>
      </c>
      <c r="L20" t="str">
        <f t="shared" si="4"/>
        <v/>
      </c>
    </row>
    <row r="21" spans="8:12" x14ac:dyDescent="0.25">
      <c r="H21" t="str">
        <f t="shared" si="0"/>
        <v>дверного</v>
      </c>
      <c r="I21" t="str">
        <f t="shared" si="1"/>
        <v/>
      </c>
      <c r="J21" t="str">
        <f t="shared" si="2"/>
        <v/>
      </c>
      <c r="K21" t="e">
        <f t="shared" si="3"/>
        <v>#VALUE!</v>
      </c>
      <c r="L21" t="str">
        <f t="shared" si="4"/>
        <v/>
      </c>
    </row>
    <row r="22" spans="8:12" x14ac:dyDescent="0.25">
      <c r="H22" t="str">
        <f t="shared" si="0"/>
        <v>дверного</v>
      </c>
      <c r="I22" t="str">
        <f t="shared" si="1"/>
        <v/>
      </c>
      <c r="J22" t="str">
        <f t="shared" si="2"/>
        <v/>
      </c>
      <c r="K22" t="e">
        <f t="shared" si="3"/>
        <v>#VALUE!</v>
      </c>
      <c r="L22" t="str">
        <f t="shared" si="4"/>
        <v/>
      </c>
    </row>
    <row r="23" spans="8:12" x14ac:dyDescent="0.25">
      <c r="H23" t="str">
        <f t="shared" si="0"/>
        <v>дверного</v>
      </c>
      <c r="I23" t="str">
        <f t="shared" si="1"/>
        <v/>
      </c>
      <c r="J23" t="str">
        <f t="shared" si="2"/>
        <v/>
      </c>
      <c r="K23" t="e">
        <f t="shared" si="3"/>
        <v>#VALUE!</v>
      </c>
      <c r="L23" t="str">
        <f t="shared" si="4"/>
        <v/>
      </c>
    </row>
    <row r="24" spans="8:12" x14ac:dyDescent="0.25">
      <c r="H24" t="str">
        <f t="shared" si="0"/>
        <v>дверного</v>
      </c>
      <c r="I24" t="str">
        <f t="shared" si="1"/>
        <v/>
      </c>
      <c r="J24" t="str">
        <f t="shared" si="2"/>
        <v/>
      </c>
      <c r="K24" t="e">
        <f t="shared" si="3"/>
        <v>#VALUE!</v>
      </c>
      <c r="L24" t="str">
        <f t="shared" si="4"/>
        <v/>
      </c>
    </row>
    <row r="25" spans="8:12" x14ac:dyDescent="0.25">
      <c r="H25" t="str">
        <f t="shared" si="0"/>
        <v>дверного</v>
      </c>
      <c r="I25" t="str">
        <f t="shared" si="1"/>
        <v/>
      </c>
      <c r="J25" t="str">
        <f t="shared" si="2"/>
        <v/>
      </c>
      <c r="K25" t="e">
        <f t="shared" si="3"/>
        <v>#VALUE!</v>
      </c>
      <c r="L25" t="str">
        <f t="shared" si="4"/>
        <v/>
      </c>
    </row>
    <row r="26" spans="8:12" x14ac:dyDescent="0.25">
      <c r="H26" t="str">
        <f t="shared" si="0"/>
        <v>дверного</v>
      </c>
      <c r="I26" t="str">
        <f t="shared" si="1"/>
        <v/>
      </c>
      <c r="J26" t="str">
        <f t="shared" si="2"/>
        <v/>
      </c>
      <c r="K26" t="e">
        <f t="shared" si="3"/>
        <v>#VALUE!</v>
      </c>
      <c r="L26" t="str">
        <f t="shared" si="4"/>
        <v/>
      </c>
    </row>
    <row r="27" spans="8:12" x14ac:dyDescent="0.25">
      <c r="H27" t="str">
        <f t="shared" si="0"/>
        <v>дверного</v>
      </c>
      <c r="I27" t="str">
        <f t="shared" si="1"/>
        <v/>
      </c>
      <c r="J27" t="str">
        <f t="shared" si="2"/>
        <v/>
      </c>
      <c r="K27" t="e">
        <f t="shared" si="3"/>
        <v>#VALUE!</v>
      </c>
      <c r="L27" t="str">
        <f t="shared" si="4"/>
        <v/>
      </c>
    </row>
    <row r="28" spans="8:12" x14ac:dyDescent="0.25">
      <c r="I28" t="str">
        <f t="shared" si="1"/>
        <v/>
      </c>
      <c r="J28" t="str">
        <f t="shared" si="2"/>
        <v/>
      </c>
      <c r="K28" t="e">
        <f t="shared" si="3"/>
        <v>#VALUE!</v>
      </c>
      <c r="L28" t="str">
        <f t="shared" si="4"/>
        <v/>
      </c>
    </row>
    <row r="29" spans="8:12" x14ac:dyDescent="0.25">
      <c r="I29" t="str">
        <f t="shared" si="1"/>
        <v/>
      </c>
      <c r="J29" t="str">
        <f t="shared" si="2"/>
        <v/>
      </c>
      <c r="K29" t="e">
        <f t="shared" si="3"/>
        <v>#VALUE!</v>
      </c>
      <c r="L29" t="str">
        <f t="shared" si="4"/>
        <v/>
      </c>
    </row>
    <row r="30" spans="8:12" x14ac:dyDescent="0.25">
      <c r="I30" t="str">
        <f t="shared" si="1"/>
        <v/>
      </c>
      <c r="J30" t="str">
        <f t="shared" si="2"/>
        <v/>
      </c>
      <c r="K30" t="e">
        <f t="shared" si="3"/>
        <v>#VALUE!</v>
      </c>
      <c r="L30" t="str">
        <f t="shared" si="4"/>
        <v/>
      </c>
    </row>
    <row r="31" spans="8:12" x14ac:dyDescent="0.25">
      <c r="I31" t="str">
        <f t="shared" si="1"/>
        <v/>
      </c>
      <c r="J31" t="str">
        <f t="shared" si="2"/>
        <v/>
      </c>
      <c r="K31" t="e">
        <f t="shared" si="3"/>
        <v>#VALUE!</v>
      </c>
      <c r="L31" t="str">
        <f t="shared" si="4"/>
        <v/>
      </c>
    </row>
    <row r="32" spans="8:12" x14ac:dyDescent="0.25">
      <c r="I32" t="str">
        <f t="shared" si="1"/>
        <v/>
      </c>
      <c r="J32" t="str">
        <f t="shared" si="2"/>
        <v/>
      </c>
      <c r="K32" t="e">
        <f t="shared" si="3"/>
        <v>#VALUE!</v>
      </c>
      <c r="L32" t="str">
        <f t="shared" si="4"/>
        <v/>
      </c>
    </row>
    <row r="33" spans="9:12" x14ac:dyDescent="0.25">
      <c r="I33" t="str">
        <f t="shared" si="1"/>
        <v/>
      </c>
      <c r="J33" t="str">
        <f t="shared" si="2"/>
        <v/>
      </c>
      <c r="K33" t="e">
        <f t="shared" si="3"/>
        <v>#VALUE!</v>
      </c>
      <c r="L33" t="str">
        <f t="shared" si="4"/>
        <v/>
      </c>
    </row>
    <row r="34" spans="9:12" x14ac:dyDescent="0.25">
      <c r="I34" t="str">
        <f t="shared" si="1"/>
        <v/>
      </c>
      <c r="J34" t="str">
        <f t="shared" si="2"/>
        <v/>
      </c>
      <c r="K34" t="e">
        <f t="shared" si="3"/>
        <v>#VALUE!</v>
      </c>
      <c r="L34" t="str">
        <f t="shared" si="4"/>
        <v/>
      </c>
    </row>
    <row r="35" spans="9:12" x14ac:dyDescent="0.25">
      <c r="I35" t="str">
        <f t="shared" si="1"/>
        <v/>
      </c>
      <c r="J35" t="str">
        <f t="shared" si="2"/>
        <v/>
      </c>
      <c r="K35" t="e">
        <f t="shared" si="3"/>
        <v>#VALUE!</v>
      </c>
      <c r="L35" t="str">
        <f t="shared" si="4"/>
        <v/>
      </c>
    </row>
    <row r="36" spans="9:12" x14ac:dyDescent="0.25">
      <c r="I36" t="str">
        <f t="shared" si="1"/>
        <v/>
      </c>
      <c r="J36" t="str">
        <f t="shared" si="2"/>
        <v/>
      </c>
      <c r="K36" t="e">
        <f t="shared" si="3"/>
        <v>#VALUE!</v>
      </c>
      <c r="L36" t="str">
        <f t="shared" si="4"/>
        <v/>
      </c>
    </row>
    <row r="37" spans="9:12" x14ac:dyDescent="0.25">
      <c r="I37" t="str">
        <f t="shared" si="1"/>
        <v/>
      </c>
      <c r="J37" t="str">
        <f t="shared" si="2"/>
        <v/>
      </c>
      <c r="K37" t="e">
        <f t="shared" si="3"/>
        <v>#VALUE!</v>
      </c>
      <c r="L37" t="str">
        <f t="shared" si="4"/>
        <v/>
      </c>
    </row>
    <row r="38" spans="9:12" x14ac:dyDescent="0.25">
      <c r="I38" t="str">
        <f t="shared" si="1"/>
        <v/>
      </c>
      <c r="J38" t="str">
        <f t="shared" si="2"/>
        <v/>
      </c>
      <c r="K38" t="e">
        <f t="shared" si="3"/>
        <v>#VALUE!</v>
      </c>
      <c r="L38" t="str">
        <f t="shared" si="4"/>
        <v/>
      </c>
    </row>
    <row r="39" spans="9:12" x14ac:dyDescent="0.25">
      <c r="I39" t="str">
        <f t="shared" si="1"/>
        <v/>
      </c>
      <c r="J39" t="str">
        <f t="shared" si="2"/>
        <v/>
      </c>
      <c r="K39" t="e">
        <f t="shared" si="3"/>
        <v>#VALUE!</v>
      </c>
      <c r="L39" t="str">
        <f t="shared" si="4"/>
        <v/>
      </c>
    </row>
    <row r="40" spans="9:12" x14ac:dyDescent="0.25">
      <c r="I40" t="str">
        <f t="shared" si="1"/>
        <v/>
      </c>
      <c r="J40" t="str">
        <f t="shared" si="2"/>
        <v/>
      </c>
      <c r="K40" t="e">
        <f t="shared" si="3"/>
        <v>#VALUE!</v>
      </c>
      <c r="L40" t="str">
        <f t="shared" si="4"/>
        <v/>
      </c>
    </row>
    <row r="41" spans="9:12" x14ac:dyDescent="0.25">
      <c r="I41" t="str">
        <f t="shared" si="1"/>
        <v/>
      </c>
      <c r="J41" t="str">
        <f t="shared" si="2"/>
        <v/>
      </c>
      <c r="K41" t="e">
        <f t="shared" si="3"/>
        <v>#VALUE!</v>
      </c>
      <c r="L41" t="str">
        <f t="shared" si="4"/>
        <v/>
      </c>
    </row>
    <row r="42" spans="9:12" x14ac:dyDescent="0.25">
      <c r="I42" t="str">
        <f t="shared" si="1"/>
        <v/>
      </c>
      <c r="J42" t="str">
        <f t="shared" si="2"/>
        <v/>
      </c>
      <c r="K42" t="e">
        <f t="shared" si="3"/>
        <v>#VALUE!</v>
      </c>
      <c r="L42" t="str">
        <f t="shared" si="4"/>
        <v/>
      </c>
    </row>
    <row r="43" spans="9:12" x14ac:dyDescent="0.25">
      <c r="I43" t="str">
        <f t="shared" si="1"/>
        <v/>
      </c>
      <c r="J43" t="str">
        <f t="shared" si="2"/>
        <v/>
      </c>
      <c r="K43" t="e">
        <f t="shared" si="3"/>
        <v>#VALUE!</v>
      </c>
      <c r="L43" t="str">
        <f t="shared" si="4"/>
        <v/>
      </c>
    </row>
    <row r="44" spans="9:12" x14ac:dyDescent="0.25">
      <c r="I44" t="str">
        <f t="shared" si="1"/>
        <v/>
      </c>
      <c r="J44" t="str">
        <f t="shared" si="2"/>
        <v/>
      </c>
      <c r="K44" t="e">
        <f t="shared" si="3"/>
        <v>#VALUE!</v>
      </c>
      <c r="L44" t="str">
        <f t="shared" si="4"/>
        <v/>
      </c>
    </row>
    <row r="45" spans="9:12" x14ac:dyDescent="0.25">
      <c r="I45" t="str">
        <f t="shared" si="1"/>
        <v/>
      </c>
      <c r="J45" t="str">
        <f t="shared" si="2"/>
        <v/>
      </c>
      <c r="K45" t="e">
        <f t="shared" si="3"/>
        <v>#VALUE!</v>
      </c>
      <c r="L45" t="str">
        <f t="shared" si="4"/>
        <v/>
      </c>
    </row>
    <row r="46" spans="9:12" x14ac:dyDescent="0.25">
      <c r="I46" t="str">
        <f t="shared" si="1"/>
        <v/>
      </c>
      <c r="J46" t="str">
        <f t="shared" si="2"/>
        <v/>
      </c>
      <c r="K46" t="e">
        <f t="shared" si="3"/>
        <v>#VALUE!</v>
      </c>
      <c r="L46" t="str">
        <f t="shared" si="4"/>
        <v/>
      </c>
    </row>
    <row r="47" spans="9:12" x14ac:dyDescent="0.25">
      <c r="I47" t="str">
        <f t="shared" si="1"/>
        <v/>
      </c>
      <c r="J47" t="str">
        <f t="shared" si="2"/>
        <v/>
      </c>
      <c r="K47" t="e">
        <f t="shared" si="3"/>
        <v>#VALUE!</v>
      </c>
      <c r="L47" t="str">
        <f t="shared" si="4"/>
        <v/>
      </c>
    </row>
    <row r="48" spans="9:12" x14ac:dyDescent="0.25">
      <c r="I48" t="str">
        <f t="shared" si="1"/>
        <v/>
      </c>
      <c r="J48" t="str">
        <f t="shared" si="2"/>
        <v/>
      </c>
      <c r="K48" t="e">
        <f t="shared" si="3"/>
        <v>#VALUE!</v>
      </c>
      <c r="L48" t="str">
        <f t="shared" si="4"/>
        <v/>
      </c>
    </row>
    <row r="49" spans="9:12" x14ac:dyDescent="0.25">
      <c r="I49" t="str">
        <f t="shared" si="1"/>
        <v/>
      </c>
      <c r="J49" t="str">
        <f t="shared" si="2"/>
        <v/>
      </c>
      <c r="K49" t="e">
        <f t="shared" si="3"/>
        <v>#VALUE!</v>
      </c>
      <c r="L49" t="str">
        <f t="shared" si="4"/>
        <v/>
      </c>
    </row>
    <row r="50" spans="9:12" x14ac:dyDescent="0.25">
      <c r="I50" t="str">
        <f t="shared" si="1"/>
        <v/>
      </c>
      <c r="J50" t="str">
        <f t="shared" si="2"/>
        <v/>
      </c>
      <c r="K50" t="e">
        <f t="shared" si="3"/>
        <v>#VALUE!</v>
      </c>
      <c r="L50" t="str">
        <f t="shared" si="4"/>
        <v/>
      </c>
    </row>
    <row r="51" spans="9:12" x14ac:dyDescent="0.25">
      <c r="I51" t="str">
        <f t="shared" si="1"/>
        <v/>
      </c>
      <c r="J51" t="str">
        <f t="shared" si="2"/>
        <v/>
      </c>
      <c r="K51" t="e">
        <f t="shared" si="3"/>
        <v>#VALUE!</v>
      </c>
      <c r="L51" t="str">
        <f t="shared" si="4"/>
        <v/>
      </c>
    </row>
    <row r="52" spans="9:12" x14ac:dyDescent="0.25">
      <c r="I52" t="str">
        <f t="shared" si="1"/>
        <v/>
      </c>
      <c r="J52" t="str">
        <f t="shared" si="2"/>
        <v/>
      </c>
      <c r="K52" t="e">
        <f t="shared" si="3"/>
        <v>#VALUE!</v>
      </c>
      <c r="L52" t="str">
        <f t="shared" si="4"/>
        <v/>
      </c>
    </row>
    <row r="53" spans="9:12" x14ac:dyDescent="0.25">
      <c r="I53" t="str">
        <f t="shared" si="1"/>
        <v/>
      </c>
      <c r="J53" t="str">
        <f t="shared" si="2"/>
        <v/>
      </c>
      <c r="K53" t="e">
        <f t="shared" si="3"/>
        <v>#VALUE!</v>
      </c>
      <c r="L53" t="str">
        <f t="shared" si="4"/>
        <v/>
      </c>
    </row>
    <row r="54" spans="9:12" x14ac:dyDescent="0.25">
      <c r="I54" t="str">
        <f t="shared" si="1"/>
        <v/>
      </c>
      <c r="J54" t="str">
        <f t="shared" si="2"/>
        <v/>
      </c>
      <c r="K54" t="e">
        <f t="shared" si="3"/>
        <v>#VALUE!</v>
      </c>
      <c r="L54" t="str">
        <f t="shared" si="4"/>
        <v/>
      </c>
    </row>
    <row r="55" spans="9:12" x14ac:dyDescent="0.25">
      <c r="I55" t="str">
        <f t="shared" si="1"/>
        <v/>
      </c>
      <c r="J55" t="str">
        <f t="shared" si="2"/>
        <v/>
      </c>
      <c r="K55" t="e">
        <f t="shared" si="3"/>
        <v>#VALUE!</v>
      </c>
      <c r="L55" t="str">
        <f t="shared" si="4"/>
        <v/>
      </c>
    </row>
    <row r="56" spans="9:12" x14ac:dyDescent="0.25">
      <c r="I56" t="str">
        <f t="shared" si="1"/>
        <v/>
      </c>
      <c r="J56" t="str">
        <f t="shared" si="2"/>
        <v/>
      </c>
      <c r="K56" t="e">
        <f t="shared" si="3"/>
        <v>#VALUE!</v>
      </c>
      <c r="L56" t="str">
        <f t="shared" si="4"/>
        <v/>
      </c>
    </row>
    <row r="57" spans="9:12" x14ac:dyDescent="0.25">
      <c r="I57" t="str">
        <f t="shared" si="1"/>
        <v/>
      </c>
      <c r="J57" t="str">
        <f t="shared" si="2"/>
        <v/>
      </c>
      <c r="K57" t="e">
        <f t="shared" si="3"/>
        <v>#VALUE!</v>
      </c>
      <c r="L57" t="str">
        <f t="shared" si="4"/>
        <v/>
      </c>
    </row>
    <row r="58" spans="9:12" x14ac:dyDescent="0.25">
      <c r="I58" t="str">
        <f t="shared" si="1"/>
        <v/>
      </c>
      <c r="J58" t="str">
        <f t="shared" si="2"/>
        <v/>
      </c>
      <c r="K58" t="e">
        <f t="shared" si="3"/>
        <v>#VALUE!</v>
      </c>
      <c r="L58" t="str">
        <f t="shared" si="4"/>
        <v/>
      </c>
    </row>
    <row r="59" spans="9:12" x14ac:dyDescent="0.25">
      <c r="I59" t="str">
        <f t="shared" si="1"/>
        <v/>
      </c>
      <c r="J59" t="str">
        <f t="shared" si="2"/>
        <v/>
      </c>
      <c r="K59" t="e">
        <f t="shared" si="3"/>
        <v>#VALUE!</v>
      </c>
      <c r="L59" t="str">
        <f t="shared" si="4"/>
        <v/>
      </c>
    </row>
    <row r="60" spans="9:12" x14ac:dyDescent="0.25">
      <c r="I60" t="str">
        <f t="shared" si="1"/>
        <v/>
      </c>
      <c r="J60" t="str">
        <f t="shared" si="2"/>
        <v/>
      </c>
      <c r="K60" t="e">
        <f t="shared" si="3"/>
        <v>#VALUE!</v>
      </c>
      <c r="L60" t="str">
        <f t="shared" si="4"/>
        <v/>
      </c>
    </row>
    <row r="61" spans="9:12" x14ac:dyDescent="0.25">
      <c r="I61" t="str">
        <f t="shared" si="1"/>
        <v/>
      </c>
      <c r="J61" t="str">
        <f t="shared" si="2"/>
        <v/>
      </c>
      <c r="K61" t="e">
        <f t="shared" si="3"/>
        <v>#VALUE!</v>
      </c>
      <c r="L61" t="str">
        <f t="shared" si="4"/>
        <v/>
      </c>
    </row>
    <row r="62" spans="9:12" x14ac:dyDescent="0.25">
      <c r="I62" t="str">
        <f t="shared" si="1"/>
        <v/>
      </c>
      <c r="J62" t="str">
        <f t="shared" si="2"/>
        <v/>
      </c>
      <c r="K62" t="e">
        <f t="shared" si="3"/>
        <v>#VALUE!</v>
      </c>
      <c r="L62" t="str">
        <f t="shared" si="4"/>
        <v/>
      </c>
    </row>
    <row r="63" spans="9:12" x14ac:dyDescent="0.25">
      <c r="I63" t="str">
        <f t="shared" si="1"/>
        <v/>
      </c>
      <c r="J63" t="str">
        <f t="shared" si="2"/>
        <v/>
      </c>
      <c r="K63" t="e">
        <f t="shared" si="3"/>
        <v>#VALUE!</v>
      </c>
      <c r="L63" t="str">
        <f t="shared" si="4"/>
        <v/>
      </c>
    </row>
    <row r="64" spans="9:12" x14ac:dyDescent="0.25">
      <c r="I64" t="str">
        <f t="shared" si="1"/>
        <v/>
      </c>
      <c r="J64" t="str">
        <f t="shared" si="2"/>
        <v/>
      </c>
      <c r="K64" t="e">
        <f t="shared" si="3"/>
        <v>#VALUE!</v>
      </c>
      <c r="L64" t="str">
        <f t="shared" si="4"/>
        <v/>
      </c>
    </row>
    <row r="65" spans="9:12" x14ac:dyDescent="0.25">
      <c r="I65" t="str">
        <f t="shared" si="1"/>
        <v/>
      </c>
      <c r="J65" t="str">
        <f t="shared" si="2"/>
        <v/>
      </c>
      <c r="K65" t="e">
        <f t="shared" si="3"/>
        <v>#VALUE!</v>
      </c>
      <c r="L65" t="str">
        <f t="shared" si="4"/>
        <v/>
      </c>
    </row>
    <row r="66" spans="9:12" x14ac:dyDescent="0.25">
      <c r="I66" t="str">
        <f t="shared" si="1"/>
        <v/>
      </c>
      <c r="J66" t="str">
        <f t="shared" si="2"/>
        <v/>
      </c>
      <c r="K66" t="e">
        <f t="shared" si="3"/>
        <v>#VALUE!</v>
      </c>
      <c r="L66" t="str">
        <f t="shared" si="4"/>
        <v/>
      </c>
    </row>
    <row r="67" spans="9:12" x14ac:dyDescent="0.25">
      <c r="I67" t="str">
        <f t="shared" si="1"/>
        <v/>
      </c>
      <c r="J67" t="str">
        <f t="shared" si="2"/>
        <v/>
      </c>
      <c r="K67" t="e">
        <f t="shared" si="3"/>
        <v>#VALUE!</v>
      </c>
      <c r="L67" t="str">
        <f t="shared" si="4"/>
        <v/>
      </c>
    </row>
    <row r="68" spans="9:12" x14ac:dyDescent="0.25">
      <c r="I68" t="str">
        <f t="shared" ref="I68:I131" si="5">IF(ISBLANK(A68),"",CONCATENATE("Закладка кирпичом ",H68," проёма ",C68,"x",D68,"(h)","мм. в стене толщиной ",RIGHT(A68,6)))</f>
        <v/>
      </c>
      <c r="J68" t="str">
        <f t="shared" ref="J68:J131" si="6">LEFT(RIGHT(A68,6),3)</f>
        <v/>
      </c>
      <c r="K68" t="e">
        <f t="shared" ref="K68:K131" si="7">((J68*C68*D68)/(1000*1000*1000))*E68</f>
        <v>#VALUE!</v>
      </c>
      <c r="L68" t="str">
        <f t="shared" ref="L68:L131" si="8">IF(ISBLANK(A68),"",CONCATENATE(ROUND(K68,2)," куб.м."))</f>
        <v/>
      </c>
    </row>
    <row r="69" spans="9:12" x14ac:dyDescent="0.25">
      <c r="I69" t="str">
        <f t="shared" si="5"/>
        <v/>
      </c>
      <c r="J69" t="str">
        <f t="shared" si="6"/>
        <v/>
      </c>
      <c r="K69" t="e">
        <f t="shared" si="7"/>
        <v>#VALUE!</v>
      </c>
      <c r="L69" t="str">
        <f t="shared" si="8"/>
        <v/>
      </c>
    </row>
    <row r="70" spans="9:12" x14ac:dyDescent="0.25">
      <c r="I70" t="str">
        <f t="shared" si="5"/>
        <v/>
      </c>
      <c r="J70" t="str">
        <f t="shared" si="6"/>
        <v/>
      </c>
      <c r="K70" t="e">
        <f t="shared" si="7"/>
        <v>#VALUE!</v>
      </c>
      <c r="L70" t="str">
        <f t="shared" si="8"/>
        <v/>
      </c>
    </row>
    <row r="71" spans="9:12" x14ac:dyDescent="0.25">
      <c r="I71" t="str">
        <f t="shared" si="5"/>
        <v/>
      </c>
      <c r="J71" t="str">
        <f t="shared" si="6"/>
        <v/>
      </c>
      <c r="K71" t="e">
        <f t="shared" si="7"/>
        <v>#VALUE!</v>
      </c>
      <c r="L71" t="str">
        <f t="shared" si="8"/>
        <v/>
      </c>
    </row>
    <row r="72" spans="9:12" x14ac:dyDescent="0.25">
      <c r="I72" t="str">
        <f t="shared" si="5"/>
        <v/>
      </c>
      <c r="J72" t="str">
        <f t="shared" si="6"/>
        <v/>
      </c>
      <c r="K72" t="e">
        <f t="shared" si="7"/>
        <v>#VALUE!</v>
      </c>
      <c r="L72" t="str">
        <f t="shared" si="8"/>
        <v/>
      </c>
    </row>
    <row r="73" spans="9:12" x14ac:dyDescent="0.25">
      <c r="I73" t="str">
        <f t="shared" si="5"/>
        <v/>
      </c>
      <c r="J73" t="str">
        <f t="shared" si="6"/>
        <v/>
      </c>
      <c r="K73" t="e">
        <f t="shared" si="7"/>
        <v>#VALUE!</v>
      </c>
      <c r="L73" t="str">
        <f t="shared" si="8"/>
        <v/>
      </c>
    </row>
    <row r="74" spans="9:12" x14ac:dyDescent="0.25">
      <c r="I74" t="str">
        <f t="shared" si="5"/>
        <v/>
      </c>
      <c r="J74" t="str">
        <f t="shared" si="6"/>
        <v/>
      </c>
      <c r="K74" t="e">
        <f t="shared" si="7"/>
        <v>#VALUE!</v>
      </c>
      <c r="L74" t="str">
        <f t="shared" si="8"/>
        <v/>
      </c>
    </row>
    <row r="75" spans="9:12" x14ac:dyDescent="0.25">
      <c r="I75" t="str">
        <f t="shared" si="5"/>
        <v/>
      </c>
      <c r="J75" t="str">
        <f t="shared" si="6"/>
        <v/>
      </c>
      <c r="K75" t="e">
        <f t="shared" si="7"/>
        <v>#VALUE!</v>
      </c>
      <c r="L75" t="str">
        <f t="shared" si="8"/>
        <v/>
      </c>
    </row>
    <row r="76" spans="9:12" x14ac:dyDescent="0.25">
      <c r="I76" t="str">
        <f t="shared" si="5"/>
        <v/>
      </c>
      <c r="J76" t="str">
        <f t="shared" si="6"/>
        <v/>
      </c>
      <c r="K76" t="e">
        <f t="shared" si="7"/>
        <v>#VALUE!</v>
      </c>
      <c r="L76" t="str">
        <f t="shared" si="8"/>
        <v/>
      </c>
    </row>
    <row r="77" spans="9:12" x14ac:dyDescent="0.25">
      <c r="I77" t="str">
        <f t="shared" si="5"/>
        <v/>
      </c>
      <c r="J77" t="str">
        <f t="shared" si="6"/>
        <v/>
      </c>
      <c r="K77" t="e">
        <f t="shared" si="7"/>
        <v>#VALUE!</v>
      </c>
      <c r="L77" t="str">
        <f t="shared" si="8"/>
        <v/>
      </c>
    </row>
    <row r="78" spans="9:12" x14ac:dyDescent="0.25">
      <c r="I78" t="str">
        <f t="shared" si="5"/>
        <v/>
      </c>
      <c r="J78" t="str">
        <f t="shared" si="6"/>
        <v/>
      </c>
      <c r="K78" t="e">
        <f t="shared" si="7"/>
        <v>#VALUE!</v>
      </c>
      <c r="L78" t="str">
        <f t="shared" si="8"/>
        <v/>
      </c>
    </row>
    <row r="79" spans="9:12" x14ac:dyDescent="0.25">
      <c r="I79" t="str">
        <f t="shared" si="5"/>
        <v/>
      </c>
      <c r="J79" t="str">
        <f t="shared" si="6"/>
        <v/>
      </c>
      <c r="K79" t="e">
        <f t="shared" si="7"/>
        <v>#VALUE!</v>
      </c>
      <c r="L79" t="str">
        <f t="shared" si="8"/>
        <v/>
      </c>
    </row>
    <row r="80" spans="9:12" x14ac:dyDescent="0.25">
      <c r="I80" t="str">
        <f t="shared" si="5"/>
        <v/>
      </c>
      <c r="J80" t="str">
        <f t="shared" si="6"/>
        <v/>
      </c>
      <c r="K80" t="e">
        <f t="shared" si="7"/>
        <v>#VALUE!</v>
      </c>
      <c r="L80" t="str">
        <f t="shared" si="8"/>
        <v/>
      </c>
    </row>
    <row r="81" spans="9:12" x14ac:dyDescent="0.25">
      <c r="I81" t="str">
        <f t="shared" si="5"/>
        <v/>
      </c>
      <c r="J81" t="str">
        <f t="shared" si="6"/>
        <v/>
      </c>
      <c r="K81" t="e">
        <f t="shared" si="7"/>
        <v>#VALUE!</v>
      </c>
      <c r="L81" t="str">
        <f t="shared" si="8"/>
        <v/>
      </c>
    </row>
    <row r="82" spans="9:12" x14ac:dyDescent="0.25">
      <c r="I82" t="str">
        <f t="shared" si="5"/>
        <v/>
      </c>
      <c r="J82" t="str">
        <f t="shared" si="6"/>
        <v/>
      </c>
      <c r="K82" t="e">
        <f t="shared" si="7"/>
        <v>#VALUE!</v>
      </c>
      <c r="L82" t="str">
        <f t="shared" si="8"/>
        <v/>
      </c>
    </row>
    <row r="83" spans="9:12" x14ac:dyDescent="0.25">
      <c r="I83" t="str">
        <f t="shared" si="5"/>
        <v/>
      </c>
      <c r="J83" t="str">
        <f t="shared" si="6"/>
        <v/>
      </c>
      <c r="K83" t="e">
        <f t="shared" si="7"/>
        <v>#VALUE!</v>
      </c>
      <c r="L83" t="str">
        <f t="shared" si="8"/>
        <v/>
      </c>
    </row>
    <row r="84" spans="9:12" x14ac:dyDescent="0.25">
      <c r="I84" t="str">
        <f t="shared" si="5"/>
        <v/>
      </c>
      <c r="J84" t="str">
        <f t="shared" si="6"/>
        <v/>
      </c>
      <c r="K84" t="e">
        <f t="shared" si="7"/>
        <v>#VALUE!</v>
      </c>
      <c r="L84" t="str">
        <f t="shared" si="8"/>
        <v/>
      </c>
    </row>
    <row r="85" spans="9:12" x14ac:dyDescent="0.25">
      <c r="I85" t="str">
        <f t="shared" si="5"/>
        <v/>
      </c>
      <c r="J85" t="str">
        <f t="shared" si="6"/>
        <v/>
      </c>
      <c r="K85" t="e">
        <f t="shared" si="7"/>
        <v>#VALUE!</v>
      </c>
      <c r="L85" t="str">
        <f t="shared" si="8"/>
        <v/>
      </c>
    </row>
    <row r="86" spans="9:12" x14ac:dyDescent="0.25">
      <c r="I86" t="str">
        <f t="shared" si="5"/>
        <v/>
      </c>
      <c r="J86" t="str">
        <f t="shared" si="6"/>
        <v/>
      </c>
      <c r="K86" t="e">
        <f t="shared" si="7"/>
        <v>#VALUE!</v>
      </c>
      <c r="L86" t="str">
        <f t="shared" si="8"/>
        <v/>
      </c>
    </row>
    <row r="87" spans="9:12" x14ac:dyDescent="0.25">
      <c r="I87" t="str">
        <f t="shared" si="5"/>
        <v/>
      </c>
      <c r="J87" t="str">
        <f t="shared" si="6"/>
        <v/>
      </c>
      <c r="K87" t="e">
        <f t="shared" si="7"/>
        <v>#VALUE!</v>
      </c>
      <c r="L87" t="str">
        <f t="shared" si="8"/>
        <v/>
      </c>
    </row>
    <row r="88" spans="9:12" x14ac:dyDescent="0.25">
      <c r="I88" t="str">
        <f t="shared" si="5"/>
        <v/>
      </c>
      <c r="J88" t="str">
        <f t="shared" si="6"/>
        <v/>
      </c>
      <c r="K88" t="e">
        <f t="shared" si="7"/>
        <v>#VALUE!</v>
      </c>
      <c r="L88" t="str">
        <f t="shared" si="8"/>
        <v/>
      </c>
    </row>
    <row r="89" spans="9:12" x14ac:dyDescent="0.25">
      <c r="I89" t="str">
        <f t="shared" si="5"/>
        <v/>
      </c>
      <c r="J89" t="str">
        <f t="shared" si="6"/>
        <v/>
      </c>
      <c r="K89" t="e">
        <f t="shared" si="7"/>
        <v>#VALUE!</v>
      </c>
      <c r="L89" t="str">
        <f t="shared" si="8"/>
        <v/>
      </c>
    </row>
    <row r="90" spans="9:12" x14ac:dyDescent="0.25">
      <c r="I90" t="str">
        <f t="shared" si="5"/>
        <v/>
      </c>
      <c r="J90" t="str">
        <f t="shared" si="6"/>
        <v/>
      </c>
      <c r="K90" t="e">
        <f t="shared" si="7"/>
        <v>#VALUE!</v>
      </c>
      <c r="L90" t="str">
        <f t="shared" si="8"/>
        <v/>
      </c>
    </row>
    <row r="91" spans="9:12" x14ac:dyDescent="0.25">
      <c r="I91" t="str">
        <f t="shared" si="5"/>
        <v/>
      </c>
      <c r="J91" t="str">
        <f t="shared" si="6"/>
        <v/>
      </c>
      <c r="K91" t="e">
        <f t="shared" si="7"/>
        <v>#VALUE!</v>
      </c>
      <c r="L91" t="str">
        <f t="shared" si="8"/>
        <v/>
      </c>
    </row>
    <row r="92" spans="9:12" x14ac:dyDescent="0.25">
      <c r="I92" t="str">
        <f t="shared" si="5"/>
        <v/>
      </c>
      <c r="J92" t="str">
        <f t="shared" si="6"/>
        <v/>
      </c>
      <c r="K92" t="e">
        <f t="shared" si="7"/>
        <v>#VALUE!</v>
      </c>
      <c r="L92" t="str">
        <f t="shared" si="8"/>
        <v/>
      </c>
    </row>
    <row r="93" spans="9:12" x14ac:dyDescent="0.25">
      <c r="I93" t="str">
        <f t="shared" si="5"/>
        <v/>
      </c>
      <c r="J93" t="str">
        <f t="shared" si="6"/>
        <v/>
      </c>
      <c r="K93" t="e">
        <f t="shared" si="7"/>
        <v>#VALUE!</v>
      </c>
      <c r="L93" t="str">
        <f t="shared" si="8"/>
        <v/>
      </c>
    </row>
    <row r="94" spans="9:12" x14ac:dyDescent="0.25">
      <c r="I94" t="str">
        <f t="shared" si="5"/>
        <v/>
      </c>
      <c r="J94" t="str">
        <f t="shared" si="6"/>
        <v/>
      </c>
      <c r="K94" t="e">
        <f t="shared" si="7"/>
        <v>#VALUE!</v>
      </c>
      <c r="L94" t="str">
        <f t="shared" si="8"/>
        <v/>
      </c>
    </row>
    <row r="95" spans="9:12" x14ac:dyDescent="0.25">
      <c r="I95" t="str">
        <f t="shared" si="5"/>
        <v/>
      </c>
      <c r="J95" t="str">
        <f t="shared" si="6"/>
        <v/>
      </c>
      <c r="K95" t="e">
        <f t="shared" si="7"/>
        <v>#VALUE!</v>
      </c>
      <c r="L95" t="str">
        <f t="shared" si="8"/>
        <v/>
      </c>
    </row>
    <row r="96" spans="9:12" x14ac:dyDescent="0.25">
      <c r="I96" t="str">
        <f t="shared" si="5"/>
        <v/>
      </c>
      <c r="J96" t="str">
        <f t="shared" si="6"/>
        <v/>
      </c>
      <c r="K96" t="e">
        <f t="shared" si="7"/>
        <v>#VALUE!</v>
      </c>
      <c r="L96" t="str">
        <f t="shared" si="8"/>
        <v/>
      </c>
    </row>
    <row r="97" spans="9:12" x14ac:dyDescent="0.25">
      <c r="I97" t="str">
        <f t="shared" si="5"/>
        <v/>
      </c>
      <c r="J97" t="str">
        <f t="shared" si="6"/>
        <v/>
      </c>
      <c r="K97" t="e">
        <f t="shared" si="7"/>
        <v>#VALUE!</v>
      </c>
      <c r="L97" t="str">
        <f t="shared" si="8"/>
        <v/>
      </c>
    </row>
    <row r="98" spans="9:12" x14ac:dyDescent="0.25">
      <c r="I98" t="str">
        <f t="shared" si="5"/>
        <v/>
      </c>
      <c r="J98" t="str">
        <f t="shared" si="6"/>
        <v/>
      </c>
      <c r="K98" t="e">
        <f t="shared" si="7"/>
        <v>#VALUE!</v>
      </c>
      <c r="L98" t="str">
        <f t="shared" si="8"/>
        <v/>
      </c>
    </row>
    <row r="99" spans="9:12" x14ac:dyDescent="0.25">
      <c r="I99" t="str">
        <f t="shared" si="5"/>
        <v/>
      </c>
      <c r="J99" t="str">
        <f t="shared" si="6"/>
        <v/>
      </c>
      <c r="K99" t="e">
        <f t="shared" si="7"/>
        <v>#VALUE!</v>
      </c>
      <c r="L99" t="str">
        <f t="shared" si="8"/>
        <v/>
      </c>
    </row>
    <row r="100" spans="9:12" x14ac:dyDescent="0.25">
      <c r="I100" t="str">
        <f t="shared" si="5"/>
        <v/>
      </c>
      <c r="J100" t="str">
        <f t="shared" si="6"/>
        <v/>
      </c>
      <c r="K100" t="e">
        <f t="shared" si="7"/>
        <v>#VALUE!</v>
      </c>
      <c r="L100" t="str">
        <f t="shared" si="8"/>
        <v/>
      </c>
    </row>
    <row r="101" spans="9:12" x14ac:dyDescent="0.25">
      <c r="I101" t="str">
        <f t="shared" si="5"/>
        <v/>
      </c>
      <c r="J101" t="str">
        <f t="shared" si="6"/>
        <v/>
      </c>
      <c r="K101" t="e">
        <f t="shared" si="7"/>
        <v>#VALUE!</v>
      </c>
      <c r="L101" t="str">
        <f t="shared" si="8"/>
        <v/>
      </c>
    </row>
    <row r="102" spans="9:12" x14ac:dyDescent="0.25">
      <c r="I102" t="str">
        <f t="shared" si="5"/>
        <v/>
      </c>
      <c r="J102" t="str">
        <f t="shared" si="6"/>
        <v/>
      </c>
      <c r="K102" t="e">
        <f t="shared" si="7"/>
        <v>#VALUE!</v>
      </c>
      <c r="L102" t="str">
        <f t="shared" si="8"/>
        <v/>
      </c>
    </row>
    <row r="103" spans="9:12" x14ac:dyDescent="0.25">
      <c r="I103" t="str">
        <f t="shared" si="5"/>
        <v/>
      </c>
      <c r="J103" t="str">
        <f t="shared" si="6"/>
        <v/>
      </c>
      <c r="K103" t="e">
        <f t="shared" si="7"/>
        <v>#VALUE!</v>
      </c>
      <c r="L103" t="str">
        <f t="shared" si="8"/>
        <v/>
      </c>
    </row>
    <row r="104" spans="9:12" x14ac:dyDescent="0.25">
      <c r="I104" t="str">
        <f t="shared" si="5"/>
        <v/>
      </c>
      <c r="J104" t="str">
        <f t="shared" si="6"/>
        <v/>
      </c>
      <c r="K104" t="e">
        <f t="shared" si="7"/>
        <v>#VALUE!</v>
      </c>
      <c r="L104" t="str">
        <f t="shared" si="8"/>
        <v/>
      </c>
    </row>
    <row r="105" spans="9:12" x14ac:dyDescent="0.25">
      <c r="I105" t="str">
        <f t="shared" si="5"/>
        <v/>
      </c>
      <c r="J105" t="str">
        <f t="shared" si="6"/>
        <v/>
      </c>
      <c r="K105" t="e">
        <f t="shared" si="7"/>
        <v>#VALUE!</v>
      </c>
      <c r="L105" t="str">
        <f t="shared" si="8"/>
        <v/>
      </c>
    </row>
    <row r="106" spans="9:12" x14ac:dyDescent="0.25">
      <c r="I106" t="str">
        <f t="shared" si="5"/>
        <v/>
      </c>
      <c r="J106" t="str">
        <f t="shared" si="6"/>
        <v/>
      </c>
      <c r="K106" t="e">
        <f t="shared" si="7"/>
        <v>#VALUE!</v>
      </c>
      <c r="L106" t="str">
        <f t="shared" si="8"/>
        <v/>
      </c>
    </row>
    <row r="107" spans="9:12" x14ac:dyDescent="0.25">
      <c r="I107" t="str">
        <f t="shared" si="5"/>
        <v/>
      </c>
      <c r="J107" t="str">
        <f t="shared" si="6"/>
        <v/>
      </c>
      <c r="K107" t="e">
        <f t="shared" si="7"/>
        <v>#VALUE!</v>
      </c>
      <c r="L107" t="str">
        <f t="shared" si="8"/>
        <v/>
      </c>
    </row>
    <row r="108" spans="9:12" x14ac:dyDescent="0.25">
      <c r="I108" t="str">
        <f t="shared" si="5"/>
        <v/>
      </c>
      <c r="J108" t="str">
        <f t="shared" si="6"/>
        <v/>
      </c>
      <c r="K108" t="e">
        <f t="shared" si="7"/>
        <v>#VALUE!</v>
      </c>
      <c r="L108" t="str">
        <f t="shared" si="8"/>
        <v/>
      </c>
    </row>
    <row r="109" spans="9:12" x14ac:dyDescent="0.25">
      <c r="I109" t="str">
        <f t="shared" si="5"/>
        <v/>
      </c>
      <c r="J109" t="str">
        <f t="shared" si="6"/>
        <v/>
      </c>
      <c r="K109" t="e">
        <f t="shared" si="7"/>
        <v>#VALUE!</v>
      </c>
      <c r="L109" t="str">
        <f t="shared" si="8"/>
        <v/>
      </c>
    </row>
    <row r="110" spans="9:12" x14ac:dyDescent="0.25">
      <c r="I110" t="str">
        <f t="shared" si="5"/>
        <v/>
      </c>
      <c r="J110" t="str">
        <f t="shared" si="6"/>
        <v/>
      </c>
      <c r="K110" t="e">
        <f t="shared" si="7"/>
        <v>#VALUE!</v>
      </c>
      <c r="L110" t="str">
        <f t="shared" si="8"/>
        <v/>
      </c>
    </row>
    <row r="111" spans="9:12" x14ac:dyDescent="0.25">
      <c r="I111" t="str">
        <f t="shared" si="5"/>
        <v/>
      </c>
      <c r="J111" t="str">
        <f t="shared" si="6"/>
        <v/>
      </c>
      <c r="K111" t="e">
        <f t="shared" si="7"/>
        <v>#VALUE!</v>
      </c>
      <c r="L111" t="str">
        <f t="shared" si="8"/>
        <v/>
      </c>
    </row>
    <row r="112" spans="9:12" x14ac:dyDescent="0.25">
      <c r="I112" t="str">
        <f t="shared" si="5"/>
        <v/>
      </c>
      <c r="J112" t="str">
        <f t="shared" si="6"/>
        <v/>
      </c>
      <c r="K112" t="e">
        <f t="shared" si="7"/>
        <v>#VALUE!</v>
      </c>
      <c r="L112" t="str">
        <f t="shared" si="8"/>
        <v/>
      </c>
    </row>
    <row r="113" spans="9:12" x14ac:dyDescent="0.25">
      <c r="I113" t="str">
        <f t="shared" si="5"/>
        <v/>
      </c>
      <c r="J113" t="str">
        <f t="shared" si="6"/>
        <v/>
      </c>
      <c r="K113" t="e">
        <f t="shared" si="7"/>
        <v>#VALUE!</v>
      </c>
      <c r="L113" t="str">
        <f t="shared" si="8"/>
        <v/>
      </c>
    </row>
    <row r="114" spans="9:12" x14ac:dyDescent="0.25">
      <c r="I114" t="str">
        <f t="shared" si="5"/>
        <v/>
      </c>
      <c r="J114" t="str">
        <f t="shared" si="6"/>
        <v/>
      </c>
      <c r="K114" t="e">
        <f t="shared" si="7"/>
        <v>#VALUE!</v>
      </c>
      <c r="L114" t="str">
        <f t="shared" si="8"/>
        <v/>
      </c>
    </row>
    <row r="115" spans="9:12" x14ac:dyDescent="0.25">
      <c r="I115" t="str">
        <f t="shared" si="5"/>
        <v/>
      </c>
      <c r="J115" t="str">
        <f t="shared" si="6"/>
        <v/>
      </c>
      <c r="K115" t="e">
        <f t="shared" si="7"/>
        <v>#VALUE!</v>
      </c>
      <c r="L115" t="str">
        <f t="shared" si="8"/>
        <v/>
      </c>
    </row>
    <row r="116" spans="9:12" x14ac:dyDescent="0.25">
      <c r="I116" t="str">
        <f t="shared" si="5"/>
        <v/>
      </c>
      <c r="J116" t="str">
        <f t="shared" si="6"/>
        <v/>
      </c>
      <c r="K116" t="e">
        <f t="shared" si="7"/>
        <v>#VALUE!</v>
      </c>
      <c r="L116" t="str">
        <f t="shared" si="8"/>
        <v/>
      </c>
    </row>
    <row r="117" spans="9:12" x14ac:dyDescent="0.25">
      <c r="I117" t="str">
        <f t="shared" si="5"/>
        <v/>
      </c>
      <c r="J117" t="str">
        <f t="shared" si="6"/>
        <v/>
      </c>
      <c r="K117" t="e">
        <f t="shared" si="7"/>
        <v>#VALUE!</v>
      </c>
      <c r="L117" t="str">
        <f t="shared" si="8"/>
        <v/>
      </c>
    </row>
    <row r="118" spans="9:12" x14ac:dyDescent="0.25">
      <c r="I118" t="str">
        <f t="shared" si="5"/>
        <v/>
      </c>
      <c r="J118" t="str">
        <f t="shared" si="6"/>
        <v/>
      </c>
      <c r="K118" t="e">
        <f t="shared" si="7"/>
        <v>#VALUE!</v>
      </c>
      <c r="L118" t="str">
        <f t="shared" si="8"/>
        <v/>
      </c>
    </row>
    <row r="119" spans="9:12" x14ac:dyDescent="0.25">
      <c r="I119" t="str">
        <f t="shared" si="5"/>
        <v/>
      </c>
      <c r="J119" t="str">
        <f t="shared" si="6"/>
        <v/>
      </c>
      <c r="K119" t="e">
        <f t="shared" si="7"/>
        <v>#VALUE!</v>
      </c>
      <c r="L119" t="str">
        <f t="shared" si="8"/>
        <v/>
      </c>
    </row>
    <row r="120" spans="9:12" x14ac:dyDescent="0.25">
      <c r="I120" t="str">
        <f t="shared" si="5"/>
        <v/>
      </c>
      <c r="J120" t="str">
        <f t="shared" si="6"/>
        <v/>
      </c>
      <c r="K120" t="e">
        <f t="shared" si="7"/>
        <v>#VALUE!</v>
      </c>
      <c r="L120" t="str">
        <f t="shared" si="8"/>
        <v/>
      </c>
    </row>
    <row r="121" spans="9:12" x14ac:dyDescent="0.25">
      <c r="I121" t="str">
        <f t="shared" si="5"/>
        <v/>
      </c>
      <c r="J121" t="str">
        <f t="shared" si="6"/>
        <v/>
      </c>
      <c r="K121" t="e">
        <f t="shared" si="7"/>
        <v>#VALUE!</v>
      </c>
      <c r="L121" t="str">
        <f t="shared" si="8"/>
        <v/>
      </c>
    </row>
    <row r="122" spans="9:12" x14ac:dyDescent="0.25">
      <c r="I122" t="str">
        <f t="shared" si="5"/>
        <v/>
      </c>
      <c r="J122" t="str">
        <f t="shared" si="6"/>
        <v/>
      </c>
      <c r="K122" t="e">
        <f t="shared" si="7"/>
        <v>#VALUE!</v>
      </c>
      <c r="L122" t="str">
        <f t="shared" si="8"/>
        <v/>
      </c>
    </row>
    <row r="123" spans="9:12" x14ac:dyDescent="0.25">
      <c r="I123" t="str">
        <f t="shared" si="5"/>
        <v/>
      </c>
      <c r="J123" t="str">
        <f t="shared" si="6"/>
        <v/>
      </c>
      <c r="K123" t="e">
        <f t="shared" si="7"/>
        <v>#VALUE!</v>
      </c>
      <c r="L123" t="str">
        <f t="shared" si="8"/>
        <v/>
      </c>
    </row>
    <row r="124" spans="9:12" x14ac:dyDescent="0.25">
      <c r="I124" t="str">
        <f t="shared" si="5"/>
        <v/>
      </c>
      <c r="J124" t="str">
        <f t="shared" si="6"/>
        <v/>
      </c>
      <c r="K124" t="e">
        <f t="shared" si="7"/>
        <v>#VALUE!</v>
      </c>
      <c r="L124" t="str">
        <f t="shared" si="8"/>
        <v/>
      </c>
    </row>
    <row r="125" spans="9:12" x14ac:dyDescent="0.25">
      <c r="I125" t="str">
        <f t="shared" si="5"/>
        <v/>
      </c>
      <c r="J125" t="str">
        <f t="shared" si="6"/>
        <v/>
      </c>
      <c r="K125" t="e">
        <f t="shared" si="7"/>
        <v>#VALUE!</v>
      </c>
      <c r="L125" t="str">
        <f t="shared" si="8"/>
        <v/>
      </c>
    </row>
    <row r="126" spans="9:12" x14ac:dyDescent="0.25">
      <c r="I126" t="str">
        <f t="shared" si="5"/>
        <v/>
      </c>
      <c r="J126" t="str">
        <f t="shared" si="6"/>
        <v/>
      </c>
      <c r="K126" t="e">
        <f t="shared" si="7"/>
        <v>#VALUE!</v>
      </c>
      <c r="L126" t="str">
        <f t="shared" si="8"/>
        <v/>
      </c>
    </row>
    <row r="127" spans="9:12" x14ac:dyDescent="0.25">
      <c r="I127" t="str">
        <f t="shared" si="5"/>
        <v/>
      </c>
      <c r="J127" t="str">
        <f t="shared" si="6"/>
        <v/>
      </c>
      <c r="K127" t="e">
        <f t="shared" si="7"/>
        <v>#VALUE!</v>
      </c>
      <c r="L127" t="str">
        <f t="shared" si="8"/>
        <v/>
      </c>
    </row>
    <row r="128" spans="9:12" x14ac:dyDescent="0.25">
      <c r="I128" t="str">
        <f t="shared" si="5"/>
        <v/>
      </c>
      <c r="J128" t="str">
        <f t="shared" si="6"/>
        <v/>
      </c>
      <c r="K128" t="e">
        <f t="shared" si="7"/>
        <v>#VALUE!</v>
      </c>
      <c r="L128" t="str">
        <f t="shared" si="8"/>
        <v/>
      </c>
    </row>
    <row r="129" spans="9:12" x14ac:dyDescent="0.25">
      <c r="I129" t="str">
        <f t="shared" si="5"/>
        <v/>
      </c>
      <c r="J129" t="str">
        <f t="shared" si="6"/>
        <v/>
      </c>
      <c r="K129" t="e">
        <f t="shared" si="7"/>
        <v>#VALUE!</v>
      </c>
      <c r="L129" t="str">
        <f t="shared" si="8"/>
        <v/>
      </c>
    </row>
    <row r="130" spans="9:12" x14ac:dyDescent="0.25">
      <c r="I130" t="str">
        <f t="shared" si="5"/>
        <v/>
      </c>
      <c r="J130" t="str">
        <f t="shared" si="6"/>
        <v/>
      </c>
      <c r="K130" t="e">
        <f t="shared" si="7"/>
        <v>#VALUE!</v>
      </c>
      <c r="L130" t="str">
        <f t="shared" si="8"/>
        <v/>
      </c>
    </row>
    <row r="131" spans="9:12" x14ac:dyDescent="0.25">
      <c r="I131" t="str">
        <f t="shared" si="5"/>
        <v/>
      </c>
      <c r="J131" t="str">
        <f t="shared" si="6"/>
        <v/>
      </c>
      <c r="K131" t="e">
        <f t="shared" si="7"/>
        <v>#VALUE!</v>
      </c>
      <c r="L131" t="str">
        <f t="shared" si="8"/>
        <v/>
      </c>
    </row>
    <row r="132" spans="9:12" x14ac:dyDescent="0.25">
      <c r="I132" t="str">
        <f t="shared" ref="I132:I195" si="9">IF(ISBLANK(A132),"",CONCATENATE("Закладка кирпичом ",H132," проёма ",C132,"x",D132,"(h)","мм. в стене толщиной ",RIGHT(A132,6)))</f>
        <v/>
      </c>
      <c r="J132" t="str">
        <f t="shared" ref="J132:J195" si="10">LEFT(RIGHT(A132,6),3)</f>
        <v/>
      </c>
      <c r="K132" t="e">
        <f t="shared" ref="K132:K195" si="11">((J132*C132*D132)/(1000*1000*1000))*E132</f>
        <v>#VALUE!</v>
      </c>
      <c r="L132" t="str">
        <f t="shared" ref="L132:L195" si="12">IF(ISBLANK(A132),"",CONCATENATE(ROUND(K132,2)," куб.м."))</f>
        <v/>
      </c>
    </row>
    <row r="133" spans="9:12" x14ac:dyDescent="0.25">
      <c r="I133" t="str">
        <f t="shared" si="9"/>
        <v/>
      </c>
      <c r="J133" t="str">
        <f t="shared" si="10"/>
        <v/>
      </c>
      <c r="K133" t="e">
        <f t="shared" si="11"/>
        <v>#VALUE!</v>
      </c>
      <c r="L133" t="str">
        <f t="shared" si="12"/>
        <v/>
      </c>
    </row>
    <row r="134" spans="9:12" x14ac:dyDescent="0.25">
      <c r="I134" t="str">
        <f t="shared" si="9"/>
        <v/>
      </c>
      <c r="J134" t="str">
        <f t="shared" si="10"/>
        <v/>
      </c>
      <c r="K134" t="e">
        <f t="shared" si="11"/>
        <v>#VALUE!</v>
      </c>
      <c r="L134" t="str">
        <f t="shared" si="12"/>
        <v/>
      </c>
    </row>
    <row r="135" spans="9:12" x14ac:dyDescent="0.25">
      <c r="I135" t="str">
        <f t="shared" si="9"/>
        <v/>
      </c>
      <c r="J135" t="str">
        <f t="shared" si="10"/>
        <v/>
      </c>
      <c r="K135" t="e">
        <f t="shared" si="11"/>
        <v>#VALUE!</v>
      </c>
      <c r="L135" t="str">
        <f t="shared" si="12"/>
        <v/>
      </c>
    </row>
    <row r="136" spans="9:12" x14ac:dyDescent="0.25">
      <c r="I136" t="str">
        <f t="shared" si="9"/>
        <v/>
      </c>
      <c r="J136" t="str">
        <f t="shared" si="10"/>
        <v/>
      </c>
      <c r="K136" t="e">
        <f t="shared" si="11"/>
        <v>#VALUE!</v>
      </c>
      <c r="L136" t="str">
        <f t="shared" si="12"/>
        <v/>
      </c>
    </row>
    <row r="137" spans="9:12" x14ac:dyDescent="0.25">
      <c r="I137" t="str">
        <f t="shared" si="9"/>
        <v/>
      </c>
      <c r="J137" t="str">
        <f t="shared" si="10"/>
        <v/>
      </c>
      <c r="K137" t="e">
        <f t="shared" si="11"/>
        <v>#VALUE!</v>
      </c>
      <c r="L137" t="str">
        <f t="shared" si="12"/>
        <v/>
      </c>
    </row>
    <row r="138" spans="9:12" x14ac:dyDescent="0.25">
      <c r="I138" t="str">
        <f t="shared" si="9"/>
        <v/>
      </c>
      <c r="J138" t="str">
        <f t="shared" si="10"/>
        <v/>
      </c>
      <c r="K138" t="e">
        <f t="shared" si="11"/>
        <v>#VALUE!</v>
      </c>
      <c r="L138" t="str">
        <f t="shared" si="12"/>
        <v/>
      </c>
    </row>
    <row r="139" spans="9:12" x14ac:dyDescent="0.25">
      <c r="I139" t="str">
        <f t="shared" si="9"/>
        <v/>
      </c>
      <c r="J139" t="str">
        <f t="shared" si="10"/>
        <v/>
      </c>
      <c r="K139" t="e">
        <f t="shared" si="11"/>
        <v>#VALUE!</v>
      </c>
      <c r="L139" t="str">
        <f t="shared" si="12"/>
        <v/>
      </c>
    </row>
    <row r="140" spans="9:12" x14ac:dyDescent="0.25">
      <c r="I140" t="str">
        <f t="shared" si="9"/>
        <v/>
      </c>
      <c r="J140" t="str">
        <f t="shared" si="10"/>
        <v/>
      </c>
      <c r="K140" t="e">
        <f t="shared" si="11"/>
        <v>#VALUE!</v>
      </c>
      <c r="L140" t="str">
        <f t="shared" si="12"/>
        <v/>
      </c>
    </row>
    <row r="141" spans="9:12" x14ac:dyDescent="0.25">
      <c r="I141" t="str">
        <f t="shared" si="9"/>
        <v/>
      </c>
      <c r="J141" t="str">
        <f t="shared" si="10"/>
        <v/>
      </c>
      <c r="K141" t="e">
        <f t="shared" si="11"/>
        <v>#VALUE!</v>
      </c>
      <c r="L141" t="str">
        <f t="shared" si="12"/>
        <v/>
      </c>
    </row>
    <row r="142" spans="9:12" x14ac:dyDescent="0.25">
      <c r="I142" t="str">
        <f t="shared" si="9"/>
        <v/>
      </c>
      <c r="J142" t="str">
        <f t="shared" si="10"/>
        <v/>
      </c>
      <c r="K142" t="e">
        <f t="shared" si="11"/>
        <v>#VALUE!</v>
      </c>
      <c r="L142" t="str">
        <f t="shared" si="12"/>
        <v/>
      </c>
    </row>
    <row r="143" spans="9:12" x14ac:dyDescent="0.25">
      <c r="I143" t="str">
        <f t="shared" si="9"/>
        <v/>
      </c>
      <c r="J143" t="str">
        <f t="shared" si="10"/>
        <v/>
      </c>
      <c r="K143" t="e">
        <f t="shared" si="11"/>
        <v>#VALUE!</v>
      </c>
      <c r="L143" t="str">
        <f t="shared" si="12"/>
        <v/>
      </c>
    </row>
    <row r="144" spans="9:12" x14ac:dyDescent="0.25">
      <c r="I144" t="str">
        <f t="shared" si="9"/>
        <v/>
      </c>
      <c r="J144" t="str">
        <f t="shared" si="10"/>
        <v/>
      </c>
      <c r="K144" t="e">
        <f t="shared" si="11"/>
        <v>#VALUE!</v>
      </c>
      <c r="L144" t="str">
        <f t="shared" si="12"/>
        <v/>
      </c>
    </row>
    <row r="145" spans="9:12" x14ac:dyDescent="0.25">
      <c r="I145" t="str">
        <f t="shared" si="9"/>
        <v/>
      </c>
      <c r="J145" t="str">
        <f t="shared" si="10"/>
        <v/>
      </c>
      <c r="K145" t="e">
        <f t="shared" si="11"/>
        <v>#VALUE!</v>
      </c>
      <c r="L145" t="str">
        <f t="shared" si="12"/>
        <v/>
      </c>
    </row>
    <row r="146" spans="9:12" x14ac:dyDescent="0.25">
      <c r="I146" t="str">
        <f t="shared" si="9"/>
        <v/>
      </c>
      <c r="J146" t="str">
        <f t="shared" si="10"/>
        <v/>
      </c>
      <c r="K146" t="e">
        <f t="shared" si="11"/>
        <v>#VALUE!</v>
      </c>
      <c r="L146" t="str">
        <f t="shared" si="12"/>
        <v/>
      </c>
    </row>
    <row r="147" spans="9:12" x14ac:dyDescent="0.25">
      <c r="I147" t="str">
        <f t="shared" si="9"/>
        <v/>
      </c>
      <c r="J147" t="str">
        <f t="shared" si="10"/>
        <v/>
      </c>
      <c r="K147" t="e">
        <f t="shared" si="11"/>
        <v>#VALUE!</v>
      </c>
      <c r="L147" t="str">
        <f t="shared" si="12"/>
        <v/>
      </c>
    </row>
    <row r="148" spans="9:12" x14ac:dyDescent="0.25">
      <c r="I148" t="str">
        <f t="shared" si="9"/>
        <v/>
      </c>
      <c r="J148" t="str">
        <f t="shared" si="10"/>
        <v/>
      </c>
      <c r="K148" t="e">
        <f t="shared" si="11"/>
        <v>#VALUE!</v>
      </c>
      <c r="L148" t="str">
        <f t="shared" si="12"/>
        <v/>
      </c>
    </row>
    <row r="149" spans="9:12" x14ac:dyDescent="0.25">
      <c r="I149" t="str">
        <f t="shared" si="9"/>
        <v/>
      </c>
      <c r="J149" t="str">
        <f t="shared" si="10"/>
        <v/>
      </c>
      <c r="K149" t="e">
        <f t="shared" si="11"/>
        <v>#VALUE!</v>
      </c>
      <c r="L149" t="str">
        <f t="shared" si="12"/>
        <v/>
      </c>
    </row>
    <row r="150" spans="9:12" x14ac:dyDescent="0.25">
      <c r="I150" t="str">
        <f t="shared" si="9"/>
        <v/>
      </c>
      <c r="J150" t="str">
        <f t="shared" si="10"/>
        <v/>
      </c>
      <c r="K150" t="e">
        <f t="shared" si="11"/>
        <v>#VALUE!</v>
      </c>
      <c r="L150" t="str">
        <f t="shared" si="12"/>
        <v/>
      </c>
    </row>
    <row r="151" spans="9:12" x14ac:dyDescent="0.25">
      <c r="I151" t="str">
        <f t="shared" si="9"/>
        <v/>
      </c>
      <c r="J151" t="str">
        <f t="shared" si="10"/>
        <v/>
      </c>
      <c r="K151" t="e">
        <f t="shared" si="11"/>
        <v>#VALUE!</v>
      </c>
      <c r="L151" t="str">
        <f t="shared" si="12"/>
        <v/>
      </c>
    </row>
    <row r="152" spans="9:12" x14ac:dyDescent="0.25">
      <c r="I152" t="str">
        <f t="shared" si="9"/>
        <v/>
      </c>
      <c r="J152" t="str">
        <f t="shared" si="10"/>
        <v/>
      </c>
      <c r="K152" t="e">
        <f t="shared" si="11"/>
        <v>#VALUE!</v>
      </c>
      <c r="L152" t="str">
        <f t="shared" si="12"/>
        <v/>
      </c>
    </row>
    <row r="153" spans="9:12" x14ac:dyDescent="0.25">
      <c r="I153" t="str">
        <f t="shared" si="9"/>
        <v/>
      </c>
      <c r="J153" t="str">
        <f t="shared" si="10"/>
        <v/>
      </c>
      <c r="K153" t="e">
        <f t="shared" si="11"/>
        <v>#VALUE!</v>
      </c>
      <c r="L153" t="str">
        <f t="shared" si="12"/>
        <v/>
      </c>
    </row>
    <row r="154" spans="9:12" x14ac:dyDescent="0.25">
      <c r="I154" t="str">
        <f t="shared" si="9"/>
        <v/>
      </c>
      <c r="J154" t="str">
        <f t="shared" si="10"/>
        <v/>
      </c>
      <c r="K154" t="e">
        <f t="shared" si="11"/>
        <v>#VALUE!</v>
      </c>
      <c r="L154" t="str">
        <f t="shared" si="12"/>
        <v/>
      </c>
    </row>
    <row r="155" spans="9:12" x14ac:dyDescent="0.25">
      <c r="I155" t="str">
        <f t="shared" si="9"/>
        <v/>
      </c>
      <c r="J155" t="str">
        <f t="shared" si="10"/>
        <v/>
      </c>
      <c r="K155" t="e">
        <f t="shared" si="11"/>
        <v>#VALUE!</v>
      </c>
      <c r="L155" t="str">
        <f t="shared" si="12"/>
        <v/>
      </c>
    </row>
    <row r="156" spans="9:12" x14ac:dyDescent="0.25">
      <c r="I156" t="str">
        <f t="shared" si="9"/>
        <v/>
      </c>
      <c r="J156" t="str">
        <f t="shared" si="10"/>
        <v/>
      </c>
      <c r="K156" t="e">
        <f t="shared" si="11"/>
        <v>#VALUE!</v>
      </c>
      <c r="L156" t="str">
        <f t="shared" si="12"/>
        <v/>
      </c>
    </row>
    <row r="157" spans="9:12" x14ac:dyDescent="0.25">
      <c r="I157" t="str">
        <f t="shared" si="9"/>
        <v/>
      </c>
      <c r="J157" t="str">
        <f t="shared" si="10"/>
        <v/>
      </c>
      <c r="K157" t="e">
        <f t="shared" si="11"/>
        <v>#VALUE!</v>
      </c>
      <c r="L157" t="str">
        <f t="shared" si="12"/>
        <v/>
      </c>
    </row>
    <row r="158" spans="9:12" x14ac:dyDescent="0.25">
      <c r="I158" t="str">
        <f t="shared" si="9"/>
        <v/>
      </c>
      <c r="J158" t="str">
        <f t="shared" si="10"/>
        <v/>
      </c>
      <c r="K158" t="e">
        <f t="shared" si="11"/>
        <v>#VALUE!</v>
      </c>
      <c r="L158" t="str">
        <f t="shared" si="12"/>
        <v/>
      </c>
    </row>
    <row r="159" spans="9:12" x14ac:dyDescent="0.25">
      <c r="I159" t="str">
        <f t="shared" si="9"/>
        <v/>
      </c>
      <c r="J159" t="str">
        <f t="shared" si="10"/>
        <v/>
      </c>
      <c r="K159" t="e">
        <f t="shared" si="11"/>
        <v>#VALUE!</v>
      </c>
      <c r="L159" t="str">
        <f t="shared" si="12"/>
        <v/>
      </c>
    </row>
    <row r="160" spans="9:12" x14ac:dyDescent="0.25">
      <c r="I160" t="str">
        <f t="shared" si="9"/>
        <v/>
      </c>
      <c r="J160" t="str">
        <f t="shared" si="10"/>
        <v/>
      </c>
      <c r="K160" t="e">
        <f t="shared" si="11"/>
        <v>#VALUE!</v>
      </c>
      <c r="L160" t="str">
        <f t="shared" si="12"/>
        <v/>
      </c>
    </row>
    <row r="161" spans="9:12" x14ac:dyDescent="0.25">
      <c r="I161" t="str">
        <f t="shared" si="9"/>
        <v/>
      </c>
      <c r="J161" t="str">
        <f t="shared" si="10"/>
        <v/>
      </c>
      <c r="K161" t="e">
        <f t="shared" si="11"/>
        <v>#VALUE!</v>
      </c>
      <c r="L161" t="str">
        <f t="shared" si="12"/>
        <v/>
      </c>
    </row>
    <row r="162" spans="9:12" x14ac:dyDescent="0.25">
      <c r="I162" t="str">
        <f t="shared" si="9"/>
        <v/>
      </c>
      <c r="J162" t="str">
        <f t="shared" si="10"/>
        <v/>
      </c>
      <c r="K162" t="e">
        <f t="shared" si="11"/>
        <v>#VALUE!</v>
      </c>
      <c r="L162" t="str">
        <f t="shared" si="12"/>
        <v/>
      </c>
    </row>
    <row r="163" spans="9:12" x14ac:dyDescent="0.25">
      <c r="I163" t="str">
        <f t="shared" si="9"/>
        <v/>
      </c>
      <c r="J163" t="str">
        <f t="shared" si="10"/>
        <v/>
      </c>
      <c r="K163" t="e">
        <f t="shared" si="11"/>
        <v>#VALUE!</v>
      </c>
      <c r="L163" t="str">
        <f t="shared" si="12"/>
        <v/>
      </c>
    </row>
    <row r="164" spans="9:12" x14ac:dyDescent="0.25">
      <c r="I164" t="str">
        <f t="shared" si="9"/>
        <v/>
      </c>
      <c r="J164" t="str">
        <f t="shared" si="10"/>
        <v/>
      </c>
      <c r="K164" t="e">
        <f t="shared" si="11"/>
        <v>#VALUE!</v>
      </c>
      <c r="L164" t="str">
        <f t="shared" si="12"/>
        <v/>
      </c>
    </row>
    <row r="165" spans="9:12" x14ac:dyDescent="0.25">
      <c r="I165" t="str">
        <f t="shared" si="9"/>
        <v/>
      </c>
      <c r="J165" t="str">
        <f t="shared" si="10"/>
        <v/>
      </c>
      <c r="K165" t="e">
        <f t="shared" si="11"/>
        <v>#VALUE!</v>
      </c>
      <c r="L165" t="str">
        <f t="shared" si="12"/>
        <v/>
      </c>
    </row>
    <row r="166" spans="9:12" x14ac:dyDescent="0.25">
      <c r="I166" t="str">
        <f t="shared" si="9"/>
        <v/>
      </c>
      <c r="J166" t="str">
        <f t="shared" si="10"/>
        <v/>
      </c>
      <c r="K166" t="e">
        <f t="shared" si="11"/>
        <v>#VALUE!</v>
      </c>
      <c r="L166" t="str">
        <f t="shared" si="12"/>
        <v/>
      </c>
    </row>
    <row r="167" spans="9:12" x14ac:dyDescent="0.25">
      <c r="I167" t="str">
        <f t="shared" si="9"/>
        <v/>
      </c>
      <c r="J167" t="str">
        <f t="shared" si="10"/>
        <v/>
      </c>
      <c r="K167" t="e">
        <f t="shared" si="11"/>
        <v>#VALUE!</v>
      </c>
      <c r="L167" t="str">
        <f t="shared" si="12"/>
        <v/>
      </c>
    </row>
    <row r="168" spans="9:12" x14ac:dyDescent="0.25">
      <c r="I168" t="str">
        <f t="shared" si="9"/>
        <v/>
      </c>
      <c r="J168" t="str">
        <f t="shared" si="10"/>
        <v/>
      </c>
      <c r="K168" t="e">
        <f t="shared" si="11"/>
        <v>#VALUE!</v>
      </c>
      <c r="L168" t="str">
        <f t="shared" si="12"/>
        <v/>
      </c>
    </row>
    <row r="169" spans="9:12" x14ac:dyDescent="0.25">
      <c r="I169" t="str">
        <f t="shared" si="9"/>
        <v/>
      </c>
      <c r="J169" t="str">
        <f t="shared" si="10"/>
        <v/>
      </c>
      <c r="K169" t="e">
        <f t="shared" si="11"/>
        <v>#VALUE!</v>
      </c>
      <c r="L169" t="str">
        <f t="shared" si="12"/>
        <v/>
      </c>
    </row>
    <row r="170" spans="9:12" x14ac:dyDescent="0.25">
      <c r="I170" t="str">
        <f t="shared" si="9"/>
        <v/>
      </c>
      <c r="J170" t="str">
        <f t="shared" si="10"/>
        <v/>
      </c>
      <c r="K170" t="e">
        <f t="shared" si="11"/>
        <v>#VALUE!</v>
      </c>
      <c r="L170" t="str">
        <f t="shared" si="12"/>
        <v/>
      </c>
    </row>
    <row r="171" spans="9:12" x14ac:dyDescent="0.25">
      <c r="I171" t="str">
        <f t="shared" si="9"/>
        <v/>
      </c>
      <c r="J171" t="str">
        <f t="shared" si="10"/>
        <v/>
      </c>
      <c r="K171" t="e">
        <f t="shared" si="11"/>
        <v>#VALUE!</v>
      </c>
      <c r="L171" t="str">
        <f t="shared" si="12"/>
        <v/>
      </c>
    </row>
    <row r="172" spans="9:12" x14ac:dyDescent="0.25">
      <c r="I172" t="str">
        <f t="shared" si="9"/>
        <v/>
      </c>
      <c r="J172" t="str">
        <f t="shared" si="10"/>
        <v/>
      </c>
      <c r="K172" t="e">
        <f t="shared" si="11"/>
        <v>#VALUE!</v>
      </c>
      <c r="L172" t="str">
        <f t="shared" si="12"/>
        <v/>
      </c>
    </row>
    <row r="173" spans="9:12" x14ac:dyDescent="0.25">
      <c r="I173" t="str">
        <f t="shared" si="9"/>
        <v/>
      </c>
      <c r="J173" t="str">
        <f t="shared" si="10"/>
        <v/>
      </c>
      <c r="K173" t="e">
        <f t="shared" si="11"/>
        <v>#VALUE!</v>
      </c>
      <c r="L173" t="str">
        <f t="shared" si="12"/>
        <v/>
      </c>
    </row>
    <row r="174" spans="9:12" x14ac:dyDescent="0.25">
      <c r="I174" t="str">
        <f t="shared" si="9"/>
        <v/>
      </c>
      <c r="J174" t="str">
        <f t="shared" si="10"/>
        <v/>
      </c>
      <c r="K174" t="e">
        <f t="shared" si="11"/>
        <v>#VALUE!</v>
      </c>
      <c r="L174" t="str">
        <f t="shared" si="12"/>
        <v/>
      </c>
    </row>
    <row r="175" spans="9:12" x14ac:dyDescent="0.25">
      <c r="I175" t="str">
        <f t="shared" si="9"/>
        <v/>
      </c>
      <c r="J175" t="str">
        <f t="shared" si="10"/>
        <v/>
      </c>
      <c r="K175" t="e">
        <f t="shared" si="11"/>
        <v>#VALUE!</v>
      </c>
      <c r="L175" t="str">
        <f t="shared" si="12"/>
        <v/>
      </c>
    </row>
    <row r="176" spans="9:12" x14ac:dyDescent="0.25">
      <c r="I176" t="str">
        <f t="shared" si="9"/>
        <v/>
      </c>
      <c r="J176" t="str">
        <f t="shared" si="10"/>
        <v/>
      </c>
      <c r="K176" t="e">
        <f t="shared" si="11"/>
        <v>#VALUE!</v>
      </c>
      <c r="L176" t="str">
        <f t="shared" si="12"/>
        <v/>
      </c>
    </row>
    <row r="177" spans="9:12" x14ac:dyDescent="0.25">
      <c r="I177" t="str">
        <f t="shared" si="9"/>
        <v/>
      </c>
      <c r="J177" t="str">
        <f t="shared" si="10"/>
        <v/>
      </c>
      <c r="K177" t="e">
        <f t="shared" si="11"/>
        <v>#VALUE!</v>
      </c>
      <c r="L177" t="str">
        <f t="shared" si="12"/>
        <v/>
      </c>
    </row>
    <row r="178" spans="9:12" x14ac:dyDescent="0.25">
      <c r="I178" t="str">
        <f t="shared" si="9"/>
        <v/>
      </c>
      <c r="J178" t="str">
        <f t="shared" si="10"/>
        <v/>
      </c>
      <c r="K178" t="e">
        <f t="shared" si="11"/>
        <v>#VALUE!</v>
      </c>
      <c r="L178" t="str">
        <f t="shared" si="12"/>
        <v/>
      </c>
    </row>
    <row r="179" spans="9:12" x14ac:dyDescent="0.25">
      <c r="I179" t="str">
        <f t="shared" si="9"/>
        <v/>
      </c>
      <c r="J179" t="str">
        <f t="shared" si="10"/>
        <v/>
      </c>
      <c r="K179" t="e">
        <f t="shared" si="11"/>
        <v>#VALUE!</v>
      </c>
      <c r="L179" t="str">
        <f t="shared" si="12"/>
        <v/>
      </c>
    </row>
    <row r="180" spans="9:12" x14ac:dyDescent="0.25">
      <c r="I180" t="str">
        <f t="shared" si="9"/>
        <v/>
      </c>
      <c r="J180" t="str">
        <f t="shared" si="10"/>
        <v/>
      </c>
      <c r="K180" t="e">
        <f t="shared" si="11"/>
        <v>#VALUE!</v>
      </c>
      <c r="L180" t="str">
        <f t="shared" si="12"/>
        <v/>
      </c>
    </row>
    <row r="181" spans="9:12" x14ac:dyDescent="0.25">
      <c r="I181" t="str">
        <f t="shared" si="9"/>
        <v/>
      </c>
      <c r="J181" t="str">
        <f t="shared" si="10"/>
        <v/>
      </c>
      <c r="K181" t="e">
        <f t="shared" si="11"/>
        <v>#VALUE!</v>
      </c>
      <c r="L181" t="str">
        <f t="shared" si="12"/>
        <v/>
      </c>
    </row>
    <row r="182" spans="9:12" x14ac:dyDescent="0.25">
      <c r="I182" t="str">
        <f t="shared" si="9"/>
        <v/>
      </c>
      <c r="J182" t="str">
        <f t="shared" si="10"/>
        <v/>
      </c>
      <c r="K182" t="e">
        <f t="shared" si="11"/>
        <v>#VALUE!</v>
      </c>
      <c r="L182" t="str">
        <f t="shared" si="12"/>
        <v/>
      </c>
    </row>
    <row r="183" spans="9:12" x14ac:dyDescent="0.25">
      <c r="I183" t="str">
        <f t="shared" si="9"/>
        <v/>
      </c>
      <c r="J183" t="str">
        <f t="shared" si="10"/>
        <v/>
      </c>
      <c r="K183" t="e">
        <f t="shared" si="11"/>
        <v>#VALUE!</v>
      </c>
      <c r="L183" t="str">
        <f t="shared" si="12"/>
        <v/>
      </c>
    </row>
    <row r="184" spans="9:12" x14ac:dyDescent="0.25">
      <c r="I184" t="str">
        <f t="shared" si="9"/>
        <v/>
      </c>
      <c r="J184" t="str">
        <f t="shared" si="10"/>
        <v/>
      </c>
      <c r="K184" t="e">
        <f t="shared" si="11"/>
        <v>#VALUE!</v>
      </c>
      <c r="L184" t="str">
        <f t="shared" si="12"/>
        <v/>
      </c>
    </row>
    <row r="185" spans="9:12" x14ac:dyDescent="0.25">
      <c r="I185" t="str">
        <f t="shared" si="9"/>
        <v/>
      </c>
      <c r="J185" t="str">
        <f t="shared" si="10"/>
        <v/>
      </c>
      <c r="K185" t="e">
        <f t="shared" si="11"/>
        <v>#VALUE!</v>
      </c>
      <c r="L185" t="str">
        <f t="shared" si="12"/>
        <v/>
      </c>
    </row>
    <row r="186" spans="9:12" x14ac:dyDescent="0.25">
      <c r="I186" t="str">
        <f t="shared" si="9"/>
        <v/>
      </c>
      <c r="J186" t="str">
        <f t="shared" si="10"/>
        <v/>
      </c>
      <c r="K186" t="e">
        <f t="shared" si="11"/>
        <v>#VALUE!</v>
      </c>
      <c r="L186" t="str">
        <f t="shared" si="12"/>
        <v/>
      </c>
    </row>
    <row r="187" spans="9:12" x14ac:dyDescent="0.25">
      <c r="I187" t="str">
        <f t="shared" si="9"/>
        <v/>
      </c>
      <c r="J187" t="str">
        <f t="shared" si="10"/>
        <v/>
      </c>
      <c r="K187" t="e">
        <f t="shared" si="11"/>
        <v>#VALUE!</v>
      </c>
      <c r="L187" t="str">
        <f t="shared" si="12"/>
        <v/>
      </c>
    </row>
    <row r="188" spans="9:12" x14ac:dyDescent="0.25">
      <c r="I188" t="str">
        <f t="shared" si="9"/>
        <v/>
      </c>
      <c r="J188" t="str">
        <f t="shared" si="10"/>
        <v/>
      </c>
      <c r="K188" t="e">
        <f t="shared" si="11"/>
        <v>#VALUE!</v>
      </c>
      <c r="L188" t="str">
        <f t="shared" si="12"/>
        <v/>
      </c>
    </row>
    <row r="189" spans="9:12" x14ac:dyDescent="0.25">
      <c r="I189" t="str">
        <f t="shared" si="9"/>
        <v/>
      </c>
      <c r="J189" t="str">
        <f t="shared" si="10"/>
        <v/>
      </c>
      <c r="K189" t="e">
        <f t="shared" si="11"/>
        <v>#VALUE!</v>
      </c>
      <c r="L189" t="str">
        <f t="shared" si="12"/>
        <v/>
      </c>
    </row>
    <row r="190" spans="9:12" x14ac:dyDescent="0.25">
      <c r="I190" t="str">
        <f t="shared" si="9"/>
        <v/>
      </c>
      <c r="J190" t="str">
        <f t="shared" si="10"/>
        <v/>
      </c>
      <c r="K190" t="e">
        <f t="shared" si="11"/>
        <v>#VALUE!</v>
      </c>
      <c r="L190" t="str">
        <f t="shared" si="12"/>
        <v/>
      </c>
    </row>
    <row r="191" spans="9:12" x14ac:dyDescent="0.25">
      <c r="I191" t="str">
        <f t="shared" si="9"/>
        <v/>
      </c>
      <c r="J191" t="str">
        <f t="shared" si="10"/>
        <v/>
      </c>
      <c r="K191" t="e">
        <f t="shared" si="11"/>
        <v>#VALUE!</v>
      </c>
      <c r="L191" t="str">
        <f t="shared" si="12"/>
        <v/>
      </c>
    </row>
    <row r="192" spans="9:12" x14ac:dyDescent="0.25">
      <c r="I192" t="str">
        <f t="shared" si="9"/>
        <v/>
      </c>
      <c r="J192" t="str">
        <f t="shared" si="10"/>
        <v/>
      </c>
      <c r="K192" t="e">
        <f t="shared" si="11"/>
        <v>#VALUE!</v>
      </c>
      <c r="L192" t="str">
        <f t="shared" si="12"/>
        <v/>
      </c>
    </row>
    <row r="193" spans="9:12" x14ac:dyDescent="0.25">
      <c r="I193" t="str">
        <f t="shared" si="9"/>
        <v/>
      </c>
      <c r="J193" t="str">
        <f t="shared" si="10"/>
        <v/>
      </c>
      <c r="K193" t="e">
        <f t="shared" si="11"/>
        <v>#VALUE!</v>
      </c>
      <c r="L193" t="str">
        <f t="shared" si="12"/>
        <v/>
      </c>
    </row>
    <row r="194" spans="9:12" x14ac:dyDescent="0.25">
      <c r="I194" t="str">
        <f t="shared" si="9"/>
        <v/>
      </c>
      <c r="J194" t="str">
        <f t="shared" si="10"/>
        <v/>
      </c>
      <c r="K194" t="e">
        <f t="shared" si="11"/>
        <v>#VALUE!</v>
      </c>
      <c r="L194" t="str">
        <f t="shared" si="12"/>
        <v/>
      </c>
    </row>
    <row r="195" spans="9:12" x14ac:dyDescent="0.25">
      <c r="I195" t="str">
        <f t="shared" si="9"/>
        <v/>
      </c>
      <c r="J195" t="str">
        <f t="shared" si="10"/>
        <v/>
      </c>
      <c r="K195" t="e">
        <f t="shared" si="11"/>
        <v>#VALUE!</v>
      </c>
      <c r="L195" t="str">
        <f t="shared" si="12"/>
        <v/>
      </c>
    </row>
    <row r="196" spans="9:12" x14ac:dyDescent="0.25">
      <c r="I196" t="str">
        <f t="shared" ref="I196:I241" si="13">IF(ISBLANK(A196),"",CONCATENATE("Закладка кирпичом ",H196," проёма ",C196,"x",D196,"(h)","мм. в стене толщиной ",RIGHT(A196,6)))</f>
        <v/>
      </c>
      <c r="J196" t="str">
        <f t="shared" ref="J196:J259" si="14">LEFT(RIGHT(A196,6),3)</f>
        <v/>
      </c>
      <c r="K196" t="e">
        <f t="shared" ref="K196:K259" si="15">((J196*C196*D196)/(1000*1000*1000))*E196</f>
        <v>#VALUE!</v>
      </c>
      <c r="L196" t="str">
        <f t="shared" ref="L196:L259" si="16">IF(ISBLANK(A196),"",CONCATENATE(ROUND(K196,2)," куб.м."))</f>
        <v/>
      </c>
    </row>
    <row r="197" spans="9:12" x14ac:dyDescent="0.25">
      <c r="I197" t="str">
        <f t="shared" si="13"/>
        <v/>
      </c>
      <c r="J197" t="str">
        <f t="shared" si="14"/>
        <v/>
      </c>
      <c r="K197" t="e">
        <f t="shared" si="15"/>
        <v>#VALUE!</v>
      </c>
      <c r="L197" t="str">
        <f t="shared" si="16"/>
        <v/>
      </c>
    </row>
    <row r="198" spans="9:12" x14ac:dyDescent="0.25">
      <c r="I198" t="str">
        <f t="shared" si="13"/>
        <v/>
      </c>
      <c r="J198" t="str">
        <f t="shared" si="14"/>
        <v/>
      </c>
      <c r="K198" t="e">
        <f t="shared" si="15"/>
        <v>#VALUE!</v>
      </c>
      <c r="L198" t="str">
        <f t="shared" si="16"/>
        <v/>
      </c>
    </row>
    <row r="199" spans="9:12" x14ac:dyDescent="0.25">
      <c r="I199" t="str">
        <f t="shared" si="13"/>
        <v/>
      </c>
      <c r="J199" t="str">
        <f t="shared" si="14"/>
        <v/>
      </c>
      <c r="K199" t="e">
        <f t="shared" si="15"/>
        <v>#VALUE!</v>
      </c>
      <c r="L199" t="str">
        <f t="shared" si="16"/>
        <v/>
      </c>
    </row>
    <row r="200" spans="9:12" x14ac:dyDescent="0.25">
      <c r="I200" t="str">
        <f t="shared" si="13"/>
        <v/>
      </c>
      <c r="J200" t="str">
        <f t="shared" si="14"/>
        <v/>
      </c>
      <c r="K200" t="e">
        <f t="shared" si="15"/>
        <v>#VALUE!</v>
      </c>
      <c r="L200" t="str">
        <f t="shared" si="16"/>
        <v/>
      </c>
    </row>
    <row r="201" spans="9:12" x14ac:dyDescent="0.25">
      <c r="I201" t="str">
        <f t="shared" si="13"/>
        <v/>
      </c>
      <c r="J201" t="str">
        <f t="shared" si="14"/>
        <v/>
      </c>
      <c r="K201" t="e">
        <f t="shared" si="15"/>
        <v>#VALUE!</v>
      </c>
      <c r="L201" t="str">
        <f t="shared" si="16"/>
        <v/>
      </c>
    </row>
    <row r="202" spans="9:12" x14ac:dyDescent="0.25">
      <c r="I202" t="str">
        <f t="shared" si="13"/>
        <v/>
      </c>
      <c r="J202" t="str">
        <f t="shared" si="14"/>
        <v/>
      </c>
      <c r="K202" t="e">
        <f t="shared" si="15"/>
        <v>#VALUE!</v>
      </c>
      <c r="L202" t="str">
        <f t="shared" si="16"/>
        <v/>
      </c>
    </row>
    <row r="203" spans="9:12" x14ac:dyDescent="0.25">
      <c r="I203" t="str">
        <f t="shared" si="13"/>
        <v/>
      </c>
      <c r="J203" t="str">
        <f t="shared" si="14"/>
        <v/>
      </c>
      <c r="K203" t="e">
        <f t="shared" si="15"/>
        <v>#VALUE!</v>
      </c>
      <c r="L203" t="str">
        <f t="shared" si="16"/>
        <v/>
      </c>
    </row>
    <row r="204" spans="9:12" x14ac:dyDescent="0.25">
      <c r="I204" t="str">
        <f t="shared" si="13"/>
        <v/>
      </c>
      <c r="J204" t="str">
        <f t="shared" si="14"/>
        <v/>
      </c>
      <c r="K204" t="e">
        <f t="shared" si="15"/>
        <v>#VALUE!</v>
      </c>
      <c r="L204" t="str">
        <f t="shared" si="16"/>
        <v/>
      </c>
    </row>
    <row r="205" spans="9:12" x14ac:dyDescent="0.25">
      <c r="I205" t="str">
        <f t="shared" si="13"/>
        <v/>
      </c>
      <c r="J205" t="str">
        <f t="shared" si="14"/>
        <v/>
      </c>
      <c r="K205" t="e">
        <f t="shared" si="15"/>
        <v>#VALUE!</v>
      </c>
      <c r="L205" t="str">
        <f t="shared" si="16"/>
        <v/>
      </c>
    </row>
    <row r="206" spans="9:12" x14ac:dyDescent="0.25">
      <c r="I206" t="str">
        <f t="shared" si="13"/>
        <v/>
      </c>
      <c r="J206" t="str">
        <f t="shared" si="14"/>
        <v/>
      </c>
      <c r="K206" t="e">
        <f t="shared" si="15"/>
        <v>#VALUE!</v>
      </c>
      <c r="L206" t="str">
        <f t="shared" si="16"/>
        <v/>
      </c>
    </row>
    <row r="207" spans="9:12" x14ac:dyDescent="0.25">
      <c r="I207" t="str">
        <f t="shared" si="13"/>
        <v/>
      </c>
      <c r="J207" t="str">
        <f t="shared" si="14"/>
        <v/>
      </c>
      <c r="K207" t="e">
        <f t="shared" si="15"/>
        <v>#VALUE!</v>
      </c>
      <c r="L207" t="str">
        <f t="shared" si="16"/>
        <v/>
      </c>
    </row>
    <row r="208" spans="9:12" x14ac:dyDescent="0.25">
      <c r="I208" t="str">
        <f t="shared" si="13"/>
        <v/>
      </c>
      <c r="J208" t="str">
        <f t="shared" si="14"/>
        <v/>
      </c>
      <c r="K208" t="e">
        <f t="shared" si="15"/>
        <v>#VALUE!</v>
      </c>
      <c r="L208" t="str">
        <f t="shared" si="16"/>
        <v/>
      </c>
    </row>
    <row r="209" spans="9:12" x14ac:dyDescent="0.25">
      <c r="I209" t="str">
        <f t="shared" si="13"/>
        <v/>
      </c>
      <c r="J209" t="str">
        <f t="shared" si="14"/>
        <v/>
      </c>
      <c r="K209" t="e">
        <f t="shared" si="15"/>
        <v>#VALUE!</v>
      </c>
      <c r="L209" t="str">
        <f t="shared" si="16"/>
        <v/>
      </c>
    </row>
    <row r="210" spans="9:12" x14ac:dyDescent="0.25">
      <c r="I210" t="str">
        <f t="shared" si="13"/>
        <v/>
      </c>
      <c r="J210" t="str">
        <f t="shared" si="14"/>
        <v/>
      </c>
      <c r="K210" t="e">
        <f t="shared" si="15"/>
        <v>#VALUE!</v>
      </c>
      <c r="L210" t="str">
        <f t="shared" si="16"/>
        <v/>
      </c>
    </row>
    <row r="211" spans="9:12" x14ac:dyDescent="0.25">
      <c r="I211" t="str">
        <f t="shared" si="13"/>
        <v/>
      </c>
      <c r="J211" t="str">
        <f t="shared" si="14"/>
        <v/>
      </c>
      <c r="K211" t="e">
        <f t="shared" si="15"/>
        <v>#VALUE!</v>
      </c>
      <c r="L211" t="str">
        <f t="shared" si="16"/>
        <v/>
      </c>
    </row>
    <row r="212" spans="9:12" x14ac:dyDescent="0.25">
      <c r="I212" t="str">
        <f t="shared" si="13"/>
        <v/>
      </c>
      <c r="J212" t="str">
        <f t="shared" si="14"/>
        <v/>
      </c>
      <c r="K212" t="e">
        <f t="shared" si="15"/>
        <v>#VALUE!</v>
      </c>
      <c r="L212" t="str">
        <f t="shared" si="16"/>
        <v/>
      </c>
    </row>
    <row r="213" spans="9:12" x14ac:dyDescent="0.25">
      <c r="I213" t="str">
        <f t="shared" si="13"/>
        <v/>
      </c>
      <c r="J213" t="str">
        <f t="shared" si="14"/>
        <v/>
      </c>
      <c r="K213" t="e">
        <f t="shared" si="15"/>
        <v>#VALUE!</v>
      </c>
      <c r="L213" t="str">
        <f t="shared" si="16"/>
        <v/>
      </c>
    </row>
    <row r="214" spans="9:12" x14ac:dyDescent="0.25">
      <c r="I214" t="str">
        <f t="shared" si="13"/>
        <v/>
      </c>
      <c r="J214" t="str">
        <f t="shared" si="14"/>
        <v/>
      </c>
      <c r="K214" t="e">
        <f t="shared" si="15"/>
        <v>#VALUE!</v>
      </c>
      <c r="L214" t="str">
        <f t="shared" si="16"/>
        <v/>
      </c>
    </row>
    <row r="215" spans="9:12" x14ac:dyDescent="0.25">
      <c r="I215" t="str">
        <f t="shared" si="13"/>
        <v/>
      </c>
      <c r="J215" t="str">
        <f t="shared" si="14"/>
        <v/>
      </c>
      <c r="K215" t="e">
        <f t="shared" si="15"/>
        <v>#VALUE!</v>
      </c>
      <c r="L215" t="str">
        <f t="shared" si="16"/>
        <v/>
      </c>
    </row>
    <row r="216" spans="9:12" x14ac:dyDescent="0.25">
      <c r="I216" t="str">
        <f t="shared" si="13"/>
        <v/>
      </c>
      <c r="J216" t="str">
        <f t="shared" si="14"/>
        <v/>
      </c>
      <c r="K216" t="e">
        <f t="shared" si="15"/>
        <v>#VALUE!</v>
      </c>
      <c r="L216" t="str">
        <f t="shared" si="16"/>
        <v/>
      </c>
    </row>
    <row r="217" spans="9:12" x14ac:dyDescent="0.25">
      <c r="I217" t="str">
        <f t="shared" si="13"/>
        <v/>
      </c>
      <c r="J217" t="str">
        <f t="shared" si="14"/>
        <v/>
      </c>
      <c r="K217" t="e">
        <f t="shared" si="15"/>
        <v>#VALUE!</v>
      </c>
      <c r="L217" t="str">
        <f t="shared" si="16"/>
        <v/>
      </c>
    </row>
    <row r="218" spans="9:12" x14ac:dyDescent="0.25">
      <c r="I218" t="str">
        <f t="shared" si="13"/>
        <v/>
      </c>
      <c r="J218" t="str">
        <f t="shared" si="14"/>
        <v/>
      </c>
      <c r="K218" t="e">
        <f t="shared" si="15"/>
        <v>#VALUE!</v>
      </c>
      <c r="L218" t="str">
        <f t="shared" si="16"/>
        <v/>
      </c>
    </row>
    <row r="219" spans="9:12" x14ac:dyDescent="0.25">
      <c r="I219" t="str">
        <f t="shared" si="13"/>
        <v/>
      </c>
      <c r="J219" t="str">
        <f t="shared" si="14"/>
        <v/>
      </c>
      <c r="K219" t="e">
        <f t="shared" si="15"/>
        <v>#VALUE!</v>
      </c>
      <c r="L219" t="str">
        <f t="shared" si="16"/>
        <v/>
      </c>
    </row>
    <row r="220" spans="9:12" x14ac:dyDescent="0.25">
      <c r="I220" t="str">
        <f t="shared" si="13"/>
        <v/>
      </c>
      <c r="J220" t="str">
        <f t="shared" si="14"/>
        <v/>
      </c>
      <c r="K220" t="e">
        <f t="shared" si="15"/>
        <v>#VALUE!</v>
      </c>
      <c r="L220" t="str">
        <f t="shared" si="16"/>
        <v/>
      </c>
    </row>
    <row r="221" spans="9:12" x14ac:dyDescent="0.25">
      <c r="I221" t="str">
        <f t="shared" si="13"/>
        <v/>
      </c>
      <c r="J221" t="str">
        <f t="shared" si="14"/>
        <v/>
      </c>
      <c r="K221" t="e">
        <f t="shared" si="15"/>
        <v>#VALUE!</v>
      </c>
      <c r="L221" t="str">
        <f t="shared" si="16"/>
        <v/>
      </c>
    </row>
    <row r="222" spans="9:12" x14ac:dyDescent="0.25">
      <c r="I222" t="str">
        <f t="shared" si="13"/>
        <v/>
      </c>
      <c r="J222" t="str">
        <f t="shared" si="14"/>
        <v/>
      </c>
      <c r="K222" t="e">
        <f t="shared" si="15"/>
        <v>#VALUE!</v>
      </c>
      <c r="L222" t="str">
        <f t="shared" si="16"/>
        <v/>
      </c>
    </row>
    <row r="223" spans="9:12" x14ac:dyDescent="0.25">
      <c r="I223" t="str">
        <f t="shared" si="13"/>
        <v/>
      </c>
      <c r="J223" t="str">
        <f t="shared" si="14"/>
        <v/>
      </c>
      <c r="K223" t="e">
        <f t="shared" si="15"/>
        <v>#VALUE!</v>
      </c>
      <c r="L223" t="str">
        <f t="shared" si="16"/>
        <v/>
      </c>
    </row>
    <row r="224" spans="9:12" x14ac:dyDescent="0.25">
      <c r="I224" t="str">
        <f t="shared" si="13"/>
        <v/>
      </c>
      <c r="J224" t="str">
        <f t="shared" si="14"/>
        <v/>
      </c>
      <c r="K224" t="e">
        <f t="shared" si="15"/>
        <v>#VALUE!</v>
      </c>
      <c r="L224" t="str">
        <f t="shared" si="16"/>
        <v/>
      </c>
    </row>
    <row r="225" spans="9:12" x14ac:dyDescent="0.25">
      <c r="I225" t="str">
        <f t="shared" si="13"/>
        <v/>
      </c>
      <c r="J225" t="str">
        <f t="shared" si="14"/>
        <v/>
      </c>
      <c r="K225" t="e">
        <f t="shared" si="15"/>
        <v>#VALUE!</v>
      </c>
      <c r="L225" t="str">
        <f t="shared" si="16"/>
        <v/>
      </c>
    </row>
    <row r="226" spans="9:12" x14ac:dyDescent="0.25">
      <c r="I226" t="str">
        <f t="shared" si="13"/>
        <v/>
      </c>
      <c r="J226" t="str">
        <f t="shared" si="14"/>
        <v/>
      </c>
      <c r="K226" t="e">
        <f t="shared" si="15"/>
        <v>#VALUE!</v>
      </c>
      <c r="L226" t="str">
        <f t="shared" si="16"/>
        <v/>
      </c>
    </row>
    <row r="227" spans="9:12" x14ac:dyDescent="0.25">
      <c r="I227" t="str">
        <f t="shared" si="13"/>
        <v/>
      </c>
      <c r="J227" t="str">
        <f t="shared" si="14"/>
        <v/>
      </c>
      <c r="K227" t="e">
        <f t="shared" si="15"/>
        <v>#VALUE!</v>
      </c>
      <c r="L227" t="str">
        <f t="shared" si="16"/>
        <v/>
      </c>
    </row>
    <row r="228" spans="9:12" x14ac:dyDescent="0.25">
      <c r="I228" t="str">
        <f t="shared" si="13"/>
        <v/>
      </c>
      <c r="J228" t="str">
        <f t="shared" si="14"/>
        <v/>
      </c>
      <c r="K228" t="e">
        <f t="shared" si="15"/>
        <v>#VALUE!</v>
      </c>
      <c r="L228" t="str">
        <f t="shared" si="16"/>
        <v/>
      </c>
    </row>
    <row r="229" spans="9:12" x14ac:dyDescent="0.25">
      <c r="I229" t="str">
        <f t="shared" si="13"/>
        <v/>
      </c>
      <c r="J229" t="str">
        <f t="shared" si="14"/>
        <v/>
      </c>
      <c r="K229" t="e">
        <f t="shared" si="15"/>
        <v>#VALUE!</v>
      </c>
      <c r="L229" t="str">
        <f t="shared" si="16"/>
        <v/>
      </c>
    </row>
    <row r="230" spans="9:12" x14ac:dyDescent="0.25">
      <c r="I230" t="str">
        <f t="shared" si="13"/>
        <v/>
      </c>
      <c r="J230" t="str">
        <f t="shared" si="14"/>
        <v/>
      </c>
      <c r="K230" t="e">
        <f t="shared" si="15"/>
        <v>#VALUE!</v>
      </c>
      <c r="L230" t="str">
        <f t="shared" si="16"/>
        <v/>
      </c>
    </row>
    <row r="231" spans="9:12" x14ac:dyDescent="0.25">
      <c r="I231" t="str">
        <f t="shared" si="13"/>
        <v/>
      </c>
      <c r="J231" t="str">
        <f t="shared" si="14"/>
        <v/>
      </c>
      <c r="K231" t="e">
        <f t="shared" si="15"/>
        <v>#VALUE!</v>
      </c>
      <c r="L231" t="str">
        <f t="shared" si="16"/>
        <v/>
      </c>
    </row>
    <row r="232" spans="9:12" x14ac:dyDescent="0.25">
      <c r="I232" t="str">
        <f t="shared" si="13"/>
        <v/>
      </c>
      <c r="J232" t="str">
        <f t="shared" si="14"/>
        <v/>
      </c>
      <c r="K232" t="e">
        <f t="shared" si="15"/>
        <v>#VALUE!</v>
      </c>
      <c r="L232" t="str">
        <f t="shared" si="16"/>
        <v/>
      </c>
    </row>
    <row r="233" spans="9:12" x14ac:dyDescent="0.25">
      <c r="I233" t="str">
        <f t="shared" si="13"/>
        <v/>
      </c>
      <c r="J233" t="str">
        <f t="shared" si="14"/>
        <v/>
      </c>
      <c r="K233" t="e">
        <f t="shared" si="15"/>
        <v>#VALUE!</v>
      </c>
      <c r="L233" t="str">
        <f t="shared" si="16"/>
        <v/>
      </c>
    </row>
    <row r="234" spans="9:12" x14ac:dyDescent="0.25">
      <c r="I234" t="str">
        <f t="shared" si="13"/>
        <v/>
      </c>
      <c r="J234" t="str">
        <f t="shared" si="14"/>
        <v/>
      </c>
      <c r="K234" t="e">
        <f t="shared" si="15"/>
        <v>#VALUE!</v>
      </c>
      <c r="L234" t="str">
        <f t="shared" si="16"/>
        <v/>
      </c>
    </row>
    <row r="235" spans="9:12" x14ac:dyDescent="0.25">
      <c r="I235" t="str">
        <f t="shared" si="13"/>
        <v/>
      </c>
      <c r="J235" t="str">
        <f t="shared" si="14"/>
        <v/>
      </c>
      <c r="K235" t="e">
        <f t="shared" si="15"/>
        <v>#VALUE!</v>
      </c>
      <c r="L235" t="str">
        <f t="shared" si="16"/>
        <v/>
      </c>
    </row>
    <row r="236" spans="9:12" x14ac:dyDescent="0.25">
      <c r="I236" t="str">
        <f t="shared" si="13"/>
        <v/>
      </c>
      <c r="J236" t="str">
        <f t="shared" si="14"/>
        <v/>
      </c>
      <c r="K236" t="e">
        <f t="shared" si="15"/>
        <v>#VALUE!</v>
      </c>
      <c r="L236" t="str">
        <f t="shared" si="16"/>
        <v/>
      </c>
    </row>
    <row r="237" spans="9:12" x14ac:dyDescent="0.25">
      <c r="I237" t="str">
        <f t="shared" si="13"/>
        <v/>
      </c>
      <c r="J237" t="str">
        <f t="shared" si="14"/>
        <v/>
      </c>
      <c r="K237" t="e">
        <f t="shared" si="15"/>
        <v>#VALUE!</v>
      </c>
      <c r="L237" t="str">
        <f t="shared" si="16"/>
        <v/>
      </c>
    </row>
    <row r="238" spans="9:12" x14ac:dyDescent="0.25">
      <c r="I238" t="str">
        <f t="shared" si="13"/>
        <v/>
      </c>
      <c r="J238" t="str">
        <f t="shared" si="14"/>
        <v/>
      </c>
      <c r="K238" t="e">
        <f t="shared" si="15"/>
        <v>#VALUE!</v>
      </c>
      <c r="L238" t="str">
        <f t="shared" si="16"/>
        <v/>
      </c>
    </row>
    <row r="239" spans="9:12" x14ac:dyDescent="0.25">
      <c r="I239" t="str">
        <f t="shared" si="13"/>
        <v/>
      </c>
      <c r="J239" t="str">
        <f t="shared" si="14"/>
        <v/>
      </c>
      <c r="K239" t="e">
        <f t="shared" si="15"/>
        <v>#VALUE!</v>
      </c>
      <c r="L239" t="str">
        <f t="shared" si="16"/>
        <v/>
      </c>
    </row>
    <row r="240" spans="9:12" x14ac:dyDescent="0.25">
      <c r="I240" t="str">
        <f t="shared" si="13"/>
        <v/>
      </c>
      <c r="J240" t="str">
        <f t="shared" si="14"/>
        <v/>
      </c>
      <c r="K240" t="e">
        <f t="shared" si="15"/>
        <v>#VALUE!</v>
      </c>
      <c r="L240" t="str">
        <f t="shared" si="16"/>
        <v/>
      </c>
    </row>
    <row r="241" spans="9:12" x14ac:dyDescent="0.25">
      <c r="I241" t="str">
        <f t="shared" si="13"/>
        <v/>
      </c>
      <c r="J241" t="str">
        <f t="shared" si="14"/>
        <v/>
      </c>
      <c r="K241" t="e">
        <f t="shared" si="15"/>
        <v>#VALUE!</v>
      </c>
      <c r="L241" t="str">
        <f t="shared" si="16"/>
        <v/>
      </c>
    </row>
    <row r="242" spans="9:12" x14ac:dyDescent="0.25">
      <c r="I242" t="str">
        <f t="shared" ref="I242:I259" si="17">IF(ISBLANK(A242),"",CONCATENATE("Замена ",H242," блока ",B242,"x",C242,"(h)","мм."))</f>
        <v/>
      </c>
      <c r="J242" t="str">
        <f t="shared" si="14"/>
        <v/>
      </c>
      <c r="K242" t="e">
        <f t="shared" si="15"/>
        <v>#VALUE!</v>
      </c>
      <c r="L242" t="str">
        <f t="shared" si="16"/>
        <v/>
      </c>
    </row>
    <row r="243" spans="9:12" x14ac:dyDescent="0.25">
      <c r="I243" t="str">
        <f t="shared" si="17"/>
        <v/>
      </c>
      <c r="J243" t="str">
        <f t="shared" si="14"/>
        <v/>
      </c>
      <c r="K243" t="e">
        <f t="shared" si="15"/>
        <v>#VALUE!</v>
      </c>
      <c r="L243" t="str">
        <f t="shared" si="16"/>
        <v/>
      </c>
    </row>
    <row r="244" spans="9:12" x14ac:dyDescent="0.25">
      <c r="I244" t="str">
        <f t="shared" si="17"/>
        <v/>
      </c>
      <c r="J244" t="str">
        <f t="shared" si="14"/>
        <v/>
      </c>
      <c r="K244" t="e">
        <f t="shared" si="15"/>
        <v>#VALUE!</v>
      </c>
      <c r="L244" t="str">
        <f t="shared" si="16"/>
        <v/>
      </c>
    </row>
    <row r="245" spans="9:12" x14ac:dyDescent="0.25">
      <c r="I245" t="str">
        <f t="shared" si="17"/>
        <v/>
      </c>
      <c r="J245" t="str">
        <f t="shared" si="14"/>
        <v/>
      </c>
      <c r="K245" t="e">
        <f t="shared" si="15"/>
        <v>#VALUE!</v>
      </c>
      <c r="L245" t="str">
        <f t="shared" si="16"/>
        <v/>
      </c>
    </row>
    <row r="246" spans="9:12" x14ac:dyDescent="0.25">
      <c r="I246" t="str">
        <f t="shared" si="17"/>
        <v/>
      </c>
      <c r="J246" t="str">
        <f t="shared" si="14"/>
        <v/>
      </c>
      <c r="K246" t="e">
        <f t="shared" si="15"/>
        <v>#VALUE!</v>
      </c>
      <c r="L246" t="str">
        <f t="shared" si="16"/>
        <v/>
      </c>
    </row>
    <row r="247" spans="9:12" x14ac:dyDescent="0.25">
      <c r="I247" t="str">
        <f t="shared" si="17"/>
        <v/>
      </c>
      <c r="J247" t="str">
        <f t="shared" si="14"/>
        <v/>
      </c>
      <c r="K247" t="e">
        <f t="shared" si="15"/>
        <v>#VALUE!</v>
      </c>
      <c r="L247" t="str">
        <f t="shared" si="16"/>
        <v/>
      </c>
    </row>
    <row r="248" spans="9:12" x14ac:dyDescent="0.25">
      <c r="I248" t="str">
        <f t="shared" si="17"/>
        <v/>
      </c>
      <c r="J248" t="str">
        <f t="shared" si="14"/>
        <v/>
      </c>
      <c r="K248" t="e">
        <f t="shared" si="15"/>
        <v>#VALUE!</v>
      </c>
      <c r="L248" t="str">
        <f t="shared" si="16"/>
        <v/>
      </c>
    </row>
    <row r="249" spans="9:12" x14ac:dyDescent="0.25">
      <c r="I249" t="str">
        <f t="shared" si="17"/>
        <v/>
      </c>
      <c r="J249" t="str">
        <f t="shared" si="14"/>
        <v/>
      </c>
      <c r="K249" t="e">
        <f t="shared" si="15"/>
        <v>#VALUE!</v>
      </c>
      <c r="L249" t="str">
        <f t="shared" si="16"/>
        <v/>
      </c>
    </row>
    <row r="250" spans="9:12" x14ac:dyDescent="0.25">
      <c r="I250" t="str">
        <f t="shared" si="17"/>
        <v/>
      </c>
      <c r="J250" t="str">
        <f t="shared" si="14"/>
        <v/>
      </c>
      <c r="K250" t="e">
        <f t="shared" si="15"/>
        <v>#VALUE!</v>
      </c>
      <c r="L250" t="str">
        <f t="shared" si="16"/>
        <v/>
      </c>
    </row>
    <row r="251" spans="9:12" x14ac:dyDescent="0.25">
      <c r="I251" t="str">
        <f t="shared" si="17"/>
        <v/>
      </c>
      <c r="J251" t="str">
        <f t="shared" si="14"/>
        <v/>
      </c>
      <c r="K251" t="e">
        <f t="shared" si="15"/>
        <v>#VALUE!</v>
      </c>
      <c r="L251" t="str">
        <f t="shared" si="16"/>
        <v/>
      </c>
    </row>
    <row r="252" spans="9:12" x14ac:dyDescent="0.25">
      <c r="I252" t="str">
        <f t="shared" si="17"/>
        <v/>
      </c>
      <c r="J252" t="str">
        <f t="shared" si="14"/>
        <v/>
      </c>
      <c r="K252" t="e">
        <f t="shared" si="15"/>
        <v>#VALUE!</v>
      </c>
      <c r="L252" t="str">
        <f t="shared" si="16"/>
        <v/>
      </c>
    </row>
    <row r="253" spans="9:12" x14ac:dyDescent="0.25">
      <c r="I253" t="str">
        <f t="shared" si="17"/>
        <v/>
      </c>
      <c r="J253" t="str">
        <f t="shared" si="14"/>
        <v/>
      </c>
      <c r="K253" t="e">
        <f t="shared" si="15"/>
        <v>#VALUE!</v>
      </c>
      <c r="L253" t="str">
        <f t="shared" si="16"/>
        <v/>
      </c>
    </row>
    <row r="254" spans="9:12" x14ac:dyDescent="0.25">
      <c r="I254" t="str">
        <f t="shared" si="17"/>
        <v/>
      </c>
      <c r="J254" t="str">
        <f t="shared" si="14"/>
        <v/>
      </c>
      <c r="K254" t="e">
        <f t="shared" si="15"/>
        <v>#VALUE!</v>
      </c>
      <c r="L254" t="str">
        <f t="shared" si="16"/>
        <v/>
      </c>
    </row>
    <row r="255" spans="9:12" x14ac:dyDescent="0.25">
      <c r="I255" t="str">
        <f t="shared" si="17"/>
        <v/>
      </c>
      <c r="J255" t="str">
        <f t="shared" si="14"/>
        <v/>
      </c>
      <c r="K255" t="e">
        <f t="shared" si="15"/>
        <v>#VALUE!</v>
      </c>
      <c r="L255" t="str">
        <f t="shared" si="16"/>
        <v/>
      </c>
    </row>
    <row r="256" spans="9:12" x14ac:dyDescent="0.25">
      <c r="I256" t="str">
        <f t="shared" si="17"/>
        <v/>
      </c>
      <c r="J256" t="str">
        <f t="shared" si="14"/>
        <v/>
      </c>
      <c r="K256" t="e">
        <f t="shared" si="15"/>
        <v>#VALUE!</v>
      </c>
      <c r="L256" t="str">
        <f t="shared" si="16"/>
        <v/>
      </c>
    </row>
    <row r="257" spans="9:12" x14ac:dyDescent="0.25">
      <c r="I257" t="str">
        <f t="shared" si="17"/>
        <v/>
      </c>
      <c r="J257" t="str">
        <f t="shared" si="14"/>
        <v/>
      </c>
      <c r="K257" t="e">
        <f t="shared" si="15"/>
        <v>#VALUE!</v>
      </c>
      <c r="L257" t="str">
        <f t="shared" si="16"/>
        <v/>
      </c>
    </row>
    <row r="258" spans="9:12" x14ac:dyDescent="0.25">
      <c r="I258" t="str">
        <f t="shared" si="17"/>
        <v/>
      </c>
      <c r="J258" t="str">
        <f t="shared" si="14"/>
        <v/>
      </c>
      <c r="K258" t="e">
        <f t="shared" si="15"/>
        <v>#VALUE!</v>
      </c>
      <c r="L258" t="str">
        <f t="shared" si="16"/>
        <v/>
      </c>
    </row>
    <row r="259" spans="9:12" x14ac:dyDescent="0.25">
      <c r="I259" t="str">
        <f t="shared" si="17"/>
        <v/>
      </c>
      <c r="J259" t="str">
        <f t="shared" si="14"/>
        <v/>
      </c>
      <c r="K259" t="e">
        <f t="shared" si="15"/>
        <v>#VALUE!</v>
      </c>
      <c r="L259" t="str">
        <f t="shared" si="16"/>
        <v/>
      </c>
    </row>
    <row r="260" spans="9:12" x14ac:dyDescent="0.25">
      <c r="I260" t="str">
        <f t="shared" ref="I260:I323" si="18">IF(ISBLANK(A260),"",CONCATENATE("Замена ",H260," блока ",B260,"x",C260,"(h)","мм."))</f>
        <v/>
      </c>
      <c r="J260" t="str">
        <f t="shared" ref="J260:J323" si="19">LEFT(RIGHT(A260,6),3)</f>
        <v/>
      </c>
      <c r="K260" t="e">
        <f t="shared" ref="K260:K323" si="20">((J260*C260*D260)/(1000*1000*1000))*E260</f>
        <v>#VALUE!</v>
      </c>
      <c r="L260" t="str">
        <f t="shared" ref="L260:L323" si="21">IF(ISBLANK(A260),"",CONCATENATE(ROUND(K260,2)," куб.м."))</f>
        <v/>
      </c>
    </row>
    <row r="261" spans="9:12" x14ac:dyDescent="0.25">
      <c r="I261" t="str">
        <f t="shared" si="18"/>
        <v/>
      </c>
      <c r="J261" t="str">
        <f t="shared" si="19"/>
        <v/>
      </c>
      <c r="K261" t="e">
        <f t="shared" si="20"/>
        <v>#VALUE!</v>
      </c>
      <c r="L261" t="str">
        <f t="shared" si="21"/>
        <v/>
      </c>
    </row>
    <row r="262" spans="9:12" x14ac:dyDescent="0.25">
      <c r="I262" t="str">
        <f t="shared" si="18"/>
        <v/>
      </c>
      <c r="J262" t="str">
        <f t="shared" si="19"/>
        <v/>
      </c>
      <c r="K262" t="e">
        <f t="shared" si="20"/>
        <v>#VALUE!</v>
      </c>
      <c r="L262" t="str">
        <f t="shared" si="21"/>
        <v/>
      </c>
    </row>
    <row r="263" spans="9:12" x14ac:dyDescent="0.25">
      <c r="I263" t="str">
        <f t="shared" si="18"/>
        <v/>
      </c>
      <c r="J263" t="str">
        <f t="shared" si="19"/>
        <v/>
      </c>
      <c r="K263" t="e">
        <f t="shared" si="20"/>
        <v>#VALUE!</v>
      </c>
      <c r="L263" t="str">
        <f t="shared" si="21"/>
        <v/>
      </c>
    </row>
    <row r="264" spans="9:12" x14ac:dyDescent="0.25">
      <c r="I264" t="str">
        <f t="shared" si="18"/>
        <v/>
      </c>
      <c r="J264" t="str">
        <f t="shared" si="19"/>
        <v/>
      </c>
      <c r="K264" t="e">
        <f t="shared" si="20"/>
        <v>#VALUE!</v>
      </c>
      <c r="L264" t="str">
        <f t="shared" si="21"/>
        <v/>
      </c>
    </row>
    <row r="265" spans="9:12" x14ac:dyDescent="0.25">
      <c r="I265" t="str">
        <f t="shared" si="18"/>
        <v/>
      </c>
      <c r="J265" t="str">
        <f t="shared" si="19"/>
        <v/>
      </c>
      <c r="K265" t="e">
        <f t="shared" si="20"/>
        <v>#VALUE!</v>
      </c>
      <c r="L265" t="str">
        <f t="shared" si="21"/>
        <v/>
      </c>
    </row>
    <row r="266" spans="9:12" x14ac:dyDescent="0.25">
      <c r="I266" t="str">
        <f t="shared" si="18"/>
        <v/>
      </c>
      <c r="J266" t="str">
        <f t="shared" si="19"/>
        <v/>
      </c>
      <c r="K266" t="e">
        <f t="shared" si="20"/>
        <v>#VALUE!</v>
      </c>
      <c r="L266" t="str">
        <f t="shared" si="21"/>
        <v/>
      </c>
    </row>
    <row r="267" spans="9:12" x14ac:dyDescent="0.25">
      <c r="I267" t="str">
        <f t="shared" si="18"/>
        <v/>
      </c>
      <c r="J267" t="str">
        <f t="shared" si="19"/>
        <v/>
      </c>
      <c r="K267" t="e">
        <f t="shared" si="20"/>
        <v>#VALUE!</v>
      </c>
      <c r="L267" t="str">
        <f t="shared" si="21"/>
        <v/>
      </c>
    </row>
    <row r="268" spans="9:12" x14ac:dyDescent="0.25">
      <c r="I268" t="str">
        <f t="shared" si="18"/>
        <v/>
      </c>
      <c r="J268" t="str">
        <f t="shared" si="19"/>
        <v/>
      </c>
      <c r="K268" t="e">
        <f t="shared" si="20"/>
        <v>#VALUE!</v>
      </c>
      <c r="L268" t="str">
        <f t="shared" si="21"/>
        <v/>
      </c>
    </row>
    <row r="269" spans="9:12" x14ac:dyDescent="0.25">
      <c r="I269" t="str">
        <f t="shared" si="18"/>
        <v/>
      </c>
      <c r="J269" t="str">
        <f t="shared" si="19"/>
        <v/>
      </c>
      <c r="K269" t="e">
        <f t="shared" si="20"/>
        <v>#VALUE!</v>
      </c>
      <c r="L269" t="str">
        <f t="shared" si="21"/>
        <v/>
      </c>
    </row>
    <row r="270" spans="9:12" x14ac:dyDescent="0.25">
      <c r="I270" t="str">
        <f t="shared" si="18"/>
        <v/>
      </c>
      <c r="J270" t="str">
        <f t="shared" si="19"/>
        <v/>
      </c>
      <c r="K270" t="e">
        <f t="shared" si="20"/>
        <v>#VALUE!</v>
      </c>
      <c r="L270" t="str">
        <f t="shared" si="21"/>
        <v/>
      </c>
    </row>
    <row r="271" spans="9:12" x14ac:dyDescent="0.25">
      <c r="I271" t="str">
        <f t="shared" si="18"/>
        <v/>
      </c>
      <c r="J271" t="str">
        <f t="shared" si="19"/>
        <v/>
      </c>
      <c r="K271" t="e">
        <f t="shared" si="20"/>
        <v>#VALUE!</v>
      </c>
      <c r="L271" t="str">
        <f t="shared" si="21"/>
        <v/>
      </c>
    </row>
    <row r="272" spans="9:12" x14ac:dyDescent="0.25">
      <c r="I272" t="str">
        <f t="shared" si="18"/>
        <v/>
      </c>
      <c r="J272" t="str">
        <f t="shared" si="19"/>
        <v/>
      </c>
      <c r="K272" t="e">
        <f t="shared" si="20"/>
        <v>#VALUE!</v>
      </c>
      <c r="L272" t="str">
        <f t="shared" si="21"/>
        <v/>
      </c>
    </row>
    <row r="273" spans="9:12" x14ac:dyDescent="0.25">
      <c r="I273" t="str">
        <f t="shared" si="18"/>
        <v/>
      </c>
      <c r="J273" t="str">
        <f t="shared" si="19"/>
        <v/>
      </c>
      <c r="K273" t="e">
        <f t="shared" si="20"/>
        <v>#VALUE!</v>
      </c>
      <c r="L273" t="str">
        <f t="shared" si="21"/>
        <v/>
      </c>
    </row>
    <row r="274" spans="9:12" x14ac:dyDescent="0.25">
      <c r="I274" t="str">
        <f t="shared" si="18"/>
        <v/>
      </c>
      <c r="J274" t="str">
        <f t="shared" si="19"/>
        <v/>
      </c>
      <c r="K274" t="e">
        <f t="shared" si="20"/>
        <v>#VALUE!</v>
      </c>
      <c r="L274" t="str">
        <f t="shared" si="21"/>
        <v/>
      </c>
    </row>
    <row r="275" spans="9:12" x14ac:dyDescent="0.25">
      <c r="I275" t="str">
        <f t="shared" si="18"/>
        <v/>
      </c>
      <c r="J275" t="str">
        <f t="shared" si="19"/>
        <v/>
      </c>
      <c r="K275" t="e">
        <f t="shared" si="20"/>
        <v>#VALUE!</v>
      </c>
      <c r="L275" t="str">
        <f t="shared" si="21"/>
        <v/>
      </c>
    </row>
    <row r="276" spans="9:12" x14ac:dyDescent="0.25">
      <c r="I276" t="str">
        <f t="shared" si="18"/>
        <v/>
      </c>
      <c r="J276" t="str">
        <f t="shared" si="19"/>
        <v/>
      </c>
      <c r="K276" t="e">
        <f t="shared" si="20"/>
        <v>#VALUE!</v>
      </c>
      <c r="L276" t="str">
        <f t="shared" si="21"/>
        <v/>
      </c>
    </row>
    <row r="277" spans="9:12" x14ac:dyDescent="0.25">
      <c r="I277" t="str">
        <f t="shared" si="18"/>
        <v/>
      </c>
      <c r="J277" t="str">
        <f t="shared" si="19"/>
        <v/>
      </c>
      <c r="K277" t="e">
        <f t="shared" si="20"/>
        <v>#VALUE!</v>
      </c>
      <c r="L277" t="str">
        <f t="shared" si="21"/>
        <v/>
      </c>
    </row>
    <row r="278" spans="9:12" x14ac:dyDescent="0.25">
      <c r="I278" t="str">
        <f t="shared" si="18"/>
        <v/>
      </c>
      <c r="J278" t="str">
        <f t="shared" si="19"/>
        <v/>
      </c>
      <c r="K278" t="e">
        <f t="shared" si="20"/>
        <v>#VALUE!</v>
      </c>
      <c r="L278" t="str">
        <f t="shared" si="21"/>
        <v/>
      </c>
    </row>
    <row r="279" spans="9:12" x14ac:dyDescent="0.25">
      <c r="I279" t="str">
        <f t="shared" si="18"/>
        <v/>
      </c>
      <c r="J279" t="str">
        <f t="shared" si="19"/>
        <v/>
      </c>
      <c r="K279" t="e">
        <f t="shared" si="20"/>
        <v>#VALUE!</v>
      </c>
      <c r="L279" t="str">
        <f t="shared" si="21"/>
        <v/>
      </c>
    </row>
    <row r="280" spans="9:12" x14ac:dyDescent="0.25">
      <c r="I280" t="str">
        <f t="shared" si="18"/>
        <v/>
      </c>
      <c r="J280" t="str">
        <f t="shared" si="19"/>
        <v/>
      </c>
      <c r="K280" t="e">
        <f t="shared" si="20"/>
        <v>#VALUE!</v>
      </c>
      <c r="L280" t="str">
        <f t="shared" si="21"/>
        <v/>
      </c>
    </row>
    <row r="281" spans="9:12" x14ac:dyDescent="0.25">
      <c r="I281" t="str">
        <f t="shared" si="18"/>
        <v/>
      </c>
      <c r="J281" t="str">
        <f t="shared" si="19"/>
        <v/>
      </c>
      <c r="K281" t="e">
        <f t="shared" si="20"/>
        <v>#VALUE!</v>
      </c>
      <c r="L281" t="str">
        <f t="shared" si="21"/>
        <v/>
      </c>
    </row>
    <row r="282" spans="9:12" x14ac:dyDescent="0.25">
      <c r="I282" t="str">
        <f t="shared" si="18"/>
        <v/>
      </c>
      <c r="J282" t="str">
        <f t="shared" si="19"/>
        <v/>
      </c>
      <c r="K282" t="e">
        <f t="shared" si="20"/>
        <v>#VALUE!</v>
      </c>
      <c r="L282" t="str">
        <f t="shared" si="21"/>
        <v/>
      </c>
    </row>
    <row r="283" spans="9:12" x14ac:dyDescent="0.25">
      <c r="I283" t="str">
        <f t="shared" si="18"/>
        <v/>
      </c>
      <c r="J283" t="str">
        <f t="shared" si="19"/>
        <v/>
      </c>
      <c r="K283" t="e">
        <f t="shared" si="20"/>
        <v>#VALUE!</v>
      </c>
      <c r="L283" t="str">
        <f t="shared" si="21"/>
        <v/>
      </c>
    </row>
    <row r="284" spans="9:12" x14ac:dyDescent="0.25">
      <c r="I284" t="str">
        <f t="shared" si="18"/>
        <v/>
      </c>
      <c r="J284" t="str">
        <f t="shared" si="19"/>
        <v/>
      </c>
      <c r="K284" t="e">
        <f t="shared" si="20"/>
        <v>#VALUE!</v>
      </c>
      <c r="L284" t="str">
        <f t="shared" si="21"/>
        <v/>
      </c>
    </row>
    <row r="285" spans="9:12" x14ac:dyDescent="0.25">
      <c r="I285" t="str">
        <f t="shared" si="18"/>
        <v/>
      </c>
      <c r="J285" t="str">
        <f t="shared" si="19"/>
        <v/>
      </c>
      <c r="K285" t="e">
        <f t="shared" si="20"/>
        <v>#VALUE!</v>
      </c>
      <c r="L285" t="str">
        <f t="shared" si="21"/>
        <v/>
      </c>
    </row>
    <row r="286" spans="9:12" x14ac:dyDescent="0.25">
      <c r="I286" t="str">
        <f t="shared" si="18"/>
        <v/>
      </c>
      <c r="J286" t="str">
        <f t="shared" si="19"/>
        <v/>
      </c>
      <c r="K286" t="e">
        <f t="shared" si="20"/>
        <v>#VALUE!</v>
      </c>
      <c r="L286" t="str">
        <f t="shared" si="21"/>
        <v/>
      </c>
    </row>
    <row r="287" spans="9:12" x14ac:dyDescent="0.25">
      <c r="I287" t="str">
        <f t="shared" si="18"/>
        <v/>
      </c>
      <c r="J287" t="str">
        <f t="shared" si="19"/>
        <v/>
      </c>
      <c r="K287" t="e">
        <f t="shared" si="20"/>
        <v>#VALUE!</v>
      </c>
      <c r="L287" t="str">
        <f t="shared" si="21"/>
        <v/>
      </c>
    </row>
    <row r="288" spans="9:12" x14ac:dyDescent="0.25">
      <c r="I288" t="str">
        <f t="shared" si="18"/>
        <v/>
      </c>
      <c r="J288" t="str">
        <f t="shared" si="19"/>
        <v/>
      </c>
      <c r="K288" t="e">
        <f t="shared" si="20"/>
        <v>#VALUE!</v>
      </c>
      <c r="L288" t="str">
        <f t="shared" si="21"/>
        <v/>
      </c>
    </row>
    <row r="289" spans="9:12" x14ac:dyDescent="0.25">
      <c r="I289" t="str">
        <f t="shared" si="18"/>
        <v/>
      </c>
      <c r="J289" t="str">
        <f t="shared" si="19"/>
        <v/>
      </c>
      <c r="K289" t="e">
        <f t="shared" si="20"/>
        <v>#VALUE!</v>
      </c>
      <c r="L289" t="str">
        <f t="shared" si="21"/>
        <v/>
      </c>
    </row>
    <row r="290" spans="9:12" x14ac:dyDescent="0.25">
      <c r="I290" t="str">
        <f t="shared" si="18"/>
        <v/>
      </c>
      <c r="J290" t="str">
        <f t="shared" si="19"/>
        <v/>
      </c>
      <c r="K290" t="e">
        <f t="shared" si="20"/>
        <v>#VALUE!</v>
      </c>
      <c r="L290" t="str">
        <f t="shared" si="21"/>
        <v/>
      </c>
    </row>
    <row r="291" spans="9:12" x14ac:dyDescent="0.25">
      <c r="I291" t="str">
        <f t="shared" si="18"/>
        <v/>
      </c>
      <c r="J291" t="str">
        <f t="shared" si="19"/>
        <v/>
      </c>
      <c r="K291" t="e">
        <f t="shared" si="20"/>
        <v>#VALUE!</v>
      </c>
      <c r="L291" t="str">
        <f t="shared" si="21"/>
        <v/>
      </c>
    </row>
    <row r="292" spans="9:12" x14ac:dyDescent="0.25">
      <c r="I292" t="str">
        <f t="shared" si="18"/>
        <v/>
      </c>
      <c r="J292" t="str">
        <f t="shared" si="19"/>
        <v/>
      </c>
      <c r="K292" t="e">
        <f t="shared" si="20"/>
        <v>#VALUE!</v>
      </c>
      <c r="L292" t="str">
        <f t="shared" si="21"/>
        <v/>
      </c>
    </row>
    <row r="293" spans="9:12" x14ac:dyDescent="0.25">
      <c r="I293" t="str">
        <f t="shared" si="18"/>
        <v/>
      </c>
      <c r="J293" t="str">
        <f t="shared" si="19"/>
        <v/>
      </c>
      <c r="K293" t="e">
        <f t="shared" si="20"/>
        <v>#VALUE!</v>
      </c>
      <c r="L293" t="str">
        <f t="shared" si="21"/>
        <v/>
      </c>
    </row>
    <row r="294" spans="9:12" x14ac:dyDescent="0.25">
      <c r="I294" t="str">
        <f t="shared" si="18"/>
        <v/>
      </c>
      <c r="J294" t="str">
        <f t="shared" si="19"/>
        <v/>
      </c>
      <c r="K294" t="e">
        <f t="shared" si="20"/>
        <v>#VALUE!</v>
      </c>
      <c r="L294" t="str">
        <f t="shared" si="21"/>
        <v/>
      </c>
    </row>
    <row r="295" spans="9:12" x14ac:dyDescent="0.25">
      <c r="I295" t="str">
        <f t="shared" si="18"/>
        <v/>
      </c>
      <c r="J295" t="str">
        <f t="shared" si="19"/>
        <v/>
      </c>
      <c r="K295" t="e">
        <f t="shared" si="20"/>
        <v>#VALUE!</v>
      </c>
      <c r="L295" t="str">
        <f t="shared" si="21"/>
        <v/>
      </c>
    </row>
    <row r="296" spans="9:12" x14ac:dyDescent="0.25">
      <c r="I296" t="str">
        <f t="shared" si="18"/>
        <v/>
      </c>
      <c r="J296" t="str">
        <f t="shared" si="19"/>
        <v/>
      </c>
      <c r="K296" t="e">
        <f t="shared" si="20"/>
        <v>#VALUE!</v>
      </c>
      <c r="L296" t="str">
        <f t="shared" si="21"/>
        <v/>
      </c>
    </row>
    <row r="297" spans="9:12" x14ac:dyDescent="0.25">
      <c r="I297" t="str">
        <f t="shared" si="18"/>
        <v/>
      </c>
      <c r="J297" t="str">
        <f t="shared" si="19"/>
        <v/>
      </c>
      <c r="K297" t="e">
        <f t="shared" si="20"/>
        <v>#VALUE!</v>
      </c>
      <c r="L297" t="str">
        <f t="shared" si="21"/>
        <v/>
      </c>
    </row>
    <row r="298" spans="9:12" x14ac:dyDescent="0.25">
      <c r="I298" t="str">
        <f t="shared" si="18"/>
        <v/>
      </c>
      <c r="J298" t="str">
        <f t="shared" si="19"/>
        <v/>
      </c>
      <c r="K298" t="e">
        <f t="shared" si="20"/>
        <v>#VALUE!</v>
      </c>
      <c r="L298" t="str">
        <f t="shared" si="21"/>
        <v/>
      </c>
    </row>
    <row r="299" spans="9:12" x14ac:dyDescent="0.25">
      <c r="I299" t="str">
        <f t="shared" si="18"/>
        <v/>
      </c>
      <c r="J299" t="str">
        <f t="shared" si="19"/>
        <v/>
      </c>
      <c r="K299" t="e">
        <f t="shared" si="20"/>
        <v>#VALUE!</v>
      </c>
      <c r="L299" t="str">
        <f t="shared" si="21"/>
        <v/>
      </c>
    </row>
    <row r="300" spans="9:12" x14ac:dyDescent="0.25">
      <c r="I300" t="str">
        <f t="shared" si="18"/>
        <v/>
      </c>
      <c r="J300" t="str">
        <f t="shared" si="19"/>
        <v/>
      </c>
      <c r="K300" t="e">
        <f t="shared" si="20"/>
        <v>#VALUE!</v>
      </c>
      <c r="L300" t="str">
        <f t="shared" si="21"/>
        <v/>
      </c>
    </row>
    <row r="301" spans="9:12" x14ac:dyDescent="0.25">
      <c r="I301" t="str">
        <f t="shared" si="18"/>
        <v/>
      </c>
      <c r="J301" t="str">
        <f t="shared" si="19"/>
        <v/>
      </c>
      <c r="K301" t="e">
        <f t="shared" si="20"/>
        <v>#VALUE!</v>
      </c>
      <c r="L301" t="str">
        <f t="shared" si="21"/>
        <v/>
      </c>
    </row>
    <row r="302" spans="9:12" x14ac:dyDescent="0.25">
      <c r="I302" t="str">
        <f t="shared" si="18"/>
        <v/>
      </c>
      <c r="J302" t="str">
        <f t="shared" si="19"/>
        <v/>
      </c>
      <c r="K302" t="e">
        <f t="shared" si="20"/>
        <v>#VALUE!</v>
      </c>
      <c r="L302" t="str">
        <f t="shared" si="21"/>
        <v/>
      </c>
    </row>
    <row r="303" spans="9:12" x14ac:dyDescent="0.25">
      <c r="I303" t="str">
        <f t="shared" si="18"/>
        <v/>
      </c>
      <c r="J303" t="str">
        <f t="shared" si="19"/>
        <v/>
      </c>
      <c r="K303" t="e">
        <f t="shared" si="20"/>
        <v>#VALUE!</v>
      </c>
      <c r="L303" t="str">
        <f t="shared" si="21"/>
        <v/>
      </c>
    </row>
    <row r="304" spans="9:12" x14ac:dyDescent="0.25">
      <c r="I304" t="str">
        <f t="shared" si="18"/>
        <v/>
      </c>
      <c r="J304" t="str">
        <f t="shared" si="19"/>
        <v/>
      </c>
      <c r="K304" t="e">
        <f t="shared" si="20"/>
        <v>#VALUE!</v>
      </c>
      <c r="L304" t="str">
        <f t="shared" si="21"/>
        <v/>
      </c>
    </row>
    <row r="305" spans="9:12" x14ac:dyDescent="0.25">
      <c r="I305" t="str">
        <f t="shared" si="18"/>
        <v/>
      </c>
      <c r="J305" t="str">
        <f t="shared" si="19"/>
        <v/>
      </c>
      <c r="K305" t="e">
        <f t="shared" si="20"/>
        <v>#VALUE!</v>
      </c>
      <c r="L305" t="str">
        <f t="shared" si="21"/>
        <v/>
      </c>
    </row>
    <row r="306" spans="9:12" x14ac:dyDescent="0.25">
      <c r="I306" t="str">
        <f t="shared" si="18"/>
        <v/>
      </c>
      <c r="J306" t="str">
        <f t="shared" si="19"/>
        <v/>
      </c>
      <c r="K306" t="e">
        <f t="shared" si="20"/>
        <v>#VALUE!</v>
      </c>
      <c r="L306" t="str">
        <f t="shared" si="21"/>
        <v/>
      </c>
    </row>
    <row r="307" spans="9:12" x14ac:dyDescent="0.25">
      <c r="I307" t="str">
        <f t="shared" si="18"/>
        <v/>
      </c>
      <c r="J307" t="str">
        <f t="shared" si="19"/>
        <v/>
      </c>
      <c r="K307" t="e">
        <f t="shared" si="20"/>
        <v>#VALUE!</v>
      </c>
      <c r="L307" t="str">
        <f t="shared" si="21"/>
        <v/>
      </c>
    </row>
    <row r="308" spans="9:12" x14ac:dyDescent="0.25">
      <c r="I308" t="str">
        <f t="shared" si="18"/>
        <v/>
      </c>
      <c r="J308" t="str">
        <f t="shared" si="19"/>
        <v/>
      </c>
      <c r="K308" t="e">
        <f t="shared" si="20"/>
        <v>#VALUE!</v>
      </c>
      <c r="L308" t="str">
        <f t="shared" si="21"/>
        <v/>
      </c>
    </row>
    <row r="309" spans="9:12" x14ac:dyDescent="0.25">
      <c r="I309" t="str">
        <f t="shared" si="18"/>
        <v/>
      </c>
      <c r="J309" t="str">
        <f t="shared" si="19"/>
        <v/>
      </c>
      <c r="K309" t="e">
        <f t="shared" si="20"/>
        <v>#VALUE!</v>
      </c>
      <c r="L309" t="str">
        <f t="shared" si="21"/>
        <v/>
      </c>
    </row>
    <row r="310" spans="9:12" x14ac:dyDescent="0.25">
      <c r="I310" t="str">
        <f t="shared" si="18"/>
        <v/>
      </c>
      <c r="J310" t="str">
        <f t="shared" si="19"/>
        <v/>
      </c>
      <c r="K310" t="e">
        <f t="shared" si="20"/>
        <v>#VALUE!</v>
      </c>
      <c r="L310" t="str">
        <f t="shared" si="21"/>
        <v/>
      </c>
    </row>
    <row r="311" spans="9:12" x14ac:dyDescent="0.25">
      <c r="I311" t="str">
        <f t="shared" si="18"/>
        <v/>
      </c>
      <c r="J311" t="str">
        <f t="shared" si="19"/>
        <v/>
      </c>
      <c r="K311" t="e">
        <f t="shared" si="20"/>
        <v>#VALUE!</v>
      </c>
      <c r="L311" t="str">
        <f t="shared" si="21"/>
        <v/>
      </c>
    </row>
    <row r="312" spans="9:12" x14ac:dyDescent="0.25">
      <c r="I312" t="str">
        <f t="shared" si="18"/>
        <v/>
      </c>
      <c r="J312" t="str">
        <f t="shared" si="19"/>
        <v/>
      </c>
      <c r="K312" t="e">
        <f t="shared" si="20"/>
        <v>#VALUE!</v>
      </c>
      <c r="L312" t="str">
        <f t="shared" si="21"/>
        <v/>
      </c>
    </row>
    <row r="313" spans="9:12" x14ac:dyDescent="0.25">
      <c r="I313" t="str">
        <f t="shared" si="18"/>
        <v/>
      </c>
      <c r="J313" t="str">
        <f t="shared" si="19"/>
        <v/>
      </c>
      <c r="K313" t="e">
        <f t="shared" si="20"/>
        <v>#VALUE!</v>
      </c>
      <c r="L313" t="str">
        <f t="shared" si="21"/>
        <v/>
      </c>
    </row>
    <row r="314" spans="9:12" x14ac:dyDescent="0.25">
      <c r="I314" t="str">
        <f t="shared" si="18"/>
        <v/>
      </c>
      <c r="J314" t="str">
        <f t="shared" si="19"/>
        <v/>
      </c>
      <c r="K314" t="e">
        <f t="shared" si="20"/>
        <v>#VALUE!</v>
      </c>
      <c r="L314" t="str">
        <f t="shared" si="21"/>
        <v/>
      </c>
    </row>
    <row r="315" spans="9:12" x14ac:dyDescent="0.25">
      <c r="I315" t="str">
        <f t="shared" si="18"/>
        <v/>
      </c>
      <c r="J315" t="str">
        <f t="shared" si="19"/>
        <v/>
      </c>
      <c r="K315" t="e">
        <f t="shared" si="20"/>
        <v>#VALUE!</v>
      </c>
      <c r="L315" t="str">
        <f t="shared" si="21"/>
        <v/>
      </c>
    </row>
    <row r="316" spans="9:12" x14ac:dyDescent="0.25">
      <c r="I316" t="str">
        <f t="shared" si="18"/>
        <v/>
      </c>
      <c r="J316" t="str">
        <f t="shared" si="19"/>
        <v/>
      </c>
      <c r="K316" t="e">
        <f t="shared" si="20"/>
        <v>#VALUE!</v>
      </c>
      <c r="L316" t="str">
        <f t="shared" si="21"/>
        <v/>
      </c>
    </row>
    <row r="317" spans="9:12" x14ac:dyDescent="0.25">
      <c r="I317" t="str">
        <f t="shared" si="18"/>
        <v/>
      </c>
      <c r="J317" t="str">
        <f t="shared" si="19"/>
        <v/>
      </c>
      <c r="K317" t="e">
        <f t="shared" si="20"/>
        <v>#VALUE!</v>
      </c>
      <c r="L317" t="str">
        <f t="shared" si="21"/>
        <v/>
      </c>
    </row>
    <row r="318" spans="9:12" x14ac:dyDescent="0.25">
      <c r="I318" t="str">
        <f t="shared" si="18"/>
        <v/>
      </c>
      <c r="J318" t="str">
        <f t="shared" si="19"/>
        <v/>
      </c>
      <c r="K318" t="e">
        <f t="shared" si="20"/>
        <v>#VALUE!</v>
      </c>
      <c r="L318" t="str">
        <f t="shared" si="21"/>
        <v/>
      </c>
    </row>
    <row r="319" spans="9:12" x14ac:dyDescent="0.25">
      <c r="I319" t="str">
        <f t="shared" si="18"/>
        <v/>
      </c>
      <c r="J319" t="str">
        <f t="shared" si="19"/>
        <v/>
      </c>
      <c r="K319" t="e">
        <f t="shared" si="20"/>
        <v>#VALUE!</v>
      </c>
      <c r="L319" t="str">
        <f t="shared" si="21"/>
        <v/>
      </c>
    </row>
    <row r="320" spans="9:12" x14ac:dyDescent="0.25">
      <c r="I320" t="str">
        <f t="shared" si="18"/>
        <v/>
      </c>
      <c r="J320" t="str">
        <f t="shared" si="19"/>
        <v/>
      </c>
      <c r="K320" t="e">
        <f t="shared" si="20"/>
        <v>#VALUE!</v>
      </c>
      <c r="L320" t="str">
        <f t="shared" si="21"/>
        <v/>
      </c>
    </row>
    <row r="321" spans="9:12" x14ac:dyDescent="0.25">
      <c r="I321" t="str">
        <f t="shared" si="18"/>
        <v/>
      </c>
      <c r="J321" t="str">
        <f t="shared" si="19"/>
        <v/>
      </c>
      <c r="K321" t="e">
        <f t="shared" si="20"/>
        <v>#VALUE!</v>
      </c>
      <c r="L321" t="str">
        <f t="shared" si="21"/>
        <v/>
      </c>
    </row>
    <row r="322" spans="9:12" x14ac:dyDescent="0.25">
      <c r="I322" t="str">
        <f t="shared" si="18"/>
        <v/>
      </c>
      <c r="J322" t="str">
        <f t="shared" si="19"/>
        <v/>
      </c>
      <c r="K322" t="e">
        <f t="shared" si="20"/>
        <v>#VALUE!</v>
      </c>
      <c r="L322" t="str">
        <f t="shared" si="21"/>
        <v/>
      </c>
    </row>
    <row r="323" spans="9:12" x14ac:dyDescent="0.25">
      <c r="I323" t="str">
        <f t="shared" si="18"/>
        <v/>
      </c>
      <c r="J323" t="str">
        <f t="shared" si="19"/>
        <v/>
      </c>
      <c r="K323" t="e">
        <f t="shared" si="20"/>
        <v>#VALUE!</v>
      </c>
      <c r="L323" t="str">
        <f t="shared" si="21"/>
        <v/>
      </c>
    </row>
    <row r="324" spans="9:12" x14ac:dyDescent="0.25">
      <c r="I324" t="str">
        <f t="shared" ref="I324:I387" si="22">IF(ISBLANK(A324),"",CONCATENATE("Замена ",H324," блока ",B324,"x",C324,"(h)","мм."))</f>
        <v/>
      </c>
      <c r="J324" t="str">
        <f t="shared" ref="J324:J387" si="23">LEFT(RIGHT(A324,6),3)</f>
        <v/>
      </c>
      <c r="K324" t="e">
        <f t="shared" ref="K324:K387" si="24">((J324*C324*D324)/(1000*1000*1000))*E324</f>
        <v>#VALUE!</v>
      </c>
      <c r="L324" t="str">
        <f t="shared" ref="L324:L387" si="25">IF(ISBLANK(A324),"",CONCATENATE(ROUND(K324,2)," куб.м."))</f>
        <v/>
      </c>
    </row>
    <row r="325" spans="9:12" x14ac:dyDescent="0.25">
      <c r="I325" t="str">
        <f t="shared" si="22"/>
        <v/>
      </c>
      <c r="J325" t="str">
        <f t="shared" si="23"/>
        <v/>
      </c>
      <c r="K325" t="e">
        <f t="shared" si="24"/>
        <v>#VALUE!</v>
      </c>
      <c r="L325" t="str">
        <f t="shared" si="25"/>
        <v/>
      </c>
    </row>
    <row r="326" spans="9:12" x14ac:dyDescent="0.25">
      <c r="I326" t="str">
        <f t="shared" si="22"/>
        <v/>
      </c>
      <c r="J326" t="str">
        <f t="shared" si="23"/>
        <v/>
      </c>
      <c r="K326" t="e">
        <f t="shared" si="24"/>
        <v>#VALUE!</v>
      </c>
      <c r="L326" t="str">
        <f t="shared" si="25"/>
        <v/>
      </c>
    </row>
    <row r="327" spans="9:12" x14ac:dyDescent="0.25">
      <c r="I327" t="str">
        <f t="shared" si="22"/>
        <v/>
      </c>
      <c r="J327" t="str">
        <f t="shared" si="23"/>
        <v/>
      </c>
      <c r="K327" t="e">
        <f t="shared" si="24"/>
        <v>#VALUE!</v>
      </c>
      <c r="L327" t="str">
        <f t="shared" si="25"/>
        <v/>
      </c>
    </row>
    <row r="328" spans="9:12" x14ac:dyDescent="0.25">
      <c r="I328" t="str">
        <f t="shared" si="22"/>
        <v/>
      </c>
      <c r="J328" t="str">
        <f t="shared" si="23"/>
        <v/>
      </c>
      <c r="K328" t="e">
        <f t="shared" si="24"/>
        <v>#VALUE!</v>
      </c>
      <c r="L328" t="str">
        <f t="shared" si="25"/>
        <v/>
      </c>
    </row>
    <row r="329" spans="9:12" x14ac:dyDescent="0.25">
      <c r="I329" t="str">
        <f t="shared" si="22"/>
        <v/>
      </c>
      <c r="J329" t="str">
        <f t="shared" si="23"/>
        <v/>
      </c>
      <c r="K329" t="e">
        <f t="shared" si="24"/>
        <v>#VALUE!</v>
      </c>
      <c r="L329" t="str">
        <f t="shared" si="25"/>
        <v/>
      </c>
    </row>
    <row r="330" spans="9:12" x14ac:dyDescent="0.25">
      <c r="I330" t="str">
        <f t="shared" si="22"/>
        <v/>
      </c>
      <c r="J330" t="str">
        <f t="shared" si="23"/>
        <v/>
      </c>
      <c r="K330" t="e">
        <f t="shared" si="24"/>
        <v>#VALUE!</v>
      </c>
      <c r="L330" t="str">
        <f t="shared" si="25"/>
        <v/>
      </c>
    </row>
    <row r="331" spans="9:12" x14ac:dyDescent="0.25">
      <c r="I331" t="str">
        <f t="shared" si="22"/>
        <v/>
      </c>
      <c r="J331" t="str">
        <f t="shared" si="23"/>
        <v/>
      </c>
      <c r="K331" t="e">
        <f t="shared" si="24"/>
        <v>#VALUE!</v>
      </c>
      <c r="L331" t="str">
        <f t="shared" si="25"/>
        <v/>
      </c>
    </row>
    <row r="332" spans="9:12" x14ac:dyDescent="0.25">
      <c r="I332" t="str">
        <f t="shared" si="22"/>
        <v/>
      </c>
      <c r="J332" t="str">
        <f t="shared" si="23"/>
        <v/>
      </c>
      <c r="K332" t="e">
        <f t="shared" si="24"/>
        <v>#VALUE!</v>
      </c>
      <c r="L332" t="str">
        <f t="shared" si="25"/>
        <v/>
      </c>
    </row>
    <row r="333" spans="9:12" x14ac:dyDescent="0.25">
      <c r="I333" t="str">
        <f t="shared" si="22"/>
        <v/>
      </c>
      <c r="J333" t="str">
        <f t="shared" si="23"/>
        <v/>
      </c>
      <c r="K333" t="e">
        <f t="shared" si="24"/>
        <v>#VALUE!</v>
      </c>
      <c r="L333" t="str">
        <f t="shared" si="25"/>
        <v/>
      </c>
    </row>
    <row r="334" spans="9:12" x14ac:dyDescent="0.25">
      <c r="I334" t="str">
        <f t="shared" si="22"/>
        <v/>
      </c>
      <c r="J334" t="str">
        <f t="shared" si="23"/>
        <v/>
      </c>
      <c r="K334" t="e">
        <f t="shared" si="24"/>
        <v>#VALUE!</v>
      </c>
      <c r="L334" t="str">
        <f t="shared" si="25"/>
        <v/>
      </c>
    </row>
    <row r="335" spans="9:12" x14ac:dyDescent="0.25">
      <c r="I335" t="str">
        <f t="shared" si="22"/>
        <v/>
      </c>
      <c r="J335" t="str">
        <f t="shared" si="23"/>
        <v/>
      </c>
      <c r="K335" t="e">
        <f t="shared" si="24"/>
        <v>#VALUE!</v>
      </c>
      <c r="L335" t="str">
        <f t="shared" si="25"/>
        <v/>
      </c>
    </row>
    <row r="336" spans="9:12" x14ac:dyDescent="0.25">
      <c r="I336" t="str">
        <f t="shared" si="22"/>
        <v/>
      </c>
      <c r="J336" t="str">
        <f t="shared" si="23"/>
        <v/>
      </c>
      <c r="K336" t="e">
        <f t="shared" si="24"/>
        <v>#VALUE!</v>
      </c>
      <c r="L336" t="str">
        <f t="shared" si="25"/>
        <v/>
      </c>
    </row>
    <row r="337" spans="9:12" x14ac:dyDescent="0.25">
      <c r="I337" t="str">
        <f t="shared" si="22"/>
        <v/>
      </c>
      <c r="J337" t="str">
        <f t="shared" si="23"/>
        <v/>
      </c>
      <c r="K337" t="e">
        <f t="shared" si="24"/>
        <v>#VALUE!</v>
      </c>
      <c r="L337" t="str">
        <f t="shared" si="25"/>
        <v/>
      </c>
    </row>
    <row r="338" spans="9:12" x14ac:dyDescent="0.25">
      <c r="I338" t="str">
        <f t="shared" si="22"/>
        <v/>
      </c>
      <c r="J338" t="str">
        <f t="shared" si="23"/>
        <v/>
      </c>
      <c r="K338" t="e">
        <f t="shared" si="24"/>
        <v>#VALUE!</v>
      </c>
      <c r="L338" t="str">
        <f t="shared" si="25"/>
        <v/>
      </c>
    </row>
    <row r="339" spans="9:12" x14ac:dyDescent="0.25">
      <c r="I339" t="str">
        <f t="shared" si="22"/>
        <v/>
      </c>
      <c r="J339" t="str">
        <f t="shared" si="23"/>
        <v/>
      </c>
      <c r="K339" t="e">
        <f t="shared" si="24"/>
        <v>#VALUE!</v>
      </c>
      <c r="L339" t="str">
        <f t="shared" si="25"/>
        <v/>
      </c>
    </row>
    <row r="340" spans="9:12" x14ac:dyDescent="0.25">
      <c r="I340" t="str">
        <f t="shared" si="22"/>
        <v/>
      </c>
      <c r="J340" t="str">
        <f t="shared" si="23"/>
        <v/>
      </c>
      <c r="K340" t="e">
        <f t="shared" si="24"/>
        <v>#VALUE!</v>
      </c>
      <c r="L340" t="str">
        <f t="shared" si="25"/>
        <v/>
      </c>
    </row>
    <row r="341" spans="9:12" x14ac:dyDescent="0.25">
      <c r="I341" t="str">
        <f t="shared" si="22"/>
        <v/>
      </c>
      <c r="J341" t="str">
        <f t="shared" si="23"/>
        <v/>
      </c>
      <c r="K341" t="e">
        <f t="shared" si="24"/>
        <v>#VALUE!</v>
      </c>
      <c r="L341" t="str">
        <f t="shared" si="25"/>
        <v/>
      </c>
    </row>
    <row r="342" spans="9:12" x14ac:dyDescent="0.25">
      <c r="I342" t="str">
        <f t="shared" si="22"/>
        <v/>
      </c>
      <c r="J342" t="str">
        <f t="shared" si="23"/>
        <v/>
      </c>
      <c r="K342" t="e">
        <f t="shared" si="24"/>
        <v>#VALUE!</v>
      </c>
      <c r="L342" t="str">
        <f t="shared" si="25"/>
        <v/>
      </c>
    </row>
    <row r="343" spans="9:12" x14ac:dyDescent="0.25">
      <c r="I343" t="str">
        <f t="shared" si="22"/>
        <v/>
      </c>
      <c r="J343" t="str">
        <f t="shared" si="23"/>
        <v/>
      </c>
      <c r="K343" t="e">
        <f t="shared" si="24"/>
        <v>#VALUE!</v>
      </c>
      <c r="L343" t="str">
        <f t="shared" si="25"/>
        <v/>
      </c>
    </row>
    <row r="344" spans="9:12" x14ac:dyDescent="0.25">
      <c r="I344" t="str">
        <f t="shared" si="22"/>
        <v/>
      </c>
      <c r="J344" t="str">
        <f t="shared" si="23"/>
        <v/>
      </c>
      <c r="K344" t="e">
        <f t="shared" si="24"/>
        <v>#VALUE!</v>
      </c>
      <c r="L344" t="str">
        <f t="shared" si="25"/>
        <v/>
      </c>
    </row>
    <row r="345" spans="9:12" x14ac:dyDescent="0.25">
      <c r="I345" t="str">
        <f t="shared" si="22"/>
        <v/>
      </c>
      <c r="J345" t="str">
        <f t="shared" si="23"/>
        <v/>
      </c>
      <c r="K345" t="e">
        <f t="shared" si="24"/>
        <v>#VALUE!</v>
      </c>
      <c r="L345" t="str">
        <f t="shared" si="25"/>
        <v/>
      </c>
    </row>
    <row r="346" spans="9:12" x14ac:dyDescent="0.25">
      <c r="I346" t="str">
        <f t="shared" si="22"/>
        <v/>
      </c>
      <c r="J346" t="str">
        <f t="shared" si="23"/>
        <v/>
      </c>
      <c r="K346" t="e">
        <f t="shared" si="24"/>
        <v>#VALUE!</v>
      </c>
      <c r="L346" t="str">
        <f t="shared" si="25"/>
        <v/>
      </c>
    </row>
    <row r="347" spans="9:12" x14ac:dyDescent="0.25">
      <c r="I347" t="str">
        <f t="shared" si="22"/>
        <v/>
      </c>
      <c r="J347" t="str">
        <f t="shared" si="23"/>
        <v/>
      </c>
      <c r="K347" t="e">
        <f t="shared" si="24"/>
        <v>#VALUE!</v>
      </c>
      <c r="L347" t="str">
        <f t="shared" si="25"/>
        <v/>
      </c>
    </row>
    <row r="348" spans="9:12" x14ac:dyDescent="0.25">
      <c r="I348" t="str">
        <f t="shared" si="22"/>
        <v/>
      </c>
      <c r="J348" t="str">
        <f t="shared" si="23"/>
        <v/>
      </c>
      <c r="K348" t="e">
        <f t="shared" si="24"/>
        <v>#VALUE!</v>
      </c>
      <c r="L348" t="str">
        <f t="shared" si="25"/>
        <v/>
      </c>
    </row>
    <row r="349" spans="9:12" x14ac:dyDescent="0.25">
      <c r="I349" t="str">
        <f t="shared" si="22"/>
        <v/>
      </c>
      <c r="J349" t="str">
        <f t="shared" si="23"/>
        <v/>
      </c>
      <c r="K349" t="e">
        <f t="shared" si="24"/>
        <v>#VALUE!</v>
      </c>
      <c r="L349" t="str">
        <f t="shared" si="25"/>
        <v/>
      </c>
    </row>
    <row r="350" spans="9:12" x14ac:dyDescent="0.25">
      <c r="I350" t="str">
        <f t="shared" si="22"/>
        <v/>
      </c>
      <c r="J350" t="str">
        <f t="shared" si="23"/>
        <v/>
      </c>
      <c r="K350" t="e">
        <f t="shared" si="24"/>
        <v>#VALUE!</v>
      </c>
      <c r="L350" t="str">
        <f t="shared" si="25"/>
        <v/>
      </c>
    </row>
    <row r="351" spans="9:12" x14ac:dyDescent="0.25">
      <c r="I351" t="str">
        <f t="shared" si="22"/>
        <v/>
      </c>
      <c r="J351" t="str">
        <f t="shared" si="23"/>
        <v/>
      </c>
      <c r="K351" t="e">
        <f t="shared" si="24"/>
        <v>#VALUE!</v>
      </c>
      <c r="L351" t="str">
        <f t="shared" si="25"/>
        <v/>
      </c>
    </row>
    <row r="352" spans="9:12" x14ac:dyDescent="0.25">
      <c r="I352" t="str">
        <f t="shared" si="22"/>
        <v/>
      </c>
      <c r="J352" t="str">
        <f t="shared" si="23"/>
        <v/>
      </c>
      <c r="K352" t="e">
        <f t="shared" si="24"/>
        <v>#VALUE!</v>
      </c>
      <c r="L352" t="str">
        <f t="shared" si="25"/>
        <v/>
      </c>
    </row>
    <row r="353" spans="9:12" x14ac:dyDescent="0.25">
      <c r="I353" t="str">
        <f t="shared" si="22"/>
        <v/>
      </c>
      <c r="J353" t="str">
        <f t="shared" si="23"/>
        <v/>
      </c>
      <c r="K353" t="e">
        <f t="shared" si="24"/>
        <v>#VALUE!</v>
      </c>
      <c r="L353" t="str">
        <f t="shared" si="25"/>
        <v/>
      </c>
    </row>
    <row r="354" spans="9:12" x14ac:dyDescent="0.25">
      <c r="I354" t="str">
        <f t="shared" si="22"/>
        <v/>
      </c>
      <c r="J354" t="str">
        <f t="shared" si="23"/>
        <v/>
      </c>
      <c r="K354" t="e">
        <f t="shared" si="24"/>
        <v>#VALUE!</v>
      </c>
      <c r="L354" t="str">
        <f t="shared" si="25"/>
        <v/>
      </c>
    </row>
    <row r="355" spans="9:12" x14ac:dyDescent="0.25">
      <c r="I355" t="str">
        <f t="shared" si="22"/>
        <v/>
      </c>
      <c r="J355" t="str">
        <f t="shared" si="23"/>
        <v/>
      </c>
      <c r="K355" t="e">
        <f t="shared" si="24"/>
        <v>#VALUE!</v>
      </c>
      <c r="L355" t="str">
        <f t="shared" si="25"/>
        <v/>
      </c>
    </row>
    <row r="356" spans="9:12" x14ac:dyDescent="0.25">
      <c r="I356" t="str">
        <f t="shared" si="22"/>
        <v/>
      </c>
      <c r="J356" t="str">
        <f t="shared" si="23"/>
        <v/>
      </c>
      <c r="K356" t="e">
        <f t="shared" si="24"/>
        <v>#VALUE!</v>
      </c>
      <c r="L356" t="str">
        <f t="shared" si="25"/>
        <v/>
      </c>
    </row>
    <row r="357" spans="9:12" x14ac:dyDescent="0.25">
      <c r="I357" t="str">
        <f t="shared" si="22"/>
        <v/>
      </c>
      <c r="J357" t="str">
        <f t="shared" si="23"/>
        <v/>
      </c>
      <c r="K357" t="e">
        <f t="shared" si="24"/>
        <v>#VALUE!</v>
      </c>
      <c r="L357" t="str">
        <f t="shared" si="25"/>
        <v/>
      </c>
    </row>
    <row r="358" spans="9:12" x14ac:dyDescent="0.25">
      <c r="I358" t="str">
        <f t="shared" si="22"/>
        <v/>
      </c>
      <c r="J358" t="str">
        <f t="shared" si="23"/>
        <v/>
      </c>
      <c r="K358" t="e">
        <f t="shared" si="24"/>
        <v>#VALUE!</v>
      </c>
      <c r="L358" t="str">
        <f t="shared" si="25"/>
        <v/>
      </c>
    </row>
    <row r="359" spans="9:12" x14ac:dyDescent="0.25">
      <c r="I359" t="str">
        <f t="shared" si="22"/>
        <v/>
      </c>
      <c r="J359" t="str">
        <f t="shared" si="23"/>
        <v/>
      </c>
      <c r="K359" t="e">
        <f t="shared" si="24"/>
        <v>#VALUE!</v>
      </c>
      <c r="L359" t="str">
        <f t="shared" si="25"/>
        <v/>
      </c>
    </row>
    <row r="360" spans="9:12" x14ac:dyDescent="0.25">
      <c r="I360" t="str">
        <f t="shared" si="22"/>
        <v/>
      </c>
      <c r="J360" t="str">
        <f t="shared" si="23"/>
        <v/>
      </c>
      <c r="K360" t="e">
        <f t="shared" si="24"/>
        <v>#VALUE!</v>
      </c>
      <c r="L360" t="str">
        <f t="shared" si="25"/>
        <v/>
      </c>
    </row>
    <row r="361" spans="9:12" x14ac:dyDescent="0.25">
      <c r="I361" t="str">
        <f t="shared" si="22"/>
        <v/>
      </c>
      <c r="J361" t="str">
        <f t="shared" si="23"/>
        <v/>
      </c>
      <c r="K361" t="e">
        <f t="shared" si="24"/>
        <v>#VALUE!</v>
      </c>
      <c r="L361" t="str">
        <f t="shared" si="25"/>
        <v/>
      </c>
    </row>
    <row r="362" spans="9:12" x14ac:dyDescent="0.25">
      <c r="I362" t="str">
        <f t="shared" si="22"/>
        <v/>
      </c>
      <c r="J362" t="str">
        <f t="shared" si="23"/>
        <v/>
      </c>
      <c r="K362" t="e">
        <f t="shared" si="24"/>
        <v>#VALUE!</v>
      </c>
      <c r="L362" t="str">
        <f t="shared" si="25"/>
        <v/>
      </c>
    </row>
    <row r="363" spans="9:12" x14ac:dyDescent="0.25">
      <c r="I363" t="str">
        <f t="shared" si="22"/>
        <v/>
      </c>
      <c r="J363" t="str">
        <f t="shared" si="23"/>
        <v/>
      </c>
      <c r="K363" t="e">
        <f t="shared" si="24"/>
        <v>#VALUE!</v>
      </c>
      <c r="L363" t="str">
        <f t="shared" si="25"/>
        <v/>
      </c>
    </row>
    <row r="364" spans="9:12" x14ac:dyDescent="0.25">
      <c r="I364" t="str">
        <f t="shared" si="22"/>
        <v/>
      </c>
      <c r="J364" t="str">
        <f t="shared" si="23"/>
        <v/>
      </c>
      <c r="K364" t="e">
        <f t="shared" si="24"/>
        <v>#VALUE!</v>
      </c>
      <c r="L364" t="str">
        <f t="shared" si="25"/>
        <v/>
      </c>
    </row>
    <row r="365" spans="9:12" x14ac:dyDescent="0.25">
      <c r="I365" t="str">
        <f t="shared" si="22"/>
        <v/>
      </c>
      <c r="J365" t="str">
        <f t="shared" si="23"/>
        <v/>
      </c>
      <c r="K365" t="e">
        <f t="shared" si="24"/>
        <v>#VALUE!</v>
      </c>
      <c r="L365" t="str">
        <f t="shared" si="25"/>
        <v/>
      </c>
    </row>
    <row r="366" spans="9:12" x14ac:dyDescent="0.25">
      <c r="I366" t="str">
        <f t="shared" si="22"/>
        <v/>
      </c>
      <c r="J366" t="str">
        <f t="shared" si="23"/>
        <v/>
      </c>
      <c r="K366" t="e">
        <f t="shared" si="24"/>
        <v>#VALUE!</v>
      </c>
      <c r="L366" t="str">
        <f t="shared" si="25"/>
        <v/>
      </c>
    </row>
    <row r="367" spans="9:12" x14ac:dyDescent="0.25">
      <c r="I367" t="str">
        <f t="shared" si="22"/>
        <v/>
      </c>
      <c r="J367" t="str">
        <f t="shared" si="23"/>
        <v/>
      </c>
      <c r="K367" t="e">
        <f t="shared" si="24"/>
        <v>#VALUE!</v>
      </c>
      <c r="L367" t="str">
        <f t="shared" si="25"/>
        <v/>
      </c>
    </row>
    <row r="368" spans="9:12" x14ac:dyDescent="0.25">
      <c r="I368" t="str">
        <f t="shared" si="22"/>
        <v/>
      </c>
      <c r="J368" t="str">
        <f t="shared" si="23"/>
        <v/>
      </c>
      <c r="K368" t="e">
        <f t="shared" si="24"/>
        <v>#VALUE!</v>
      </c>
      <c r="L368" t="str">
        <f t="shared" si="25"/>
        <v/>
      </c>
    </row>
    <row r="369" spans="9:12" x14ac:dyDescent="0.25">
      <c r="I369" t="str">
        <f t="shared" si="22"/>
        <v/>
      </c>
      <c r="J369" t="str">
        <f t="shared" si="23"/>
        <v/>
      </c>
      <c r="K369" t="e">
        <f t="shared" si="24"/>
        <v>#VALUE!</v>
      </c>
      <c r="L369" t="str">
        <f t="shared" si="25"/>
        <v/>
      </c>
    </row>
    <row r="370" spans="9:12" x14ac:dyDescent="0.25">
      <c r="I370" t="str">
        <f t="shared" si="22"/>
        <v/>
      </c>
      <c r="J370" t="str">
        <f t="shared" si="23"/>
        <v/>
      </c>
      <c r="K370" t="e">
        <f t="shared" si="24"/>
        <v>#VALUE!</v>
      </c>
      <c r="L370" t="str">
        <f t="shared" si="25"/>
        <v/>
      </c>
    </row>
    <row r="371" spans="9:12" x14ac:dyDescent="0.25">
      <c r="I371" t="str">
        <f t="shared" si="22"/>
        <v/>
      </c>
      <c r="J371" t="str">
        <f t="shared" si="23"/>
        <v/>
      </c>
      <c r="K371" t="e">
        <f t="shared" si="24"/>
        <v>#VALUE!</v>
      </c>
      <c r="L371" t="str">
        <f t="shared" si="25"/>
        <v/>
      </c>
    </row>
    <row r="372" spans="9:12" x14ac:dyDescent="0.25">
      <c r="I372" t="str">
        <f t="shared" si="22"/>
        <v/>
      </c>
      <c r="J372" t="str">
        <f t="shared" si="23"/>
        <v/>
      </c>
      <c r="K372" t="e">
        <f t="shared" si="24"/>
        <v>#VALUE!</v>
      </c>
      <c r="L372" t="str">
        <f t="shared" si="25"/>
        <v/>
      </c>
    </row>
    <row r="373" spans="9:12" x14ac:dyDescent="0.25">
      <c r="I373" t="str">
        <f t="shared" si="22"/>
        <v/>
      </c>
      <c r="J373" t="str">
        <f t="shared" si="23"/>
        <v/>
      </c>
      <c r="K373" t="e">
        <f t="shared" si="24"/>
        <v>#VALUE!</v>
      </c>
      <c r="L373" t="str">
        <f t="shared" si="25"/>
        <v/>
      </c>
    </row>
    <row r="374" spans="9:12" x14ac:dyDescent="0.25">
      <c r="I374" t="str">
        <f t="shared" si="22"/>
        <v/>
      </c>
      <c r="J374" t="str">
        <f t="shared" si="23"/>
        <v/>
      </c>
      <c r="K374" t="e">
        <f t="shared" si="24"/>
        <v>#VALUE!</v>
      </c>
      <c r="L374" t="str">
        <f t="shared" si="25"/>
        <v/>
      </c>
    </row>
    <row r="375" spans="9:12" x14ac:dyDescent="0.25">
      <c r="I375" t="str">
        <f t="shared" si="22"/>
        <v/>
      </c>
      <c r="J375" t="str">
        <f t="shared" si="23"/>
        <v/>
      </c>
      <c r="K375" t="e">
        <f t="shared" si="24"/>
        <v>#VALUE!</v>
      </c>
      <c r="L375" t="str">
        <f t="shared" si="25"/>
        <v/>
      </c>
    </row>
    <row r="376" spans="9:12" x14ac:dyDescent="0.25">
      <c r="I376" t="str">
        <f t="shared" si="22"/>
        <v/>
      </c>
      <c r="J376" t="str">
        <f t="shared" si="23"/>
        <v/>
      </c>
      <c r="K376" t="e">
        <f t="shared" si="24"/>
        <v>#VALUE!</v>
      </c>
      <c r="L376" t="str">
        <f t="shared" si="25"/>
        <v/>
      </c>
    </row>
    <row r="377" spans="9:12" x14ac:dyDescent="0.25">
      <c r="I377" t="str">
        <f t="shared" si="22"/>
        <v/>
      </c>
      <c r="J377" t="str">
        <f t="shared" si="23"/>
        <v/>
      </c>
      <c r="K377" t="e">
        <f t="shared" si="24"/>
        <v>#VALUE!</v>
      </c>
      <c r="L377" t="str">
        <f t="shared" si="25"/>
        <v/>
      </c>
    </row>
    <row r="378" spans="9:12" x14ac:dyDescent="0.25">
      <c r="I378" t="str">
        <f t="shared" si="22"/>
        <v/>
      </c>
      <c r="J378" t="str">
        <f t="shared" si="23"/>
        <v/>
      </c>
      <c r="K378" t="e">
        <f t="shared" si="24"/>
        <v>#VALUE!</v>
      </c>
      <c r="L378" t="str">
        <f t="shared" si="25"/>
        <v/>
      </c>
    </row>
    <row r="379" spans="9:12" x14ac:dyDescent="0.25">
      <c r="I379" t="str">
        <f t="shared" si="22"/>
        <v/>
      </c>
      <c r="J379" t="str">
        <f t="shared" si="23"/>
        <v/>
      </c>
      <c r="K379" t="e">
        <f t="shared" si="24"/>
        <v>#VALUE!</v>
      </c>
      <c r="L379" t="str">
        <f t="shared" si="25"/>
        <v/>
      </c>
    </row>
    <row r="380" spans="9:12" x14ac:dyDescent="0.25">
      <c r="I380" t="str">
        <f t="shared" si="22"/>
        <v/>
      </c>
      <c r="J380" t="str">
        <f t="shared" si="23"/>
        <v/>
      </c>
      <c r="K380" t="e">
        <f t="shared" si="24"/>
        <v>#VALUE!</v>
      </c>
      <c r="L380" t="str">
        <f t="shared" si="25"/>
        <v/>
      </c>
    </row>
    <row r="381" spans="9:12" x14ac:dyDescent="0.25">
      <c r="I381" t="str">
        <f t="shared" si="22"/>
        <v/>
      </c>
      <c r="J381" t="str">
        <f t="shared" si="23"/>
        <v/>
      </c>
      <c r="K381" t="e">
        <f t="shared" si="24"/>
        <v>#VALUE!</v>
      </c>
      <c r="L381" t="str">
        <f t="shared" si="25"/>
        <v/>
      </c>
    </row>
    <row r="382" spans="9:12" x14ac:dyDescent="0.25">
      <c r="I382" t="str">
        <f t="shared" si="22"/>
        <v/>
      </c>
      <c r="J382" t="str">
        <f t="shared" si="23"/>
        <v/>
      </c>
      <c r="K382" t="e">
        <f t="shared" si="24"/>
        <v>#VALUE!</v>
      </c>
      <c r="L382" t="str">
        <f t="shared" si="25"/>
        <v/>
      </c>
    </row>
    <row r="383" spans="9:12" x14ac:dyDescent="0.25">
      <c r="I383" t="str">
        <f t="shared" si="22"/>
        <v/>
      </c>
      <c r="J383" t="str">
        <f t="shared" si="23"/>
        <v/>
      </c>
      <c r="K383" t="e">
        <f t="shared" si="24"/>
        <v>#VALUE!</v>
      </c>
      <c r="L383" t="str">
        <f t="shared" si="25"/>
        <v/>
      </c>
    </row>
    <row r="384" spans="9:12" x14ac:dyDescent="0.25">
      <c r="I384" t="str">
        <f t="shared" si="22"/>
        <v/>
      </c>
      <c r="J384" t="str">
        <f t="shared" si="23"/>
        <v/>
      </c>
      <c r="K384" t="e">
        <f t="shared" si="24"/>
        <v>#VALUE!</v>
      </c>
      <c r="L384" t="str">
        <f t="shared" si="25"/>
        <v/>
      </c>
    </row>
    <row r="385" spans="9:12" x14ac:dyDescent="0.25">
      <c r="I385" t="str">
        <f t="shared" si="22"/>
        <v/>
      </c>
      <c r="J385" t="str">
        <f t="shared" si="23"/>
        <v/>
      </c>
      <c r="K385" t="e">
        <f t="shared" si="24"/>
        <v>#VALUE!</v>
      </c>
      <c r="L385" t="str">
        <f t="shared" si="25"/>
        <v/>
      </c>
    </row>
    <row r="386" spans="9:12" x14ac:dyDescent="0.25">
      <c r="I386" t="str">
        <f t="shared" si="22"/>
        <v/>
      </c>
      <c r="J386" t="str">
        <f t="shared" si="23"/>
        <v/>
      </c>
      <c r="K386" t="e">
        <f t="shared" si="24"/>
        <v>#VALUE!</v>
      </c>
      <c r="L386" t="str">
        <f t="shared" si="25"/>
        <v/>
      </c>
    </row>
    <row r="387" spans="9:12" x14ac:dyDescent="0.25">
      <c r="I387" t="str">
        <f t="shared" si="22"/>
        <v/>
      </c>
      <c r="J387" t="str">
        <f t="shared" si="23"/>
        <v/>
      </c>
      <c r="K387" t="e">
        <f t="shared" si="24"/>
        <v>#VALUE!</v>
      </c>
      <c r="L387" t="str">
        <f t="shared" si="25"/>
        <v/>
      </c>
    </row>
    <row r="388" spans="9:12" x14ac:dyDescent="0.25">
      <c r="I388" t="str">
        <f t="shared" ref="I388:I451" si="26">IF(ISBLANK(A388),"",CONCATENATE("Замена ",H388," блока ",B388,"x",C388,"(h)","мм."))</f>
        <v/>
      </c>
      <c r="J388" t="str">
        <f t="shared" ref="J388:J451" si="27">LEFT(RIGHT(A388,6),3)</f>
        <v/>
      </c>
      <c r="K388" t="e">
        <f t="shared" ref="K388:K444" si="28">((J388*C388*D388)/(1000*1000*1000))*E388</f>
        <v>#VALUE!</v>
      </c>
      <c r="L388" t="str">
        <f t="shared" ref="L388:L444" si="29">IF(ISBLANK(A388),"",CONCATENATE(ROUND(K388,2)," куб.м."))</f>
        <v/>
      </c>
    </row>
    <row r="389" spans="9:12" x14ac:dyDescent="0.25">
      <c r="I389" t="str">
        <f t="shared" si="26"/>
        <v/>
      </c>
      <c r="J389" t="str">
        <f t="shared" si="27"/>
        <v/>
      </c>
      <c r="K389" t="e">
        <f t="shared" si="28"/>
        <v>#VALUE!</v>
      </c>
      <c r="L389" t="str">
        <f t="shared" si="29"/>
        <v/>
      </c>
    </row>
    <row r="390" spans="9:12" x14ac:dyDescent="0.25">
      <c r="I390" t="str">
        <f t="shared" si="26"/>
        <v/>
      </c>
      <c r="J390" t="str">
        <f t="shared" si="27"/>
        <v/>
      </c>
      <c r="K390" t="e">
        <f t="shared" si="28"/>
        <v>#VALUE!</v>
      </c>
      <c r="L390" t="str">
        <f t="shared" si="29"/>
        <v/>
      </c>
    </row>
    <row r="391" spans="9:12" x14ac:dyDescent="0.25">
      <c r="I391" t="str">
        <f t="shared" si="26"/>
        <v/>
      </c>
      <c r="J391" t="str">
        <f t="shared" si="27"/>
        <v/>
      </c>
      <c r="K391" t="e">
        <f t="shared" si="28"/>
        <v>#VALUE!</v>
      </c>
      <c r="L391" t="str">
        <f t="shared" si="29"/>
        <v/>
      </c>
    </row>
    <row r="392" spans="9:12" x14ac:dyDescent="0.25">
      <c r="I392" t="str">
        <f t="shared" si="26"/>
        <v/>
      </c>
      <c r="J392" t="str">
        <f t="shared" si="27"/>
        <v/>
      </c>
      <c r="K392" t="e">
        <f t="shared" si="28"/>
        <v>#VALUE!</v>
      </c>
      <c r="L392" t="str">
        <f t="shared" si="29"/>
        <v/>
      </c>
    </row>
    <row r="393" spans="9:12" x14ac:dyDescent="0.25">
      <c r="I393" t="str">
        <f t="shared" si="26"/>
        <v/>
      </c>
      <c r="J393" t="str">
        <f t="shared" si="27"/>
        <v/>
      </c>
      <c r="K393" t="e">
        <f t="shared" si="28"/>
        <v>#VALUE!</v>
      </c>
      <c r="L393" t="str">
        <f t="shared" si="29"/>
        <v/>
      </c>
    </row>
    <row r="394" spans="9:12" x14ac:dyDescent="0.25">
      <c r="I394" t="str">
        <f t="shared" si="26"/>
        <v/>
      </c>
      <c r="J394" t="str">
        <f t="shared" si="27"/>
        <v/>
      </c>
      <c r="K394" t="e">
        <f t="shared" si="28"/>
        <v>#VALUE!</v>
      </c>
      <c r="L394" t="str">
        <f t="shared" si="29"/>
        <v/>
      </c>
    </row>
    <row r="395" spans="9:12" x14ac:dyDescent="0.25">
      <c r="I395" t="str">
        <f t="shared" si="26"/>
        <v/>
      </c>
      <c r="J395" t="str">
        <f t="shared" si="27"/>
        <v/>
      </c>
      <c r="K395" t="e">
        <f t="shared" si="28"/>
        <v>#VALUE!</v>
      </c>
      <c r="L395" t="str">
        <f t="shared" si="29"/>
        <v/>
      </c>
    </row>
    <row r="396" spans="9:12" x14ac:dyDescent="0.25">
      <c r="I396" t="str">
        <f t="shared" si="26"/>
        <v/>
      </c>
      <c r="J396" t="str">
        <f t="shared" si="27"/>
        <v/>
      </c>
      <c r="K396" t="e">
        <f t="shared" si="28"/>
        <v>#VALUE!</v>
      </c>
      <c r="L396" t="str">
        <f t="shared" si="29"/>
        <v/>
      </c>
    </row>
    <row r="397" spans="9:12" x14ac:dyDescent="0.25">
      <c r="I397" t="str">
        <f t="shared" si="26"/>
        <v/>
      </c>
      <c r="J397" t="str">
        <f t="shared" si="27"/>
        <v/>
      </c>
      <c r="K397" t="e">
        <f t="shared" si="28"/>
        <v>#VALUE!</v>
      </c>
      <c r="L397" t="str">
        <f t="shared" si="29"/>
        <v/>
      </c>
    </row>
    <row r="398" spans="9:12" x14ac:dyDescent="0.25">
      <c r="I398" t="str">
        <f t="shared" si="26"/>
        <v/>
      </c>
      <c r="J398" t="str">
        <f t="shared" si="27"/>
        <v/>
      </c>
      <c r="K398" t="e">
        <f t="shared" si="28"/>
        <v>#VALUE!</v>
      </c>
      <c r="L398" t="str">
        <f t="shared" si="29"/>
        <v/>
      </c>
    </row>
    <row r="399" spans="9:12" x14ac:dyDescent="0.25">
      <c r="I399" t="str">
        <f t="shared" si="26"/>
        <v/>
      </c>
      <c r="J399" t="str">
        <f t="shared" si="27"/>
        <v/>
      </c>
      <c r="K399" t="e">
        <f t="shared" si="28"/>
        <v>#VALUE!</v>
      </c>
      <c r="L399" t="str">
        <f t="shared" si="29"/>
        <v/>
      </c>
    </row>
    <row r="400" spans="9:12" x14ac:dyDescent="0.25">
      <c r="I400" t="str">
        <f t="shared" si="26"/>
        <v/>
      </c>
      <c r="J400" t="str">
        <f t="shared" si="27"/>
        <v/>
      </c>
      <c r="K400" t="e">
        <f t="shared" si="28"/>
        <v>#VALUE!</v>
      </c>
      <c r="L400" t="str">
        <f t="shared" si="29"/>
        <v/>
      </c>
    </row>
    <row r="401" spans="9:12" x14ac:dyDescent="0.25">
      <c r="I401" t="str">
        <f t="shared" si="26"/>
        <v/>
      </c>
      <c r="J401" t="str">
        <f t="shared" si="27"/>
        <v/>
      </c>
      <c r="K401" t="e">
        <f t="shared" si="28"/>
        <v>#VALUE!</v>
      </c>
      <c r="L401" t="str">
        <f t="shared" si="29"/>
        <v/>
      </c>
    </row>
    <row r="402" spans="9:12" x14ac:dyDescent="0.25">
      <c r="I402" t="str">
        <f t="shared" si="26"/>
        <v/>
      </c>
      <c r="J402" t="str">
        <f t="shared" si="27"/>
        <v/>
      </c>
      <c r="K402" t="e">
        <f t="shared" si="28"/>
        <v>#VALUE!</v>
      </c>
      <c r="L402" t="str">
        <f t="shared" si="29"/>
        <v/>
      </c>
    </row>
    <row r="403" spans="9:12" x14ac:dyDescent="0.25">
      <c r="I403" t="str">
        <f t="shared" si="26"/>
        <v/>
      </c>
      <c r="J403" t="str">
        <f t="shared" si="27"/>
        <v/>
      </c>
      <c r="K403" t="e">
        <f t="shared" si="28"/>
        <v>#VALUE!</v>
      </c>
      <c r="L403" t="str">
        <f t="shared" si="29"/>
        <v/>
      </c>
    </row>
    <row r="404" spans="9:12" x14ac:dyDescent="0.25">
      <c r="I404" t="str">
        <f t="shared" si="26"/>
        <v/>
      </c>
      <c r="J404" t="str">
        <f t="shared" si="27"/>
        <v/>
      </c>
      <c r="K404" t="e">
        <f t="shared" si="28"/>
        <v>#VALUE!</v>
      </c>
      <c r="L404" t="str">
        <f t="shared" si="29"/>
        <v/>
      </c>
    </row>
    <row r="405" spans="9:12" x14ac:dyDescent="0.25">
      <c r="I405" t="str">
        <f t="shared" si="26"/>
        <v/>
      </c>
      <c r="J405" t="str">
        <f t="shared" si="27"/>
        <v/>
      </c>
      <c r="K405" t="e">
        <f t="shared" si="28"/>
        <v>#VALUE!</v>
      </c>
      <c r="L405" t="str">
        <f t="shared" si="29"/>
        <v/>
      </c>
    </row>
    <row r="406" spans="9:12" x14ac:dyDescent="0.25">
      <c r="I406" t="str">
        <f t="shared" si="26"/>
        <v/>
      </c>
      <c r="J406" t="str">
        <f t="shared" si="27"/>
        <v/>
      </c>
      <c r="K406" t="e">
        <f t="shared" si="28"/>
        <v>#VALUE!</v>
      </c>
      <c r="L406" t="str">
        <f t="shared" si="29"/>
        <v/>
      </c>
    </row>
    <row r="407" spans="9:12" x14ac:dyDescent="0.25">
      <c r="I407" t="str">
        <f t="shared" si="26"/>
        <v/>
      </c>
      <c r="J407" t="str">
        <f t="shared" si="27"/>
        <v/>
      </c>
      <c r="K407" t="e">
        <f t="shared" si="28"/>
        <v>#VALUE!</v>
      </c>
      <c r="L407" t="str">
        <f t="shared" si="29"/>
        <v/>
      </c>
    </row>
    <row r="408" spans="9:12" x14ac:dyDescent="0.25">
      <c r="I408" t="str">
        <f t="shared" si="26"/>
        <v/>
      </c>
      <c r="J408" t="str">
        <f t="shared" si="27"/>
        <v/>
      </c>
      <c r="K408" t="e">
        <f t="shared" si="28"/>
        <v>#VALUE!</v>
      </c>
      <c r="L408" t="str">
        <f t="shared" si="29"/>
        <v/>
      </c>
    </row>
    <row r="409" spans="9:12" x14ac:dyDescent="0.25">
      <c r="I409" t="str">
        <f t="shared" si="26"/>
        <v/>
      </c>
      <c r="J409" t="str">
        <f t="shared" si="27"/>
        <v/>
      </c>
      <c r="K409" t="e">
        <f t="shared" si="28"/>
        <v>#VALUE!</v>
      </c>
      <c r="L409" t="str">
        <f t="shared" si="29"/>
        <v/>
      </c>
    </row>
    <row r="410" spans="9:12" x14ac:dyDescent="0.25">
      <c r="I410" t="str">
        <f t="shared" si="26"/>
        <v/>
      </c>
      <c r="J410" t="str">
        <f t="shared" si="27"/>
        <v/>
      </c>
      <c r="K410" t="e">
        <f t="shared" si="28"/>
        <v>#VALUE!</v>
      </c>
      <c r="L410" t="str">
        <f t="shared" si="29"/>
        <v/>
      </c>
    </row>
    <row r="411" spans="9:12" x14ac:dyDescent="0.25">
      <c r="I411" t="str">
        <f t="shared" si="26"/>
        <v/>
      </c>
      <c r="J411" t="str">
        <f t="shared" si="27"/>
        <v/>
      </c>
      <c r="K411" t="e">
        <f t="shared" si="28"/>
        <v>#VALUE!</v>
      </c>
      <c r="L411" t="str">
        <f t="shared" si="29"/>
        <v/>
      </c>
    </row>
    <row r="412" spans="9:12" x14ac:dyDescent="0.25">
      <c r="I412" t="str">
        <f t="shared" si="26"/>
        <v/>
      </c>
      <c r="J412" t="str">
        <f t="shared" si="27"/>
        <v/>
      </c>
      <c r="K412" t="e">
        <f t="shared" si="28"/>
        <v>#VALUE!</v>
      </c>
      <c r="L412" t="str">
        <f t="shared" si="29"/>
        <v/>
      </c>
    </row>
    <row r="413" spans="9:12" x14ac:dyDescent="0.25">
      <c r="I413" t="str">
        <f t="shared" si="26"/>
        <v/>
      </c>
      <c r="J413" t="str">
        <f t="shared" si="27"/>
        <v/>
      </c>
      <c r="K413" t="e">
        <f t="shared" si="28"/>
        <v>#VALUE!</v>
      </c>
      <c r="L413" t="str">
        <f t="shared" si="29"/>
        <v/>
      </c>
    </row>
    <row r="414" spans="9:12" x14ac:dyDescent="0.25">
      <c r="I414" t="str">
        <f t="shared" si="26"/>
        <v/>
      </c>
      <c r="J414" t="str">
        <f t="shared" si="27"/>
        <v/>
      </c>
      <c r="K414" t="e">
        <f t="shared" si="28"/>
        <v>#VALUE!</v>
      </c>
      <c r="L414" t="str">
        <f t="shared" si="29"/>
        <v/>
      </c>
    </row>
    <row r="415" spans="9:12" x14ac:dyDescent="0.25">
      <c r="I415" t="str">
        <f t="shared" si="26"/>
        <v/>
      </c>
      <c r="J415" t="str">
        <f t="shared" si="27"/>
        <v/>
      </c>
      <c r="K415" t="e">
        <f t="shared" si="28"/>
        <v>#VALUE!</v>
      </c>
      <c r="L415" t="str">
        <f t="shared" si="29"/>
        <v/>
      </c>
    </row>
    <row r="416" spans="9:12" x14ac:dyDescent="0.25">
      <c r="I416" t="str">
        <f t="shared" si="26"/>
        <v/>
      </c>
      <c r="J416" t="str">
        <f t="shared" si="27"/>
        <v/>
      </c>
      <c r="K416" t="e">
        <f t="shared" si="28"/>
        <v>#VALUE!</v>
      </c>
      <c r="L416" t="str">
        <f t="shared" si="29"/>
        <v/>
      </c>
    </row>
    <row r="417" spans="9:12" x14ac:dyDescent="0.25">
      <c r="I417" t="str">
        <f t="shared" si="26"/>
        <v/>
      </c>
      <c r="J417" t="str">
        <f t="shared" si="27"/>
        <v/>
      </c>
      <c r="K417" t="e">
        <f t="shared" si="28"/>
        <v>#VALUE!</v>
      </c>
      <c r="L417" t="str">
        <f t="shared" si="29"/>
        <v/>
      </c>
    </row>
    <row r="418" spans="9:12" x14ac:dyDescent="0.25">
      <c r="I418" t="str">
        <f t="shared" si="26"/>
        <v/>
      </c>
      <c r="J418" t="str">
        <f t="shared" si="27"/>
        <v/>
      </c>
      <c r="K418" t="e">
        <f t="shared" si="28"/>
        <v>#VALUE!</v>
      </c>
      <c r="L418" t="str">
        <f t="shared" si="29"/>
        <v/>
      </c>
    </row>
    <row r="419" spans="9:12" x14ac:dyDescent="0.25">
      <c r="I419" t="str">
        <f t="shared" si="26"/>
        <v/>
      </c>
      <c r="J419" t="str">
        <f t="shared" si="27"/>
        <v/>
      </c>
      <c r="K419" t="e">
        <f t="shared" si="28"/>
        <v>#VALUE!</v>
      </c>
      <c r="L419" t="str">
        <f t="shared" si="29"/>
        <v/>
      </c>
    </row>
    <row r="420" spans="9:12" x14ac:dyDescent="0.25">
      <c r="I420" t="str">
        <f t="shared" si="26"/>
        <v/>
      </c>
      <c r="J420" t="str">
        <f t="shared" si="27"/>
        <v/>
      </c>
      <c r="K420" t="e">
        <f t="shared" si="28"/>
        <v>#VALUE!</v>
      </c>
      <c r="L420" t="str">
        <f t="shared" si="29"/>
        <v/>
      </c>
    </row>
    <row r="421" spans="9:12" x14ac:dyDescent="0.25">
      <c r="I421" t="str">
        <f t="shared" si="26"/>
        <v/>
      </c>
      <c r="J421" t="str">
        <f t="shared" si="27"/>
        <v/>
      </c>
      <c r="K421" t="e">
        <f t="shared" si="28"/>
        <v>#VALUE!</v>
      </c>
      <c r="L421" t="str">
        <f t="shared" si="29"/>
        <v/>
      </c>
    </row>
    <row r="422" spans="9:12" x14ac:dyDescent="0.25">
      <c r="I422" t="str">
        <f t="shared" si="26"/>
        <v/>
      </c>
      <c r="J422" t="str">
        <f t="shared" si="27"/>
        <v/>
      </c>
      <c r="K422" t="e">
        <f t="shared" si="28"/>
        <v>#VALUE!</v>
      </c>
      <c r="L422" t="str">
        <f t="shared" si="29"/>
        <v/>
      </c>
    </row>
    <row r="423" spans="9:12" x14ac:dyDescent="0.25">
      <c r="I423" t="str">
        <f t="shared" si="26"/>
        <v/>
      </c>
      <c r="J423" t="str">
        <f t="shared" si="27"/>
        <v/>
      </c>
      <c r="K423" t="e">
        <f t="shared" si="28"/>
        <v>#VALUE!</v>
      </c>
      <c r="L423" t="str">
        <f t="shared" si="29"/>
        <v/>
      </c>
    </row>
    <row r="424" spans="9:12" x14ac:dyDescent="0.25">
      <c r="I424" t="str">
        <f t="shared" si="26"/>
        <v/>
      </c>
      <c r="J424" t="str">
        <f t="shared" si="27"/>
        <v/>
      </c>
      <c r="K424" t="e">
        <f t="shared" si="28"/>
        <v>#VALUE!</v>
      </c>
      <c r="L424" t="str">
        <f t="shared" si="29"/>
        <v/>
      </c>
    </row>
    <row r="425" spans="9:12" x14ac:dyDescent="0.25">
      <c r="I425" t="str">
        <f t="shared" si="26"/>
        <v/>
      </c>
      <c r="J425" t="str">
        <f t="shared" si="27"/>
        <v/>
      </c>
      <c r="K425" t="e">
        <f t="shared" si="28"/>
        <v>#VALUE!</v>
      </c>
      <c r="L425" t="str">
        <f t="shared" si="29"/>
        <v/>
      </c>
    </row>
    <row r="426" spans="9:12" x14ac:dyDescent="0.25">
      <c r="I426" t="str">
        <f t="shared" si="26"/>
        <v/>
      </c>
      <c r="J426" t="str">
        <f t="shared" si="27"/>
        <v/>
      </c>
      <c r="K426" t="e">
        <f t="shared" si="28"/>
        <v>#VALUE!</v>
      </c>
      <c r="L426" t="str">
        <f t="shared" si="29"/>
        <v/>
      </c>
    </row>
    <row r="427" spans="9:12" x14ac:dyDescent="0.25">
      <c r="I427" t="str">
        <f t="shared" si="26"/>
        <v/>
      </c>
      <c r="J427" t="str">
        <f t="shared" si="27"/>
        <v/>
      </c>
      <c r="K427" t="e">
        <f t="shared" si="28"/>
        <v>#VALUE!</v>
      </c>
      <c r="L427" t="str">
        <f t="shared" si="29"/>
        <v/>
      </c>
    </row>
    <row r="428" spans="9:12" x14ac:dyDescent="0.25">
      <c r="I428" t="str">
        <f t="shared" si="26"/>
        <v/>
      </c>
      <c r="J428" t="str">
        <f t="shared" si="27"/>
        <v/>
      </c>
      <c r="K428" t="e">
        <f t="shared" si="28"/>
        <v>#VALUE!</v>
      </c>
      <c r="L428" t="str">
        <f t="shared" si="29"/>
        <v/>
      </c>
    </row>
    <row r="429" spans="9:12" x14ac:dyDescent="0.25">
      <c r="I429" t="str">
        <f t="shared" si="26"/>
        <v/>
      </c>
      <c r="J429" t="str">
        <f t="shared" si="27"/>
        <v/>
      </c>
      <c r="K429" t="e">
        <f t="shared" si="28"/>
        <v>#VALUE!</v>
      </c>
      <c r="L429" t="str">
        <f t="shared" si="29"/>
        <v/>
      </c>
    </row>
    <row r="430" spans="9:12" x14ac:dyDescent="0.25">
      <c r="I430" t="str">
        <f t="shared" si="26"/>
        <v/>
      </c>
      <c r="J430" t="str">
        <f t="shared" si="27"/>
        <v/>
      </c>
      <c r="K430" t="e">
        <f t="shared" si="28"/>
        <v>#VALUE!</v>
      </c>
      <c r="L430" t="str">
        <f t="shared" si="29"/>
        <v/>
      </c>
    </row>
    <row r="431" spans="9:12" x14ac:dyDescent="0.25">
      <c r="I431" t="str">
        <f t="shared" si="26"/>
        <v/>
      </c>
      <c r="J431" t="str">
        <f t="shared" si="27"/>
        <v/>
      </c>
      <c r="K431" t="e">
        <f t="shared" si="28"/>
        <v>#VALUE!</v>
      </c>
      <c r="L431" t="str">
        <f t="shared" si="29"/>
        <v/>
      </c>
    </row>
    <row r="432" spans="9:12" x14ac:dyDescent="0.25">
      <c r="I432" t="str">
        <f t="shared" si="26"/>
        <v/>
      </c>
      <c r="J432" t="str">
        <f t="shared" si="27"/>
        <v/>
      </c>
      <c r="K432" t="e">
        <f t="shared" si="28"/>
        <v>#VALUE!</v>
      </c>
      <c r="L432" t="str">
        <f t="shared" si="29"/>
        <v/>
      </c>
    </row>
    <row r="433" spans="9:12" x14ac:dyDescent="0.25">
      <c r="I433" t="str">
        <f t="shared" si="26"/>
        <v/>
      </c>
      <c r="J433" t="str">
        <f t="shared" si="27"/>
        <v/>
      </c>
      <c r="K433" t="e">
        <f t="shared" si="28"/>
        <v>#VALUE!</v>
      </c>
      <c r="L433" t="str">
        <f t="shared" si="29"/>
        <v/>
      </c>
    </row>
    <row r="434" spans="9:12" x14ac:dyDescent="0.25">
      <c r="I434" t="str">
        <f t="shared" si="26"/>
        <v/>
      </c>
      <c r="J434" t="str">
        <f t="shared" si="27"/>
        <v/>
      </c>
      <c r="K434" t="e">
        <f t="shared" si="28"/>
        <v>#VALUE!</v>
      </c>
      <c r="L434" t="str">
        <f t="shared" si="29"/>
        <v/>
      </c>
    </row>
    <row r="435" spans="9:12" x14ac:dyDescent="0.25">
      <c r="I435" t="str">
        <f t="shared" si="26"/>
        <v/>
      </c>
      <c r="J435" t="str">
        <f t="shared" si="27"/>
        <v/>
      </c>
      <c r="K435" t="e">
        <f t="shared" si="28"/>
        <v>#VALUE!</v>
      </c>
      <c r="L435" t="str">
        <f t="shared" si="29"/>
        <v/>
      </c>
    </row>
    <row r="436" spans="9:12" x14ac:dyDescent="0.25">
      <c r="I436" t="str">
        <f t="shared" si="26"/>
        <v/>
      </c>
      <c r="J436" t="str">
        <f t="shared" si="27"/>
        <v/>
      </c>
      <c r="K436" t="e">
        <f t="shared" si="28"/>
        <v>#VALUE!</v>
      </c>
      <c r="L436" t="str">
        <f t="shared" si="29"/>
        <v/>
      </c>
    </row>
    <row r="437" spans="9:12" x14ac:dyDescent="0.25">
      <c r="I437" t="str">
        <f t="shared" si="26"/>
        <v/>
      </c>
      <c r="J437" t="str">
        <f t="shared" si="27"/>
        <v/>
      </c>
      <c r="K437" t="e">
        <f t="shared" si="28"/>
        <v>#VALUE!</v>
      </c>
      <c r="L437" t="str">
        <f t="shared" si="29"/>
        <v/>
      </c>
    </row>
    <row r="438" spans="9:12" x14ac:dyDescent="0.25">
      <c r="I438" t="str">
        <f t="shared" si="26"/>
        <v/>
      </c>
      <c r="J438" t="str">
        <f t="shared" si="27"/>
        <v/>
      </c>
      <c r="K438" t="e">
        <f t="shared" si="28"/>
        <v>#VALUE!</v>
      </c>
      <c r="L438" t="str">
        <f t="shared" si="29"/>
        <v/>
      </c>
    </row>
    <row r="439" spans="9:12" x14ac:dyDescent="0.25">
      <c r="I439" t="str">
        <f t="shared" si="26"/>
        <v/>
      </c>
      <c r="J439" t="str">
        <f t="shared" si="27"/>
        <v/>
      </c>
      <c r="K439" t="e">
        <f t="shared" si="28"/>
        <v>#VALUE!</v>
      </c>
      <c r="L439" t="str">
        <f t="shared" si="29"/>
        <v/>
      </c>
    </row>
    <row r="440" spans="9:12" x14ac:dyDescent="0.25">
      <c r="I440" t="str">
        <f t="shared" si="26"/>
        <v/>
      </c>
      <c r="J440" t="str">
        <f t="shared" si="27"/>
        <v/>
      </c>
      <c r="K440" t="e">
        <f t="shared" si="28"/>
        <v>#VALUE!</v>
      </c>
      <c r="L440" t="str">
        <f t="shared" si="29"/>
        <v/>
      </c>
    </row>
    <row r="441" spans="9:12" x14ac:dyDescent="0.25">
      <c r="I441" t="str">
        <f t="shared" si="26"/>
        <v/>
      </c>
      <c r="J441" t="str">
        <f t="shared" si="27"/>
        <v/>
      </c>
      <c r="K441" t="e">
        <f t="shared" si="28"/>
        <v>#VALUE!</v>
      </c>
      <c r="L441" t="str">
        <f t="shared" si="29"/>
        <v/>
      </c>
    </row>
    <row r="442" spans="9:12" x14ac:dyDescent="0.25">
      <c r="I442" t="str">
        <f t="shared" si="26"/>
        <v/>
      </c>
      <c r="J442" t="str">
        <f t="shared" si="27"/>
        <v/>
      </c>
      <c r="K442" t="e">
        <f t="shared" si="28"/>
        <v>#VALUE!</v>
      </c>
      <c r="L442" t="str">
        <f t="shared" si="29"/>
        <v/>
      </c>
    </row>
    <row r="443" spans="9:12" x14ac:dyDescent="0.25">
      <c r="I443" t="str">
        <f t="shared" si="26"/>
        <v/>
      </c>
      <c r="J443" t="str">
        <f t="shared" si="27"/>
        <v/>
      </c>
      <c r="K443" t="e">
        <f t="shared" si="28"/>
        <v>#VALUE!</v>
      </c>
      <c r="L443" t="str">
        <f t="shared" si="29"/>
        <v/>
      </c>
    </row>
    <row r="444" spans="9:12" x14ac:dyDescent="0.25">
      <c r="I444" t="str">
        <f t="shared" si="26"/>
        <v/>
      </c>
      <c r="J444" t="str">
        <f t="shared" si="27"/>
        <v/>
      </c>
      <c r="K444" t="e">
        <f t="shared" si="28"/>
        <v>#VALUE!</v>
      </c>
      <c r="L444" t="str">
        <f t="shared" si="29"/>
        <v/>
      </c>
    </row>
    <row r="445" spans="9:12" x14ac:dyDescent="0.25">
      <c r="I445" t="str">
        <f t="shared" si="26"/>
        <v/>
      </c>
      <c r="J445" t="str">
        <f t="shared" si="27"/>
        <v/>
      </c>
    </row>
    <row r="446" spans="9:12" x14ac:dyDescent="0.25">
      <c r="I446" t="str">
        <f t="shared" si="26"/>
        <v/>
      </c>
      <c r="J446" t="str">
        <f t="shared" si="27"/>
        <v/>
      </c>
    </row>
    <row r="447" spans="9:12" x14ac:dyDescent="0.25">
      <c r="I447" t="str">
        <f t="shared" si="26"/>
        <v/>
      </c>
      <c r="J447" t="str">
        <f t="shared" si="27"/>
        <v/>
      </c>
    </row>
    <row r="448" spans="9:12" x14ac:dyDescent="0.25">
      <c r="I448" t="str">
        <f t="shared" si="26"/>
        <v/>
      </c>
      <c r="J448" t="str">
        <f t="shared" si="27"/>
        <v/>
      </c>
    </row>
    <row r="449" spans="9:10" x14ac:dyDescent="0.25">
      <c r="I449" t="str">
        <f t="shared" si="26"/>
        <v/>
      </c>
      <c r="J449" t="str">
        <f t="shared" si="27"/>
        <v/>
      </c>
    </row>
    <row r="450" spans="9:10" x14ac:dyDescent="0.25">
      <c r="I450" t="str">
        <f t="shared" si="26"/>
        <v/>
      </c>
      <c r="J450" t="str">
        <f t="shared" si="27"/>
        <v/>
      </c>
    </row>
    <row r="451" spans="9:10" x14ac:dyDescent="0.25">
      <c r="I451" t="str">
        <f t="shared" si="26"/>
        <v/>
      </c>
      <c r="J451" t="str">
        <f t="shared" si="27"/>
        <v/>
      </c>
    </row>
    <row r="452" spans="9:10" x14ac:dyDescent="0.25">
      <c r="I452" t="str">
        <f t="shared" ref="I452:I460" si="30">IF(ISBLANK(A452),"",CONCATENATE("Замена ",H452," блока ",B452,"x",C452,"(h)","мм."))</f>
        <v/>
      </c>
      <c r="J452" t="str">
        <f t="shared" ref="J452" si="31">LEFT(RIGHT(A452,6),3)</f>
        <v/>
      </c>
    </row>
    <row r="453" spans="9:10" x14ac:dyDescent="0.25">
      <c r="I453" t="str">
        <f t="shared" si="30"/>
        <v/>
      </c>
    </row>
    <row r="454" spans="9:10" x14ac:dyDescent="0.25">
      <c r="I454" t="str">
        <f t="shared" si="30"/>
        <v/>
      </c>
    </row>
    <row r="455" spans="9:10" x14ac:dyDescent="0.25">
      <c r="I455" t="str">
        <f t="shared" si="30"/>
        <v/>
      </c>
    </row>
    <row r="456" spans="9:10" x14ac:dyDescent="0.25">
      <c r="I456" t="str">
        <f t="shared" si="30"/>
        <v/>
      </c>
    </row>
    <row r="457" spans="9:10" x14ac:dyDescent="0.25">
      <c r="I457" t="str">
        <f t="shared" si="30"/>
        <v/>
      </c>
    </row>
    <row r="458" spans="9:10" x14ac:dyDescent="0.25">
      <c r="I458" t="str">
        <f t="shared" si="30"/>
        <v/>
      </c>
    </row>
    <row r="459" spans="9:10" x14ac:dyDescent="0.25">
      <c r="I459" t="str">
        <f t="shared" si="30"/>
        <v/>
      </c>
    </row>
    <row r="460" spans="9:10" x14ac:dyDescent="0.25">
      <c r="I460" t="str">
        <f t="shared" si="30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I460"/>
  <sheetViews>
    <sheetView workbookViewId="0">
      <selection activeCell="K36" sqref="K36"/>
    </sheetView>
  </sheetViews>
  <sheetFormatPr defaultRowHeight="15" x14ac:dyDescent="0.25"/>
  <cols>
    <col min="1" max="1" width="41.42578125" customWidth="1"/>
    <col min="2" max="2" width="4.85546875" customWidth="1"/>
    <col min="3" max="3" width="33.5703125" customWidth="1"/>
    <col min="4" max="4" width="11.85546875" customWidth="1"/>
    <col min="5" max="5" width="7.28515625" customWidth="1"/>
    <col min="14" max="14" width="6.7109375" bestFit="1" customWidth="1"/>
    <col min="15" max="15" width="4.85546875" bestFit="1" customWidth="1"/>
    <col min="16" max="16" width="19" bestFit="1" customWidth="1"/>
    <col min="17" max="17" width="52.85546875" bestFit="1" customWidth="1"/>
    <col min="18" max="18" width="7.28515625" bestFit="1" customWidth="1"/>
    <col min="19" max="19" width="15.85546875" bestFit="1" customWidth="1"/>
  </cols>
  <sheetData>
    <row r="1" spans="1:9" x14ac:dyDescent="0.25">
      <c r="C1" t="s">
        <v>2493</v>
      </c>
    </row>
    <row r="2" spans="1:9" x14ac:dyDescent="0.25">
      <c r="B2" t="s">
        <v>2388</v>
      </c>
      <c r="C2" t="s">
        <v>2470</v>
      </c>
      <c r="D2" t="s">
        <v>2471</v>
      </c>
      <c r="E2" t="s">
        <v>2391</v>
      </c>
    </row>
    <row r="3" spans="1:9" x14ac:dyDescent="0.25">
      <c r="A3" t="s">
        <v>2472</v>
      </c>
      <c r="B3" t="s">
        <v>2494</v>
      </c>
      <c r="C3">
        <v>820</v>
      </c>
      <c r="D3">
        <v>2100</v>
      </c>
      <c r="E3">
        <v>1</v>
      </c>
      <c r="H3" t="str">
        <f>IF(LEFT(A3,1)="О","оконного","дверного")</f>
        <v>дверного</v>
      </c>
      <c r="I3" t="str">
        <f>IF(ISBLANK(A3),"",CONCATENATE("Устройство ",H3," проёма ",C3,"x",D3,"(h)","мм. в кирпичной стене толщиной ",RIGHT(A3,6)))</f>
        <v>Устройство дверного проёма 820x2100(h)мм. в кирпичной стене толщиной 120мм.</v>
      </c>
    </row>
    <row r="4" spans="1:9" x14ac:dyDescent="0.25">
      <c r="A4" t="s">
        <v>2472</v>
      </c>
      <c r="B4" t="s">
        <v>2495</v>
      </c>
      <c r="C4">
        <v>920</v>
      </c>
      <c r="D4">
        <v>2100</v>
      </c>
      <c r="E4">
        <v>1</v>
      </c>
      <c r="H4" t="str">
        <f t="shared" ref="H4:H27" si="0">IF(LEFT(A4,1)="О","оконного","дверного")</f>
        <v>дверного</v>
      </c>
      <c r="I4" t="str">
        <f t="shared" ref="I4:I38" si="1">IF(ISBLANK(A4),"",CONCATENATE("Устройство ",H4," проёма ",C4,"x",D4,"(h)","мм. в кирпичной стене толщиной ",RIGHT(A4,6)))</f>
        <v>Устройство дверного проёма 920x2100(h)мм. в кирпичной стене толщиной 120мм.</v>
      </c>
    </row>
    <row r="5" spans="1:9" x14ac:dyDescent="0.25">
      <c r="A5" t="s">
        <v>2472</v>
      </c>
      <c r="B5" t="s">
        <v>2496</v>
      </c>
      <c r="C5">
        <v>1020</v>
      </c>
      <c r="D5">
        <v>2100</v>
      </c>
      <c r="E5">
        <v>11</v>
      </c>
      <c r="H5" t="str">
        <f t="shared" si="0"/>
        <v>дверного</v>
      </c>
      <c r="I5" t="str">
        <f t="shared" si="1"/>
        <v>Устройство дверного проёма 1020x2100(h)мм. в кирпичной стене толщиной 120мм.</v>
      </c>
    </row>
    <row r="6" spans="1:9" x14ac:dyDescent="0.25">
      <c r="A6" t="s">
        <v>2472</v>
      </c>
      <c r="B6" t="s">
        <v>2497</v>
      </c>
      <c r="C6">
        <v>1120</v>
      </c>
      <c r="D6">
        <v>2100</v>
      </c>
      <c r="E6">
        <v>1</v>
      </c>
      <c r="H6" t="str">
        <f t="shared" si="0"/>
        <v>дверного</v>
      </c>
      <c r="I6" t="str">
        <f t="shared" si="1"/>
        <v>Устройство дверного проёма 1120x2100(h)мм. в кирпичной стене толщиной 120мм.</v>
      </c>
    </row>
    <row r="7" spans="1:9" x14ac:dyDescent="0.25">
      <c r="A7" t="s">
        <v>2473</v>
      </c>
      <c r="B7" t="s">
        <v>2499</v>
      </c>
      <c r="C7">
        <v>1620</v>
      </c>
      <c r="D7">
        <v>1700</v>
      </c>
      <c r="E7">
        <v>4</v>
      </c>
      <c r="H7" t="str">
        <f t="shared" si="0"/>
        <v>дверного</v>
      </c>
      <c r="I7" t="str">
        <f t="shared" si="1"/>
        <v>Устройство дверного проёма 1620x1700(h)мм. в кирпичной стене толщиной 510мм.</v>
      </c>
    </row>
    <row r="8" spans="1:9" x14ac:dyDescent="0.25">
      <c r="A8" t="s">
        <v>2473</v>
      </c>
      <c r="B8" t="s">
        <v>2559</v>
      </c>
      <c r="C8">
        <v>2150</v>
      </c>
      <c r="D8">
        <v>1360</v>
      </c>
      <c r="E8">
        <v>1</v>
      </c>
      <c r="H8" t="str">
        <f t="shared" si="0"/>
        <v>дверного</v>
      </c>
      <c r="I8" t="str">
        <f t="shared" si="1"/>
        <v>Устройство дверного проёма 2150x1360(h)мм. в кирпичной стене толщиной 510мм.</v>
      </c>
    </row>
    <row r="9" spans="1:9" x14ac:dyDescent="0.25">
      <c r="H9" t="str">
        <f t="shared" si="0"/>
        <v>дверного</v>
      </c>
      <c r="I9" t="str">
        <f t="shared" si="1"/>
        <v/>
      </c>
    </row>
    <row r="10" spans="1:9" x14ac:dyDescent="0.25">
      <c r="H10" t="str">
        <f t="shared" si="0"/>
        <v>дверного</v>
      </c>
      <c r="I10" t="str">
        <f t="shared" si="1"/>
        <v/>
      </c>
    </row>
    <row r="11" spans="1:9" x14ac:dyDescent="0.25">
      <c r="H11" t="str">
        <f t="shared" si="0"/>
        <v>дверного</v>
      </c>
      <c r="I11" t="str">
        <f t="shared" si="1"/>
        <v/>
      </c>
    </row>
    <row r="12" spans="1:9" x14ac:dyDescent="0.25">
      <c r="H12" t="str">
        <f t="shared" si="0"/>
        <v>дверного</v>
      </c>
      <c r="I12" t="str">
        <f t="shared" si="1"/>
        <v/>
      </c>
    </row>
    <row r="13" spans="1:9" x14ac:dyDescent="0.25">
      <c r="H13" t="str">
        <f t="shared" si="0"/>
        <v>дверного</v>
      </c>
      <c r="I13" t="str">
        <f t="shared" si="1"/>
        <v/>
      </c>
    </row>
    <row r="14" spans="1:9" x14ac:dyDescent="0.25">
      <c r="H14" t="str">
        <f t="shared" si="0"/>
        <v>дверного</v>
      </c>
      <c r="I14" t="str">
        <f t="shared" si="1"/>
        <v/>
      </c>
    </row>
    <row r="15" spans="1:9" x14ac:dyDescent="0.25">
      <c r="H15" t="str">
        <f t="shared" si="0"/>
        <v>дверного</v>
      </c>
      <c r="I15" t="str">
        <f t="shared" si="1"/>
        <v/>
      </c>
    </row>
    <row r="16" spans="1:9" x14ac:dyDescent="0.25">
      <c r="H16" t="str">
        <f t="shared" si="0"/>
        <v>дверного</v>
      </c>
      <c r="I16" t="str">
        <f t="shared" si="1"/>
        <v/>
      </c>
    </row>
    <row r="17" spans="8:9" x14ac:dyDescent="0.25">
      <c r="H17" t="str">
        <f t="shared" si="0"/>
        <v>дверного</v>
      </c>
      <c r="I17" t="str">
        <f t="shared" si="1"/>
        <v/>
      </c>
    </row>
    <row r="18" spans="8:9" x14ac:dyDescent="0.25">
      <c r="H18" t="str">
        <f t="shared" si="0"/>
        <v>дверного</v>
      </c>
      <c r="I18" t="str">
        <f t="shared" si="1"/>
        <v/>
      </c>
    </row>
    <row r="19" spans="8:9" x14ac:dyDescent="0.25">
      <c r="H19" t="str">
        <f t="shared" si="0"/>
        <v>дверного</v>
      </c>
      <c r="I19" t="str">
        <f t="shared" si="1"/>
        <v/>
      </c>
    </row>
    <row r="20" spans="8:9" x14ac:dyDescent="0.25">
      <c r="H20" t="str">
        <f t="shared" si="0"/>
        <v>дверного</v>
      </c>
      <c r="I20" t="str">
        <f t="shared" si="1"/>
        <v/>
      </c>
    </row>
    <row r="21" spans="8:9" x14ac:dyDescent="0.25">
      <c r="H21" t="str">
        <f t="shared" si="0"/>
        <v>дверного</v>
      </c>
      <c r="I21" t="str">
        <f t="shared" si="1"/>
        <v/>
      </c>
    </row>
    <row r="22" spans="8:9" x14ac:dyDescent="0.25">
      <c r="H22" t="str">
        <f t="shared" si="0"/>
        <v>дверного</v>
      </c>
      <c r="I22" t="str">
        <f t="shared" si="1"/>
        <v/>
      </c>
    </row>
    <row r="23" spans="8:9" x14ac:dyDescent="0.25">
      <c r="H23" t="str">
        <f t="shared" si="0"/>
        <v>дверного</v>
      </c>
      <c r="I23" t="str">
        <f t="shared" si="1"/>
        <v/>
      </c>
    </row>
    <row r="24" spans="8:9" x14ac:dyDescent="0.25">
      <c r="H24" t="str">
        <f t="shared" si="0"/>
        <v>дверного</v>
      </c>
      <c r="I24" t="str">
        <f t="shared" si="1"/>
        <v/>
      </c>
    </row>
    <row r="25" spans="8:9" x14ac:dyDescent="0.25">
      <c r="H25" t="str">
        <f t="shared" si="0"/>
        <v>дверного</v>
      </c>
      <c r="I25" t="str">
        <f t="shared" si="1"/>
        <v/>
      </c>
    </row>
    <row r="26" spans="8:9" x14ac:dyDescent="0.25">
      <c r="H26" t="str">
        <f t="shared" si="0"/>
        <v>дверного</v>
      </c>
      <c r="I26" t="str">
        <f t="shared" si="1"/>
        <v/>
      </c>
    </row>
    <row r="27" spans="8:9" x14ac:dyDescent="0.25">
      <c r="H27" t="str">
        <f t="shared" si="0"/>
        <v>дверного</v>
      </c>
      <c r="I27" t="str">
        <f t="shared" si="1"/>
        <v/>
      </c>
    </row>
    <row r="28" spans="8:9" x14ac:dyDescent="0.25">
      <c r="I28" t="str">
        <f t="shared" si="1"/>
        <v/>
      </c>
    </row>
    <row r="29" spans="8:9" x14ac:dyDescent="0.25">
      <c r="I29" t="str">
        <f t="shared" si="1"/>
        <v/>
      </c>
    </row>
    <row r="30" spans="8:9" x14ac:dyDescent="0.25">
      <c r="I30" t="str">
        <f t="shared" si="1"/>
        <v/>
      </c>
    </row>
    <row r="31" spans="8:9" x14ac:dyDescent="0.25">
      <c r="I31" t="str">
        <f t="shared" si="1"/>
        <v/>
      </c>
    </row>
    <row r="32" spans="8:9" x14ac:dyDescent="0.25">
      <c r="I32" t="str">
        <f t="shared" si="1"/>
        <v/>
      </c>
    </row>
    <row r="33" spans="9:9" x14ac:dyDescent="0.25">
      <c r="I33" t="str">
        <f t="shared" si="1"/>
        <v/>
      </c>
    </row>
    <row r="34" spans="9:9" x14ac:dyDescent="0.25">
      <c r="I34" t="str">
        <f t="shared" si="1"/>
        <v/>
      </c>
    </row>
    <row r="35" spans="9:9" x14ac:dyDescent="0.25">
      <c r="I35" t="str">
        <f t="shared" si="1"/>
        <v/>
      </c>
    </row>
    <row r="36" spans="9:9" x14ac:dyDescent="0.25">
      <c r="I36" t="str">
        <f t="shared" si="1"/>
        <v/>
      </c>
    </row>
    <row r="37" spans="9:9" x14ac:dyDescent="0.25">
      <c r="I37" t="str">
        <f t="shared" si="1"/>
        <v/>
      </c>
    </row>
    <row r="38" spans="9:9" x14ac:dyDescent="0.25">
      <c r="I38" t="str">
        <f t="shared" si="1"/>
        <v/>
      </c>
    </row>
    <row r="39" spans="9:9" x14ac:dyDescent="0.25">
      <c r="I39" t="str">
        <f t="shared" ref="I39:I67" si="2">IF(ISBLANK(A39),"",CONCATENATE("Закладка кирпичом ",H39," проёма ",C39,"x",D39,"(h)","мм. в стене толщиной ",RIGHT(A39,6)))</f>
        <v/>
      </c>
    </row>
    <row r="40" spans="9:9" x14ac:dyDescent="0.25">
      <c r="I40" t="str">
        <f t="shared" si="2"/>
        <v/>
      </c>
    </row>
    <row r="41" spans="9:9" x14ac:dyDescent="0.25">
      <c r="I41" t="str">
        <f t="shared" si="2"/>
        <v/>
      </c>
    </row>
    <row r="42" spans="9:9" x14ac:dyDescent="0.25">
      <c r="I42" t="str">
        <f t="shared" si="2"/>
        <v/>
      </c>
    </row>
    <row r="43" spans="9:9" x14ac:dyDescent="0.25">
      <c r="I43" t="str">
        <f t="shared" si="2"/>
        <v/>
      </c>
    </row>
    <row r="44" spans="9:9" x14ac:dyDescent="0.25">
      <c r="I44" t="str">
        <f t="shared" si="2"/>
        <v/>
      </c>
    </row>
    <row r="45" spans="9:9" x14ac:dyDescent="0.25">
      <c r="I45" t="str">
        <f t="shared" si="2"/>
        <v/>
      </c>
    </row>
    <row r="46" spans="9:9" x14ac:dyDescent="0.25">
      <c r="I46" t="str">
        <f t="shared" si="2"/>
        <v/>
      </c>
    </row>
    <row r="47" spans="9:9" x14ac:dyDescent="0.25">
      <c r="I47" t="str">
        <f t="shared" si="2"/>
        <v/>
      </c>
    </row>
    <row r="48" spans="9:9" x14ac:dyDescent="0.25">
      <c r="I48" t="str">
        <f t="shared" si="2"/>
        <v/>
      </c>
    </row>
    <row r="49" spans="9:9" x14ac:dyDescent="0.25">
      <c r="I49" t="str">
        <f t="shared" si="2"/>
        <v/>
      </c>
    </row>
    <row r="50" spans="9:9" x14ac:dyDescent="0.25">
      <c r="I50" t="str">
        <f t="shared" si="2"/>
        <v/>
      </c>
    </row>
    <row r="51" spans="9:9" x14ac:dyDescent="0.25">
      <c r="I51" t="str">
        <f t="shared" si="2"/>
        <v/>
      </c>
    </row>
    <row r="52" spans="9:9" x14ac:dyDescent="0.25">
      <c r="I52" t="str">
        <f t="shared" si="2"/>
        <v/>
      </c>
    </row>
    <row r="53" spans="9:9" x14ac:dyDescent="0.25">
      <c r="I53" t="str">
        <f t="shared" si="2"/>
        <v/>
      </c>
    </row>
    <row r="54" spans="9:9" x14ac:dyDescent="0.25">
      <c r="I54" t="str">
        <f t="shared" si="2"/>
        <v/>
      </c>
    </row>
    <row r="55" spans="9:9" x14ac:dyDescent="0.25">
      <c r="I55" t="str">
        <f t="shared" si="2"/>
        <v/>
      </c>
    </row>
    <row r="56" spans="9:9" x14ac:dyDescent="0.25">
      <c r="I56" t="str">
        <f t="shared" si="2"/>
        <v/>
      </c>
    </row>
    <row r="57" spans="9:9" x14ac:dyDescent="0.25">
      <c r="I57" t="str">
        <f t="shared" si="2"/>
        <v/>
      </c>
    </row>
    <row r="58" spans="9:9" x14ac:dyDescent="0.25">
      <c r="I58" t="str">
        <f t="shared" si="2"/>
        <v/>
      </c>
    </row>
    <row r="59" spans="9:9" x14ac:dyDescent="0.25">
      <c r="I59" t="str">
        <f t="shared" si="2"/>
        <v/>
      </c>
    </row>
    <row r="60" spans="9:9" x14ac:dyDescent="0.25">
      <c r="I60" t="str">
        <f t="shared" si="2"/>
        <v/>
      </c>
    </row>
    <row r="61" spans="9:9" x14ac:dyDescent="0.25">
      <c r="I61" t="str">
        <f t="shared" si="2"/>
        <v/>
      </c>
    </row>
    <row r="62" spans="9:9" x14ac:dyDescent="0.25">
      <c r="I62" t="str">
        <f t="shared" si="2"/>
        <v/>
      </c>
    </row>
    <row r="63" spans="9:9" x14ac:dyDescent="0.25">
      <c r="I63" t="str">
        <f t="shared" si="2"/>
        <v/>
      </c>
    </row>
    <row r="64" spans="9:9" x14ac:dyDescent="0.25">
      <c r="I64" t="str">
        <f t="shared" si="2"/>
        <v/>
      </c>
    </row>
    <row r="65" spans="9:9" x14ac:dyDescent="0.25">
      <c r="I65" t="str">
        <f t="shared" si="2"/>
        <v/>
      </c>
    </row>
    <row r="66" spans="9:9" x14ac:dyDescent="0.25">
      <c r="I66" t="str">
        <f t="shared" si="2"/>
        <v/>
      </c>
    </row>
    <row r="67" spans="9:9" x14ac:dyDescent="0.25">
      <c r="I67" t="str">
        <f t="shared" si="2"/>
        <v/>
      </c>
    </row>
    <row r="68" spans="9:9" x14ac:dyDescent="0.25">
      <c r="I68" t="str">
        <f t="shared" ref="I68:I131" si="3">IF(ISBLANK(A68),"",CONCATENATE("Закладка кирпичом ",H68," проёма ",C68,"x",D68,"(h)","мм. в стене толщиной ",RIGHT(A68,6)))</f>
        <v/>
      </c>
    </row>
    <row r="69" spans="9:9" x14ac:dyDescent="0.25">
      <c r="I69" t="str">
        <f t="shared" si="3"/>
        <v/>
      </c>
    </row>
    <row r="70" spans="9:9" x14ac:dyDescent="0.25">
      <c r="I70" t="str">
        <f t="shared" si="3"/>
        <v/>
      </c>
    </row>
    <row r="71" spans="9:9" x14ac:dyDescent="0.25">
      <c r="I71" t="str">
        <f t="shared" si="3"/>
        <v/>
      </c>
    </row>
    <row r="72" spans="9:9" x14ac:dyDescent="0.25">
      <c r="I72" t="str">
        <f t="shared" si="3"/>
        <v/>
      </c>
    </row>
    <row r="73" spans="9:9" x14ac:dyDescent="0.25">
      <c r="I73" t="str">
        <f t="shared" si="3"/>
        <v/>
      </c>
    </row>
    <row r="74" spans="9:9" x14ac:dyDescent="0.25">
      <c r="I74" t="str">
        <f t="shared" si="3"/>
        <v/>
      </c>
    </row>
    <row r="75" spans="9:9" x14ac:dyDescent="0.25">
      <c r="I75" t="str">
        <f t="shared" si="3"/>
        <v/>
      </c>
    </row>
    <row r="76" spans="9:9" x14ac:dyDescent="0.25">
      <c r="I76" t="str">
        <f t="shared" si="3"/>
        <v/>
      </c>
    </row>
    <row r="77" spans="9:9" x14ac:dyDescent="0.25">
      <c r="I77" t="str">
        <f t="shared" si="3"/>
        <v/>
      </c>
    </row>
    <row r="78" spans="9:9" x14ac:dyDescent="0.25">
      <c r="I78" t="str">
        <f t="shared" si="3"/>
        <v/>
      </c>
    </row>
    <row r="79" spans="9:9" x14ac:dyDescent="0.25">
      <c r="I79" t="str">
        <f t="shared" si="3"/>
        <v/>
      </c>
    </row>
    <row r="80" spans="9:9" x14ac:dyDescent="0.25">
      <c r="I80" t="str">
        <f t="shared" si="3"/>
        <v/>
      </c>
    </row>
    <row r="81" spans="9:9" x14ac:dyDescent="0.25">
      <c r="I81" t="str">
        <f t="shared" si="3"/>
        <v/>
      </c>
    </row>
    <row r="82" spans="9:9" x14ac:dyDescent="0.25">
      <c r="I82" t="str">
        <f t="shared" si="3"/>
        <v/>
      </c>
    </row>
    <row r="83" spans="9:9" x14ac:dyDescent="0.25">
      <c r="I83" t="str">
        <f t="shared" si="3"/>
        <v/>
      </c>
    </row>
    <row r="84" spans="9:9" x14ac:dyDescent="0.25">
      <c r="I84" t="str">
        <f t="shared" si="3"/>
        <v/>
      </c>
    </row>
    <row r="85" spans="9:9" x14ac:dyDescent="0.25">
      <c r="I85" t="str">
        <f t="shared" si="3"/>
        <v/>
      </c>
    </row>
    <row r="86" spans="9:9" x14ac:dyDescent="0.25">
      <c r="I86" t="str">
        <f t="shared" si="3"/>
        <v/>
      </c>
    </row>
    <row r="87" spans="9:9" x14ac:dyDescent="0.25">
      <c r="I87" t="str">
        <f t="shared" si="3"/>
        <v/>
      </c>
    </row>
    <row r="88" spans="9:9" x14ac:dyDescent="0.25">
      <c r="I88" t="str">
        <f t="shared" si="3"/>
        <v/>
      </c>
    </row>
    <row r="89" spans="9:9" x14ac:dyDescent="0.25">
      <c r="I89" t="str">
        <f t="shared" si="3"/>
        <v/>
      </c>
    </row>
    <row r="90" spans="9:9" x14ac:dyDescent="0.25">
      <c r="I90" t="str">
        <f t="shared" si="3"/>
        <v/>
      </c>
    </row>
    <row r="91" spans="9:9" x14ac:dyDescent="0.25">
      <c r="I91" t="str">
        <f t="shared" si="3"/>
        <v/>
      </c>
    </row>
    <row r="92" spans="9:9" x14ac:dyDescent="0.25">
      <c r="I92" t="str">
        <f t="shared" si="3"/>
        <v/>
      </c>
    </row>
    <row r="93" spans="9:9" x14ac:dyDescent="0.25">
      <c r="I93" t="str">
        <f t="shared" si="3"/>
        <v/>
      </c>
    </row>
    <row r="94" spans="9:9" x14ac:dyDescent="0.25">
      <c r="I94" t="str">
        <f t="shared" si="3"/>
        <v/>
      </c>
    </row>
    <row r="95" spans="9:9" x14ac:dyDescent="0.25">
      <c r="I95" t="str">
        <f t="shared" si="3"/>
        <v/>
      </c>
    </row>
    <row r="96" spans="9:9" x14ac:dyDescent="0.25">
      <c r="I96" t="str">
        <f t="shared" si="3"/>
        <v/>
      </c>
    </row>
    <row r="97" spans="9:9" x14ac:dyDescent="0.25">
      <c r="I97" t="str">
        <f t="shared" si="3"/>
        <v/>
      </c>
    </row>
    <row r="98" spans="9:9" x14ac:dyDescent="0.25">
      <c r="I98" t="str">
        <f t="shared" si="3"/>
        <v/>
      </c>
    </row>
    <row r="99" spans="9:9" x14ac:dyDescent="0.25">
      <c r="I99" t="str">
        <f t="shared" si="3"/>
        <v/>
      </c>
    </row>
    <row r="100" spans="9:9" x14ac:dyDescent="0.25">
      <c r="I100" t="str">
        <f t="shared" si="3"/>
        <v/>
      </c>
    </row>
    <row r="101" spans="9:9" x14ac:dyDescent="0.25">
      <c r="I101" t="str">
        <f t="shared" si="3"/>
        <v/>
      </c>
    </row>
    <row r="102" spans="9:9" x14ac:dyDescent="0.25">
      <c r="I102" t="str">
        <f t="shared" si="3"/>
        <v/>
      </c>
    </row>
    <row r="103" spans="9:9" x14ac:dyDescent="0.25">
      <c r="I103" t="str">
        <f t="shared" si="3"/>
        <v/>
      </c>
    </row>
    <row r="104" spans="9:9" x14ac:dyDescent="0.25">
      <c r="I104" t="str">
        <f t="shared" si="3"/>
        <v/>
      </c>
    </row>
    <row r="105" spans="9:9" x14ac:dyDescent="0.25">
      <c r="I105" t="str">
        <f t="shared" si="3"/>
        <v/>
      </c>
    </row>
    <row r="106" spans="9:9" x14ac:dyDescent="0.25">
      <c r="I106" t="str">
        <f t="shared" si="3"/>
        <v/>
      </c>
    </row>
    <row r="107" spans="9:9" x14ac:dyDescent="0.25">
      <c r="I107" t="str">
        <f t="shared" si="3"/>
        <v/>
      </c>
    </row>
    <row r="108" spans="9:9" x14ac:dyDescent="0.25">
      <c r="I108" t="str">
        <f t="shared" si="3"/>
        <v/>
      </c>
    </row>
    <row r="109" spans="9:9" x14ac:dyDescent="0.25">
      <c r="I109" t="str">
        <f t="shared" si="3"/>
        <v/>
      </c>
    </row>
    <row r="110" spans="9:9" x14ac:dyDescent="0.25">
      <c r="I110" t="str">
        <f t="shared" si="3"/>
        <v/>
      </c>
    </row>
    <row r="111" spans="9:9" x14ac:dyDescent="0.25">
      <c r="I111" t="str">
        <f t="shared" si="3"/>
        <v/>
      </c>
    </row>
    <row r="112" spans="9:9" x14ac:dyDescent="0.25">
      <c r="I112" t="str">
        <f t="shared" si="3"/>
        <v/>
      </c>
    </row>
    <row r="113" spans="9:9" x14ac:dyDescent="0.25">
      <c r="I113" t="str">
        <f t="shared" si="3"/>
        <v/>
      </c>
    </row>
    <row r="114" spans="9:9" x14ac:dyDescent="0.25">
      <c r="I114" t="str">
        <f t="shared" si="3"/>
        <v/>
      </c>
    </row>
    <row r="115" spans="9:9" x14ac:dyDescent="0.25">
      <c r="I115" t="str">
        <f t="shared" si="3"/>
        <v/>
      </c>
    </row>
    <row r="116" spans="9:9" x14ac:dyDescent="0.25">
      <c r="I116" t="str">
        <f t="shared" si="3"/>
        <v/>
      </c>
    </row>
    <row r="117" spans="9:9" x14ac:dyDescent="0.25">
      <c r="I117" t="str">
        <f t="shared" si="3"/>
        <v/>
      </c>
    </row>
    <row r="118" spans="9:9" x14ac:dyDescent="0.25">
      <c r="I118" t="str">
        <f t="shared" si="3"/>
        <v/>
      </c>
    </row>
    <row r="119" spans="9:9" x14ac:dyDescent="0.25">
      <c r="I119" t="str">
        <f t="shared" si="3"/>
        <v/>
      </c>
    </row>
    <row r="120" spans="9:9" x14ac:dyDescent="0.25">
      <c r="I120" t="str">
        <f t="shared" si="3"/>
        <v/>
      </c>
    </row>
    <row r="121" spans="9:9" x14ac:dyDescent="0.25">
      <c r="I121" t="str">
        <f t="shared" si="3"/>
        <v/>
      </c>
    </row>
    <row r="122" spans="9:9" x14ac:dyDescent="0.25">
      <c r="I122" t="str">
        <f t="shared" si="3"/>
        <v/>
      </c>
    </row>
    <row r="123" spans="9:9" x14ac:dyDescent="0.25">
      <c r="I123" t="str">
        <f t="shared" si="3"/>
        <v/>
      </c>
    </row>
    <row r="124" spans="9:9" x14ac:dyDescent="0.25">
      <c r="I124" t="str">
        <f t="shared" si="3"/>
        <v/>
      </c>
    </row>
    <row r="125" spans="9:9" x14ac:dyDescent="0.25">
      <c r="I125" t="str">
        <f t="shared" si="3"/>
        <v/>
      </c>
    </row>
    <row r="126" spans="9:9" x14ac:dyDescent="0.25">
      <c r="I126" t="str">
        <f t="shared" si="3"/>
        <v/>
      </c>
    </row>
    <row r="127" spans="9:9" x14ac:dyDescent="0.25">
      <c r="I127" t="str">
        <f t="shared" si="3"/>
        <v/>
      </c>
    </row>
    <row r="128" spans="9:9" x14ac:dyDescent="0.25">
      <c r="I128" t="str">
        <f t="shared" si="3"/>
        <v/>
      </c>
    </row>
    <row r="129" spans="9:9" x14ac:dyDescent="0.25">
      <c r="I129" t="str">
        <f t="shared" si="3"/>
        <v/>
      </c>
    </row>
    <row r="130" spans="9:9" x14ac:dyDescent="0.25">
      <c r="I130" t="str">
        <f t="shared" si="3"/>
        <v/>
      </c>
    </row>
    <row r="131" spans="9:9" x14ac:dyDescent="0.25">
      <c r="I131" t="str">
        <f t="shared" si="3"/>
        <v/>
      </c>
    </row>
    <row r="132" spans="9:9" x14ac:dyDescent="0.25">
      <c r="I132" t="str">
        <f t="shared" ref="I132:I195" si="4">IF(ISBLANK(A132),"",CONCATENATE("Закладка кирпичом ",H132," проёма ",C132,"x",D132,"(h)","мм. в стене толщиной ",RIGHT(A132,6)))</f>
        <v/>
      </c>
    </row>
    <row r="133" spans="9:9" x14ac:dyDescent="0.25">
      <c r="I133" t="str">
        <f t="shared" si="4"/>
        <v/>
      </c>
    </row>
    <row r="134" spans="9:9" x14ac:dyDescent="0.25">
      <c r="I134" t="str">
        <f t="shared" si="4"/>
        <v/>
      </c>
    </row>
    <row r="135" spans="9:9" x14ac:dyDescent="0.25">
      <c r="I135" t="str">
        <f t="shared" si="4"/>
        <v/>
      </c>
    </row>
    <row r="136" spans="9:9" x14ac:dyDescent="0.25">
      <c r="I136" t="str">
        <f t="shared" si="4"/>
        <v/>
      </c>
    </row>
    <row r="137" spans="9:9" x14ac:dyDescent="0.25">
      <c r="I137" t="str">
        <f t="shared" si="4"/>
        <v/>
      </c>
    </row>
    <row r="138" spans="9:9" x14ac:dyDescent="0.25">
      <c r="I138" t="str">
        <f t="shared" si="4"/>
        <v/>
      </c>
    </row>
    <row r="139" spans="9:9" x14ac:dyDescent="0.25">
      <c r="I139" t="str">
        <f t="shared" si="4"/>
        <v/>
      </c>
    </row>
    <row r="140" spans="9:9" x14ac:dyDescent="0.25">
      <c r="I140" t="str">
        <f t="shared" si="4"/>
        <v/>
      </c>
    </row>
    <row r="141" spans="9:9" x14ac:dyDescent="0.25">
      <c r="I141" t="str">
        <f t="shared" si="4"/>
        <v/>
      </c>
    </row>
    <row r="142" spans="9:9" x14ac:dyDescent="0.25">
      <c r="I142" t="str">
        <f t="shared" si="4"/>
        <v/>
      </c>
    </row>
    <row r="143" spans="9:9" x14ac:dyDescent="0.25">
      <c r="I143" t="str">
        <f t="shared" si="4"/>
        <v/>
      </c>
    </row>
    <row r="144" spans="9:9" x14ac:dyDescent="0.25">
      <c r="I144" t="str">
        <f t="shared" si="4"/>
        <v/>
      </c>
    </row>
    <row r="145" spans="9:9" x14ac:dyDescent="0.25">
      <c r="I145" t="str">
        <f t="shared" si="4"/>
        <v/>
      </c>
    </row>
    <row r="146" spans="9:9" x14ac:dyDescent="0.25">
      <c r="I146" t="str">
        <f t="shared" si="4"/>
        <v/>
      </c>
    </row>
    <row r="147" spans="9:9" x14ac:dyDescent="0.25">
      <c r="I147" t="str">
        <f t="shared" si="4"/>
        <v/>
      </c>
    </row>
    <row r="148" spans="9:9" x14ac:dyDescent="0.25">
      <c r="I148" t="str">
        <f t="shared" si="4"/>
        <v/>
      </c>
    </row>
    <row r="149" spans="9:9" x14ac:dyDescent="0.25">
      <c r="I149" t="str">
        <f t="shared" si="4"/>
        <v/>
      </c>
    </row>
    <row r="150" spans="9:9" x14ac:dyDescent="0.25">
      <c r="I150" t="str">
        <f t="shared" si="4"/>
        <v/>
      </c>
    </row>
    <row r="151" spans="9:9" x14ac:dyDescent="0.25">
      <c r="I151" t="str">
        <f t="shared" si="4"/>
        <v/>
      </c>
    </row>
    <row r="152" spans="9:9" x14ac:dyDescent="0.25">
      <c r="I152" t="str">
        <f t="shared" si="4"/>
        <v/>
      </c>
    </row>
    <row r="153" spans="9:9" x14ac:dyDescent="0.25">
      <c r="I153" t="str">
        <f t="shared" si="4"/>
        <v/>
      </c>
    </row>
    <row r="154" spans="9:9" x14ac:dyDescent="0.25">
      <c r="I154" t="str">
        <f t="shared" si="4"/>
        <v/>
      </c>
    </row>
    <row r="155" spans="9:9" x14ac:dyDescent="0.25">
      <c r="I155" t="str">
        <f t="shared" si="4"/>
        <v/>
      </c>
    </row>
    <row r="156" spans="9:9" x14ac:dyDescent="0.25">
      <c r="I156" t="str">
        <f t="shared" si="4"/>
        <v/>
      </c>
    </row>
    <row r="157" spans="9:9" x14ac:dyDescent="0.25">
      <c r="I157" t="str">
        <f t="shared" si="4"/>
        <v/>
      </c>
    </row>
    <row r="158" spans="9:9" x14ac:dyDescent="0.25">
      <c r="I158" t="str">
        <f t="shared" si="4"/>
        <v/>
      </c>
    </row>
    <row r="159" spans="9:9" x14ac:dyDescent="0.25">
      <c r="I159" t="str">
        <f t="shared" si="4"/>
        <v/>
      </c>
    </row>
    <row r="160" spans="9:9" x14ac:dyDescent="0.25">
      <c r="I160" t="str">
        <f t="shared" si="4"/>
        <v/>
      </c>
    </row>
    <row r="161" spans="9:9" x14ac:dyDescent="0.25">
      <c r="I161" t="str">
        <f t="shared" si="4"/>
        <v/>
      </c>
    </row>
    <row r="162" spans="9:9" x14ac:dyDescent="0.25">
      <c r="I162" t="str">
        <f t="shared" si="4"/>
        <v/>
      </c>
    </row>
    <row r="163" spans="9:9" x14ac:dyDescent="0.25">
      <c r="I163" t="str">
        <f t="shared" si="4"/>
        <v/>
      </c>
    </row>
    <row r="164" spans="9:9" x14ac:dyDescent="0.25">
      <c r="I164" t="str">
        <f t="shared" si="4"/>
        <v/>
      </c>
    </row>
    <row r="165" spans="9:9" x14ac:dyDescent="0.25">
      <c r="I165" t="str">
        <f t="shared" si="4"/>
        <v/>
      </c>
    </row>
    <row r="166" spans="9:9" x14ac:dyDescent="0.25">
      <c r="I166" t="str">
        <f t="shared" si="4"/>
        <v/>
      </c>
    </row>
    <row r="167" spans="9:9" x14ac:dyDescent="0.25">
      <c r="I167" t="str">
        <f t="shared" si="4"/>
        <v/>
      </c>
    </row>
    <row r="168" spans="9:9" x14ac:dyDescent="0.25">
      <c r="I168" t="str">
        <f t="shared" si="4"/>
        <v/>
      </c>
    </row>
    <row r="169" spans="9:9" x14ac:dyDescent="0.25">
      <c r="I169" t="str">
        <f t="shared" si="4"/>
        <v/>
      </c>
    </row>
    <row r="170" spans="9:9" x14ac:dyDescent="0.25">
      <c r="I170" t="str">
        <f t="shared" si="4"/>
        <v/>
      </c>
    </row>
    <row r="171" spans="9:9" x14ac:dyDescent="0.25">
      <c r="I171" t="str">
        <f t="shared" si="4"/>
        <v/>
      </c>
    </row>
    <row r="172" spans="9:9" x14ac:dyDescent="0.25">
      <c r="I172" t="str">
        <f t="shared" si="4"/>
        <v/>
      </c>
    </row>
    <row r="173" spans="9:9" x14ac:dyDescent="0.25">
      <c r="I173" t="str">
        <f t="shared" si="4"/>
        <v/>
      </c>
    </row>
    <row r="174" spans="9:9" x14ac:dyDescent="0.25">
      <c r="I174" t="str">
        <f t="shared" si="4"/>
        <v/>
      </c>
    </row>
    <row r="175" spans="9:9" x14ac:dyDescent="0.25">
      <c r="I175" t="str">
        <f t="shared" si="4"/>
        <v/>
      </c>
    </row>
    <row r="176" spans="9:9" x14ac:dyDescent="0.25">
      <c r="I176" t="str">
        <f t="shared" si="4"/>
        <v/>
      </c>
    </row>
    <row r="177" spans="9:9" x14ac:dyDescent="0.25">
      <c r="I177" t="str">
        <f t="shared" si="4"/>
        <v/>
      </c>
    </row>
    <row r="178" spans="9:9" x14ac:dyDescent="0.25">
      <c r="I178" t="str">
        <f t="shared" si="4"/>
        <v/>
      </c>
    </row>
    <row r="179" spans="9:9" x14ac:dyDescent="0.25">
      <c r="I179" t="str">
        <f t="shared" si="4"/>
        <v/>
      </c>
    </row>
    <row r="180" spans="9:9" x14ac:dyDescent="0.25">
      <c r="I180" t="str">
        <f t="shared" si="4"/>
        <v/>
      </c>
    </row>
    <row r="181" spans="9:9" x14ac:dyDescent="0.25">
      <c r="I181" t="str">
        <f t="shared" si="4"/>
        <v/>
      </c>
    </row>
    <row r="182" spans="9:9" x14ac:dyDescent="0.25">
      <c r="I182" t="str">
        <f t="shared" si="4"/>
        <v/>
      </c>
    </row>
    <row r="183" spans="9:9" x14ac:dyDescent="0.25">
      <c r="I183" t="str">
        <f t="shared" si="4"/>
        <v/>
      </c>
    </row>
    <row r="184" spans="9:9" x14ac:dyDescent="0.25">
      <c r="I184" t="str">
        <f t="shared" si="4"/>
        <v/>
      </c>
    </row>
    <row r="185" spans="9:9" x14ac:dyDescent="0.25">
      <c r="I185" t="str">
        <f t="shared" si="4"/>
        <v/>
      </c>
    </row>
    <row r="186" spans="9:9" x14ac:dyDescent="0.25">
      <c r="I186" t="str">
        <f t="shared" si="4"/>
        <v/>
      </c>
    </row>
    <row r="187" spans="9:9" x14ac:dyDescent="0.25">
      <c r="I187" t="str">
        <f t="shared" si="4"/>
        <v/>
      </c>
    </row>
    <row r="188" spans="9:9" x14ac:dyDescent="0.25">
      <c r="I188" t="str">
        <f t="shared" si="4"/>
        <v/>
      </c>
    </row>
    <row r="189" spans="9:9" x14ac:dyDescent="0.25">
      <c r="I189" t="str">
        <f t="shared" si="4"/>
        <v/>
      </c>
    </row>
    <row r="190" spans="9:9" x14ac:dyDescent="0.25">
      <c r="I190" t="str">
        <f t="shared" si="4"/>
        <v/>
      </c>
    </row>
    <row r="191" spans="9:9" x14ac:dyDescent="0.25">
      <c r="I191" t="str">
        <f t="shared" si="4"/>
        <v/>
      </c>
    </row>
    <row r="192" spans="9:9" x14ac:dyDescent="0.25">
      <c r="I192" t="str">
        <f t="shared" si="4"/>
        <v/>
      </c>
    </row>
    <row r="193" spans="9:9" x14ac:dyDescent="0.25">
      <c r="I193" t="str">
        <f t="shared" si="4"/>
        <v/>
      </c>
    </row>
    <row r="194" spans="9:9" x14ac:dyDescent="0.25">
      <c r="I194" t="str">
        <f t="shared" si="4"/>
        <v/>
      </c>
    </row>
    <row r="195" spans="9:9" x14ac:dyDescent="0.25">
      <c r="I195" t="str">
        <f t="shared" si="4"/>
        <v/>
      </c>
    </row>
    <row r="196" spans="9:9" x14ac:dyDescent="0.25">
      <c r="I196" t="str">
        <f t="shared" ref="I196:I241" si="5">IF(ISBLANK(A196),"",CONCATENATE("Закладка кирпичом ",H196," проёма ",C196,"x",D196,"(h)","мм. в стене толщиной ",RIGHT(A196,6)))</f>
        <v/>
      </c>
    </row>
    <row r="197" spans="9:9" x14ac:dyDescent="0.25">
      <c r="I197" t="str">
        <f t="shared" si="5"/>
        <v/>
      </c>
    </row>
    <row r="198" spans="9:9" x14ac:dyDescent="0.25">
      <c r="I198" t="str">
        <f t="shared" si="5"/>
        <v/>
      </c>
    </row>
    <row r="199" spans="9:9" x14ac:dyDescent="0.25">
      <c r="I199" t="str">
        <f t="shared" si="5"/>
        <v/>
      </c>
    </row>
    <row r="200" spans="9:9" x14ac:dyDescent="0.25">
      <c r="I200" t="str">
        <f t="shared" si="5"/>
        <v/>
      </c>
    </row>
    <row r="201" spans="9:9" x14ac:dyDescent="0.25">
      <c r="I201" t="str">
        <f t="shared" si="5"/>
        <v/>
      </c>
    </row>
    <row r="202" spans="9:9" x14ac:dyDescent="0.25">
      <c r="I202" t="str">
        <f t="shared" si="5"/>
        <v/>
      </c>
    </row>
    <row r="203" spans="9:9" x14ac:dyDescent="0.25">
      <c r="I203" t="str">
        <f t="shared" si="5"/>
        <v/>
      </c>
    </row>
    <row r="204" spans="9:9" x14ac:dyDescent="0.25">
      <c r="I204" t="str">
        <f t="shared" si="5"/>
        <v/>
      </c>
    </row>
    <row r="205" spans="9:9" x14ac:dyDescent="0.25">
      <c r="I205" t="str">
        <f t="shared" si="5"/>
        <v/>
      </c>
    </row>
    <row r="206" spans="9:9" x14ac:dyDescent="0.25">
      <c r="I206" t="str">
        <f t="shared" si="5"/>
        <v/>
      </c>
    </row>
    <row r="207" spans="9:9" x14ac:dyDescent="0.25">
      <c r="I207" t="str">
        <f t="shared" si="5"/>
        <v/>
      </c>
    </row>
    <row r="208" spans="9:9" x14ac:dyDescent="0.25">
      <c r="I208" t="str">
        <f t="shared" si="5"/>
        <v/>
      </c>
    </row>
    <row r="209" spans="9:9" x14ac:dyDescent="0.25">
      <c r="I209" t="str">
        <f t="shared" si="5"/>
        <v/>
      </c>
    </row>
    <row r="210" spans="9:9" x14ac:dyDescent="0.25">
      <c r="I210" t="str">
        <f t="shared" si="5"/>
        <v/>
      </c>
    </row>
    <row r="211" spans="9:9" x14ac:dyDescent="0.25">
      <c r="I211" t="str">
        <f t="shared" si="5"/>
        <v/>
      </c>
    </row>
    <row r="212" spans="9:9" x14ac:dyDescent="0.25">
      <c r="I212" t="str">
        <f t="shared" si="5"/>
        <v/>
      </c>
    </row>
    <row r="213" spans="9:9" x14ac:dyDescent="0.25">
      <c r="I213" t="str">
        <f t="shared" si="5"/>
        <v/>
      </c>
    </row>
    <row r="214" spans="9:9" x14ac:dyDescent="0.25">
      <c r="I214" t="str">
        <f t="shared" si="5"/>
        <v/>
      </c>
    </row>
    <row r="215" spans="9:9" x14ac:dyDescent="0.25">
      <c r="I215" t="str">
        <f t="shared" si="5"/>
        <v/>
      </c>
    </row>
    <row r="216" spans="9:9" x14ac:dyDescent="0.25">
      <c r="I216" t="str">
        <f t="shared" si="5"/>
        <v/>
      </c>
    </row>
    <row r="217" spans="9:9" x14ac:dyDescent="0.25">
      <c r="I217" t="str">
        <f t="shared" si="5"/>
        <v/>
      </c>
    </row>
    <row r="218" spans="9:9" x14ac:dyDescent="0.25">
      <c r="I218" t="str">
        <f t="shared" si="5"/>
        <v/>
      </c>
    </row>
    <row r="219" spans="9:9" x14ac:dyDescent="0.25">
      <c r="I219" t="str">
        <f t="shared" si="5"/>
        <v/>
      </c>
    </row>
    <row r="220" spans="9:9" x14ac:dyDescent="0.25">
      <c r="I220" t="str">
        <f t="shared" si="5"/>
        <v/>
      </c>
    </row>
    <row r="221" spans="9:9" x14ac:dyDescent="0.25">
      <c r="I221" t="str">
        <f t="shared" si="5"/>
        <v/>
      </c>
    </row>
    <row r="222" spans="9:9" x14ac:dyDescent="0.25">
      <c r="I222" t="str">
        <f t="shared" si="5"/>
        <v/>
      </c>
    </row>
    <row r="223" spans="9:9" x14ac:dyDescent="0.25">
      <c r="I223" t="str">
        <f t="shared" si="5"/>
        <v/>
      </c>
    </row>
    <row r="224" spans="9:9" x14ac:dyDescent="0.25">
      <c r="I224" t="str">
        <f t="shared" si="5"/>
        <v/>
      </c>
    </row>
    <row r="225" spans="9:9" x14ac:dyDescent="0.25">
      <c r="I225" t="str">
        <f t="shared" si="5"/>
        <v/>
      </c>
    </row>
    <row r="226" spans="9:9" x14ac:dyDescent="0.25">
      <c r="I226" t="str">
        <f t="shared" si="5"/>
        <v/>
      </c>
    </row>
    <row r="227" spans="9:9" x14ac:dyDescent="0.25">
      <c r="I227" t="str">
        <f t="shared" si="5"/>
        <v/>
      </c>
    </row>
    <row r="228" spans="9:9" x14ac:dyDescent="0.25">
      <c r="I228" t="str">
        <f t="shared" si="5"/>
        <v/>
      </c>
    </row>
    <row r="229" spans="9:9" x14ac:dyDescent="0.25">
      <c r="I229" t="str">
        <f t="shared" si="5"/>
        <v/>
      </c>
    </row>
    <row r="230" spans="9:9" x14ac:dyDescent="0.25">
      <c r="I230" t="str">
        <f t="shared" si="5"/>
        <v/>
      </c>
    </row>
    <row r="231" spans="9:9" x14ac:dyDescent="0.25">
      <c r="I231" t="str">
        <f t="shared" si="5"/>
        <v/>
      </c>
    </row>
    <row r="232" spans="9:9" x14ac:dyDescent="0.25">
      <c r="I232" t="str">
        <f t="shared" si="5"/>
        <v/>
      </c>
    </row>
    <row r="233" spans="9:9" x14ac:dyDescent="0.25">
      <c r="I233" t="str">
        <f t="shared" si="5"/>
        <v/>
      </c>
    </row>
    <row r="234" spans="9:9" x14ac:dyDescent="0.25">
      <c r="I234" t="str">
        <f t="shared" si="5"/>
        <v/>
      </c>
    </row>
    <row r="235" spans="9:9" x14ac:dyDescent="0.25">
      <c r="I235" t="str">
        <f t="shared" si="5"/>
        <v/>
      </c>
    </row>
    <row r="236" spans="9:9" x14ac:dyDescent="0.25">
      <c r="I236" t="str">
        <f t="shared" si="5"/>
        <v/>
      </c>
    </row>
    <row r="237" spans="9:9" x14ac:dyDescent="0.25">
      <c r="I237" t="str">
        <f t="shared" si="5"/>
        <v/>
      </c>
    </row>
    <row r="238" spans="9:9" x14ac:dyDescent="0.25">
      <c r="I238" t="str">
        <f t="shared" si="5"/>
        <v/>
      </c>
    </row>
    <row r="239" spans="9:9" x14ac:dyDescent="0.25">
      <c r="I239" t="str">
        <f t="shared" si="5"/>
        <v/>
      </c>
    </row>
    <row r="240" spans="9:9" x14ac:dyDescent="0.25">
      <c r="I240" t="str">
        <f t="shared" si="5"/>
        <v/>
      </c>
    </row>
    <row r="241" spans="9:9" x14ac:dyDescent="0.25">
      <c r="I241" t="str">
        <f t="shared" si="5"/>
        <v/>
      </c>
    </row>
    <row r="242" spans="9:9" x14ac:dyDescent="0.25">
      <c r="I242" t="str">
        <f t="shared" ref="I242:I305" si="6">IF(ISBLANK(A242),"",CONCATENATE("Замена ",H242," блока ",B242,"x",C242,"(h)","мм."))</f>
        <v/>
      </c>
    </row>
    <row r="243" spans="9:9" x14ac:dyDescent="0.25">
      <c r="I243" t="str">
        <f t="shared" si="6"/>
        <v/>
      </c>
    </row>
    <row r="244" spans="9:9" x14ac:dyDescent="0.25">
      <c r="I244" t="str">
        <f t="shared" si="6"/>
        <v/>
      </c>
    </row>
    <row r="245" spans="9:9" x14ac:dyDescent="0.25">
      <c r="I245" t="str">
        <f t="shared" si="6"/>
        <v/>
      </c>
    </row>
    <row r="246" spans="9:9" x14ac:dyDescent="0.25">
      <c r="I246" t="str">
        <f t="shared" si="6"/>
        <v/>
      </c>
    </row>
    <row r="247" spans="9:9" x14ac:dyDescent="0.25">
      <c r="I247" t="str">
        <f t="shared" si="6"/>
        <v/>
      </c>
    </row>
    <row r="248" spans="9:9" x14ac:dyDescent="0.25">
      <c r="I248" t="str">
        <f t="shared" si="6"/>
        <v/>
      </c>
    </row>
    <row r="249" spans="9:9" x14ac:dyDescent="0.25">
      <c r="I249" t="str">
        <f t="shared" si="6"/>
        <v/>
      </c>
    </row>
    <row r="250" spans="9:9" x14ac:dyDescent="0.25">
      <c r="I250" t="str">
        <f t="shared" si="6"/>
        <v/>
      </c>
    </row>
    <row r="251" spans="9:9" x14ac:dyDescent="0.25">
      <c r="I251" t="str">
        <f t="shared" si="6"/>
        <v/>
      </c>
    </row>
    <row r="252" spans="9:9" x14ac:dyDescent="0.25">
      <c r="I252" t="str">
        <f t="shared" si="6"/>
        <v/>
      </c>
    </row>
    <row r="253" spans="9:9" x14ac:dyDescent="0.25">
      <c r="I253" t="str">
        <f t="shared" si="6"/>
        <v/>
      </c>
    </row>
    <row r="254" spans="9:9" x14ac:dyDescent="0.25">
      <c r="I254" t="str">
        <f t="shared" si="6"/>
        <v/>
      </c>
    </row>
    <row r="255" spans="9:9" x14ac:dyDescent="0.25">
      <c r="I255" t="str">
        <f t="shared" si="6"/>
        <v/>
      </c>
    </row>
    <row r="256" spans="9:9" x14ac:dyDescent="0.25">
      <c r="I256" t="str">
        <f t="shared" si="6"/>
        <v/>
      </c>
    </row>
    <row r="257" spans="9:9" x14ac:dyDescent="0.25">
      <c r="I257" t="str">
        <f t="shared" si="6"/>
        <v/>
      </c>
    </row>
    <row r="258" spans="9:9" x14ac:dyDescent="0.25">
      <c r="I258" t="str">
        <f t="shared" si="6"/>
        <v/>
      </c>
    </row>
    <row r="259" spans="9:9" x14ac:dyDescent="0.25">
      <c r="I259" t="str">
        <f t="shared" si="6"/>
        <v/>
      </c>
    </row>
    <row r="260" spans="9:9" x14ac:dyDescent="0.25">
      <c r="I260" t="str">
        <f t="shared" si="6"/>
        <v/>
      </c>
    </row>
    <row r="261" spans="9:9" x14ac:dyDescent="0.25">
      <c r="I261" t="str">
        <f t="shared" si="6"/>
        <v/>
      </c>
    </row>
    <row r="262" spans="9:9" x14ac:dyDescent="0.25">
      <c r="I262" t="str">
        <f t="shared" si="6"/>
        <v/>
      </c>
    </row>
    <row r="263" spans="9:9" x14ac:dyDescent="0.25">
      <c r="I263" t="str">
        <f t="shared" si="6"/>
        <v/>
      </c>
    </row>
    <row r="264" spans="9:9" x14ac:dyDescent="0.25">
      <c r="I264" t="str">
        <f t="shared" si="6"/>
        <v/>
      </c>
    </row>
    <row r="265" spans="9:9" x14ac:dyDescent="0.25">
      <c r="I265" t="str">
        <f t="shared" si="6"/>
        <v/>
      </c>
    </row>
    <row r="266" spans="9:9" x14ac:dyDescent="0.25">
      <c r="I266" t="str">
        <f t="shared" si="6"/>
        <v/>
      </c>
    </row>
    <row r="267" spans="9:9" x14ac:dyDescent="0.25">
      <c r="I267" t="str">
        <f t="shared" si="6"/>
        <v/>
      </c>
    </row>
    <row r="268" spans="9:9" x14ac:dyDescent="0.25">
      <c r="I268" t="str">
        <f t="shared" si="6"/>
        <v/>
      </c>
    </row>
    <row r="269" spans="9:9" x14ac:dyDescent="0.25">
      <c r="I269" t="str">
        <f t="shared" si="6"/>
        <v/>
      </c>
    </row>
    <row r="270" spans="9:9" x14ac:dyDescent="0.25">
      <c r="I270" t="str">
        <f t="shared" si="6"/>
        <v/>
      </c>
    </row>
    <row r="271" spans="9:9" x14ac:dyDescent="0.25">
      <c r="I271" t="str">
        <f t="shared" si="6"/>
        <v/>
      </c>
    </row>
    <row r="272" spans="9:9" x14ac:dyDescent="0.25">
      <c r="I272" t="str">
        <f t="shared" si="6"/>
        <v/>
      </c>
    </row>
    <row r="273" spans="9:9" x14ac:dyDescent="0.25">
      <c r="I273" t="str">
        <f t="shared" si="6"/>
        <v/>
      </c>
    </row>
    <row r="274" spans="9:9" x14ac:dyDescent="0.25">
      <c r="I274" t="str">
        <f t="shared" si="6"/>
        <v/>
      </c>
    </row>
    <row r="275" spans="9:9" x14ac:dyDescent="0.25">
      <c r="I275" t="str">
        <f t="shared" si="6"/>
        <v/>
      </c>
    </row>
    <row r="276" spans="9:9" x14ac:dyDescent="0.25">
      <c r="I276" t="str">
        <f t="shared" si="6"/>
        <v/>
      </c>
    </row>
    <row r="277" spans="9:9" x14ac:dyDescent="0.25">
      <c r="I277" t="str">
        <f t="shared" si="6"/>
        <v/>
      </c>
    </row>
    <row r="278" spans="9:9" x14ac:dyDescent="0.25">
      <c r="I278" t="str">
        <f t="shared" si="6"/>
        <v/>
      </c>
    </row>
    <row r="279" spans="9:9" x14ac:dyDescent="0.25">
      <c r="I279" t="str">
        <f t="shared" si="6"/>
        <v/>
      </c>
    </row>
    <row r="280" spans="9:9" x14ac:dyDescent="0.25">
      <c r="I280" t="str">
        <f t="shared" si="6"/>
        <v/>
      </c>
    </row>
    <row r="281" spans="9:9" x14ac:dyDescent="0.25">
      <c r="I281" t="str">
        <f t="shared" si="6"/>
        <v/>
      </c>
    </row>
    <row r="282" spans="9:9" x14ac:dyDescent="0.25">
      <c r="I282" t="str">
        <f t="shared" si="6"/>
        <v/>
      </c>
    </row>
    <row r="283" spans="9:9" x14ac:dyDescent="0.25">
      <c r="I283" t="str">
        <f t="shared" si="6"/>
        <v/>
      </c>
    </row>
    <row r="284" spans="9:9" x14ac:dyDescent="0.25">
      <c r="I284" t="str">
        <f t="shared" si="6"/>
        <v/>
      </c>
    </row>
    <row r="285" spans="9:9" x14ac:dyDescent="0.25">
      <c r="I285" t="str">
        <f t="shared" si="6"/>
        <v/>
      </c>
    </row>
    <row r="286" spans="9:9" x14ac:dyDescent="0.25">
      <c r="I286" t="str">
        <f t="shared" si="6"/>
        <v/>
      </c>
    </row>
    <row r="287" spans="9:9" x14ac:dyDescent="0.25">
      <c r="I287" t="str">
        <f t="shared" si="6"/>
        <v/>
      </c>
    </row>
    <row r="288" spans="9:9" x14ac:dyDescent="0.25">
      <c r="I288" t="str">
        <f t="shared" si="6"/>
        <v/>
      </c>
    </row>
    <row r="289" spans="9:9" x14ac:dyDescent="0.25">
      <c r="I289" t="str">
        <f t="shared" si="6"/>
        <v/>
      </c>
    </row>
    <row r="290" spans="9:9" x14ac:dyDescent="0.25">
      <c r="I290" t="str">
        <f t="shared" si="6"/>
        <v/>
      </c>
    </row>
    <row r="291" spans="9:9" x14ac:dyDescent="0.25">
      <c r="I291" t="str">
        <f t="shared" si="6"/>
        <v/>
      </c>
    </row>
    <row r="292" spans="9:9" x14ac:dyDescent="0.25">
      <c r="I292" t="str">
        <f t="shared" si="6"/>
        <v/>
      </c>
    </row>
    <row r="293" spans="9:9" x14ac:dyDescent="0.25">
      <c r="I293" t="str">
        <f t="shared" si="6"/>
        <v/>
      </c>
    </row>
    <row r="294" spans="9:9" x14ac:dyDescent="0.25">
      <c r="I294" t="str">
        <f t="shared" si="6"/>
        <v/>
      </c>
    </row>
    <row r="295" spans="9:9" x14ac:dyDescent="0.25">
      <c r="I295" t="str">
        <f t="shared" si="6"/>
        <v/>
      </c>
    </row>
    <row r="296" spans="9:9" x14ac:dyDescent="0.25">
      <c r="I296" t="str">
        <f t="shared" si="6"/>
        <v/>
      </c>
    </row>
    <row r="297" spans="9:9" x14ac:dyDescent="0.25">
      <c r="I297" t="str">
        <f t="shared" si="6"/>
        <v/>
      </c>
    </row>
    <row r="298" spans="9:9" x14ac:dyDescent="0.25">
      <c r="I298" t="str">
        <f t="shared" si="6"/>
        <v/>
      </c>
    </row>
    <row r="299" spans="9:9" x14ac:dyDescent="0.25">
      <c r="I299" t="str">
        <f t="shared" si="6"/>
        <v/>
      </c>
    </row>
    <row r="300" spans="9:9" x14ac:dyDescent="0.25">
      <c r="I300" t="str">
        <f t="shared" si="6"/>
        <v/>
      </c>
    </row>
    <row r="301" spans="9:9" x14ac:dyDescent="0.25">
      <c r="I301" t="str">
        <f t="shared" si="6"/>
        <v/>
      </c>
    </row>
    <row r="302" spans="9:9" x14ac:dyDescent="0.25">
      <c r="I302" t="str">
        <f t="shared" si="6"/>
        <v/>
      </c>
    </row>
    <row r="303" spans="9:9" x14ac:dyDescent="0.25">
      <c r="I303" t="str">
        <f t="shared" si="6"/>
        <v/>
      </c>
    </row>
    <row r="304" spans="9:9" x14ac:dyDescent="0.25">
      <c r="I304" t="str">
        <f t="shared" si="6"/>
        <v/>
      </c>
    </row>
    <row r="305" spans="9:9" x14ac:dyDescent="0.25">
      <c r="I305" t="str">
        <f t="shared" si="6"/>
        <v/>
      </c>
    </row>
    <row r="306" spans="9:9" x14ac:dyDescent="0.25">
      <c r="I306" t="str">
        <f t="shared" ref="I306:I369" si="7">IF(ISBLANK(A306),"",CONCATENATE("Замена ",H306," блока ",B306,"x",C306,"(h)","мм."))</f>
        <v/>
      </c>
    </row>
    <row r="307" spans="9:9" x14ac:dyDescent="0.25">
      <c r="I307" t="str">
        <f t="shared" si="7"/>
        <v/>
      </c>
    </row>
    <row r="308" spans="9:9" x14ac:dyDescent="0.25">
      <c r="I308" t="str">
        <f t="shared" si="7"/>
        <v/>
      </c>
    </row>
    <row r="309" spans="9:9" x14ac:dyDescent="0.25">
      <c r="I309" t="str">
        <f t="shared" si="7"/>
        <v/>
      </c>
    </row>
    <row r="310" spans="9:9" x14ac:dyDescent="0.25">
      <c r="I310" t="str">
        <f t="shared" si="7"/>
        <v/>
      </c>
    </row>
    <row r="311" spans="9:9" x14ac:dyDescent="0.25">
      <c r="I311" t="str">
        <f t="shared" si="7"/>
        <v/>
      </c>
    </row>
    <row r="312" spans="9:9" x14ac:dyDescent="0.25">
      <c r="I312" t="str">
        <f t="shared" si="7"/>
        <v/>
      </c>
    </row>
    <row r="313" spans="9:9" x14ac:dyDescent="0.25">
      <c r="I313" t="str">
        <f t="shared" si="7"/>
        <v/>
      </c>
    </row>
    <row r="314" spans="9:9" x14ac:dyDescent="0.25">
      <c r="I314" t="str">
        <f t="shared" si="7"/>
        <v/>
      </c>
    </row>
    <row r="315" spans="9:9" x14ac:dyDescent="0.25">
      <c r="I315" t="str">
        <f t="shared" si="7"/>
        <v/>
      </c>
    </row>
    <row r="316" spans="9:9" x14ac:dyDescent="0.25">
      <c r="I316" t="str">
        <f t="shared" si="7"/>
        <v/>
      </c>
    </row>
    <row r="317" spans="9:9" x14ac:dyDescent="0.25">
      <c r="I317" t="str">
        <f t="shared" si="7"/>
        <v/>
      </c>
    </row>
    <row r="318" spans="9:9" x14ac:dyDescent="0.25">
      <c r="I318" t="str">
        <f t="shared" si="7"/>
        <v/>
      </c>
    </row>
    <row r="319" spans="9:9" x14ac:dyDescent="0.25">
      <c r="I319" t="str">
        <f t="shared" si="7"/>
        <v/>
      </c>
    </row>
    <row r="320" spans="9:9" x14ac:dyDescent="0.25">
      <c r="I320" t="str">
        <f t="shared" si="7"/>
        <v/>
      </c>
    </row>
    <row r="321" spans="9:9" x14ac:dyDescent="0.25">
      <c r="I321" t="str">
        <f t="shared" si="7"/>
        <v/>
      </c>
    </row>
    <row r="322" spans="9:9" x14ac:dyDescent="0.25">
      <c r="I322" t="str">
        <f t="shared" si="7"/>
        <v/>
      </c>
    </row>
    <row r="323" spans="9:9" x14ac:dyDescent="0.25">
      <c r="I323" t="str">
        <f t="shared" si="7"/>
        <v/>
      </c>
    </row>
    <row r="324" spans="9:9" x14ac:dyDescent="0.25">
      <c r="I324" t="str">
        <f t="shared" si="7"/>
        <v/>
      </c>
    </row>
    <row r="325" spans="9:9" x14ac:dyDescent="0.25">
      <c r="I325" t="str">
        <f t="shared" si="7"/>
        <v/>
      </c>
    </row>
    <row r="326" spans="9:9" x14ac:dyDescent="0.25">
      <c r="I326" t="str">
        <f t="shared" si="7"/>
        <v/>
      </c>
    </row>
    <row r="327" spans="9:9" x14ac:dyDescent="0.25">
      <c r="I327" t="str">
        <f t="shared" si="7"/>
        <v/>
      </c>
    </row>
    <row r="328" spans="9:9" x14ac:dyDescent="0.25">
      <c r="I328" t="str">
        <f t="shared" si="7"/>
        <v/>
      </c>
    </row>
    <row r="329" spans="9:9" x14ac:dyDescent="0.25">
      <c r="I329" t="str">
        <f t="shared" si="7"/>
        <v/>
      </c>
    </row>
    <row r="330" spans="9:9" x14ac:dyDescent="0.25">
      <c r="I330" t="str">
        <f t="shared" si="7"/>
        <v/>
      </c>
    </row>
    <row r="331" spans="9:9" x14ac:dyDescent="0.25">
      <c r="I331" t="str">
        <f t="shared" si="7"/>
        <v/>
      </c>
    </row>
    <row r="332" spans="9:9" x14ac:dyDescent="0.25">
      <c r="I332" t="str">
        <f t="shared" si="7"/>
        <v/>
      </c>
    </row>
    <row r="333" spans="9:9" x14ac:dyDescent="0.25">
      <c r="I333" t="str">
        <f t="shared" si="7"/>
        <v/>
      </c>
    </row>
    <row r="334" spans="9:9" x14ac:dyDescent="0.25">
      <c r="I334" t="str">
        <f t="shared" si="7"/>
        <v/>
      </c>
    </row>
    <row r="335" spans="9:9" x14ac:dyDescent="0.25">
      <c r="I335" t="str">
        <f t="shared" si="7"/>
        <v/>
      </c>
    </row>
    <row r="336" spans="9:9" x14ac:dyDescent="0.25">
      <c r="I336" t="str">
        <f t="shared" si="7"/>
        <v/>
      </c>
    </row>
    <row r="337" spans="9:9" x14ac:dyDescent="0.25">
      <c r="I337" t="str">
        <f t="shared" si="7"/>
        <v/>
      </c>
    </row>
    <row r="338" spans="9:9" x14ac:dyDescent="0.25">
      <c r="I338" t="str">
        <f t="shared" si="7"/>
        <v/>
      </c>
    </row>
    <row r="339" spans="9:9" x14ac:dyDescent="0.25">
      <c r="I339" t="str">
        <f t="shared" si="7"/>
        <v/>
      </c>
    </row>
    <row r="340" spans="9:9" x14ac:dyDescent="0.25">
      <c r="I340" t="str">
        <f t="shared" si="7"/>
        <v/>
      </c>
    </row>
    <row r="341" spans="9:9" x14ac:dyDescent="0.25">
      <c r="I341" t="str">
        <f t="shared" si="7"/>
        <v/>
      </c>
    </row>
    <row r="342" spans="9:9" x14ac:dyDescent="0.25">
      <c r="I342" t="str">
        <f t="shared" si="7"/>
        <v/>
      </c>
    </row>
    <row r="343" spans="9:9" x14ac:dyDescent="0.25">
      <c r="I343" t="str">
        <f t="shared" si="7"/>
        <v/>
      </c>
    </row>
    <row r="344" spans="9:9" x14ac:dyDescent="0.25">
      <c r="I344" t="str">
        <f t="shared" si="7"/>
        <v/>
      </c>
    </row>
    <row r="345" spans="9:9" x14ac:dyDescent="0.25">
      <c r="I345" t="str">
        <f t="shared" si="7"/>
        <v/>
      </c>
    </row>
    <row r="346" spans="9:9" x14ac:dyDescent="0.25">
      <c r="I346" t="str">
        <f t="shared" si="7"/>
        <v/>
      </c>
    </row>
    <row r="347" spans="9:9" x14ac:dyDescent="0.25">
      <c r="I347" t="str">
        <f t="shared" si="7"/>
        <v/>
      </c>
    </row>
    <row r="348" spans="9:9" x14ac:dyDescent="0.25">
      <c r="I348" t="str">
        <f t="shared" si="7"/>
        <v/>
      </c>
    </row>
    <row r="349" spans="9:9" x14ac:dyDescent="0.25">
      <c r="I349" t="str">
        <f t="shared" si="7"/>
        <v/>
      </c>
    </row>
    <row r="350" spans="9:9" x14ac:dyDescent="0.25">
      <c r="I350" t="str">
        <f t="shared" si="7"/>
        <v/>
      </c>
    </row>
    <row r="351" spans="9:9" x14ac:dyDescent="0.25">
      <c r="I351" t="str">
        <f t="shared" si="7"/>
        <v/>
      </c>
    </row>
    <row r="352" spans="9:9" x14ac:dyDescent="0.25">
      <c r="I352" t="str">
        <f t="shared" si="7"/>
        <v/>
      </c>
    </row>
    <row r="353" spans="9:9" x14ac:dyDescent="0.25">
      <c r="I353" t="str">
        <f t="shared" si="7"/>
        <v/>
      </c>
    </row>
    <row r="354" spans="9:9" x14ac:dyDescent="0.25">
      <c r="I354" t="str">
        <f t="shared" si="7"/>
        <v/>
      </c>
    </row>
    <row r="355" spans="9:9" x14ac:dyDescent="0.25">
      <c r="I355" t="str">
        <f t="shared" si="7"/>
        <v/>
      </c>
    </row>
    <row r="356" spans="9:9" x14ac:dyDescent="0.25">
      <c r="I356" t="str">
        <f t="shared" si="7"/>
        <v/>
      </c>
    </row>
    <row r="357" spans="9:9" x14ac:dyDescent="0.25">
      <c r="I357" t="str">
        <f t="shared" si="7"/>
        <v/>
      </c>
    </row>
    <row r="358" spans="9:9" x14ac:dyDescent="0.25">
      <c r="I358" t="str">
        <f t="shared" si="7"/>
        <v/>
      </c>
    </row>
    <row r="359" spans="9:9" x14ac:dyDescent="0.25">
      <c r="I359" t="str">
        <f t="shared" si="7"/>
        <v/>
      </c>
    </row>
    <row r="360" spans="9:9" x14ac:dyDescent="0.25">
      <c r="I360" t="str">
        <f t="shared" si="7"/>
        <v/>
      </c>
    </row>
    <row r="361" spans="9:9" x14ac:dyDescent="0.25">
      <c r="I361" t="str">
        <f t="shared" si="7"/>
        <v/>
      </c>
    </row>
    <row r="362" spans="9:9" x14ac:dyDescent="0.25">
      <c r="I362" t="str">
        <f t="shared" si="7"/>
        <v/>
      </c>
    </row>
    <row r="363" spans="9:9" x14ac:dyDescent="0.25">
      <c r="I363" t="str">
        <f t="shared" si="7"/>
        <v/>
      </c>
    </row>
    <row r="364" spans="9:9" x14ac:dyDescent="0.25">
      <c r="I364" t="str">
        <f t="shared" si="7"/>
        <v/>
      </c>
    </row>
    <row r="365" spans="9:9" x14ac:dyDescent="0.25">
      <c r="I365" t="str">
        <f t="shared" si="7"/>
        <v/>
      </c>
    </row>
    <row r="366" spans="9:9" x14ac:dyDescent="0.25">
      <c r="I366" t="str">
        <f t="shared" si="7"/>
        <v/>
      </c>
    </row>
    <row r="367" spans="9:9" x14ac:dyDescent="0.25">
      <c r="I367" t="str">
        <f t="shared" si="7"/>
        <v/>
      </c>
    </row>
    <row r="368" spans="9:9" x14ac:dyDescent="0.25">
      <c r="I368" t="str">
        <f t="shared" si="7"/>
        <v/>
      </c>
    </row>
    <row r="369" spans="9:9" x14ac:dyDescent="0.25">
      <c r="I369" t="str">
        <f t="shared" si="7"/>
        <v/>
      </c>
    </row>
    <row r="370" spans="9:9" x14ac:dyDescent="0.25">
      <c r="I370" t="str">
        <f t="shared" ref="I370:I433" si="8">IF(ISBLANK(A370),"",CONCATENATE("Замена ",H370," блока ",B370,"x",C370,"(h)","мм."))</f>
        <v/>
      </c>
    </row>
    <row r="371" spans="9:9" x14ac:dyDescent="0.25">
      <c r="I371" t="str">
        <f t="shared" si="8"/>
        <v/>
      </c>
    </row>
    <row r="372" spans="9:9" x14ac:dyDescent="0.25">
      <c r="I372" t="str">
        <f t="shared" si="8"/>
        <v/>
      </c>
    </row>
    <row r="373" spans="9:9" x14ac:dyDescent="0.25">
      <c r="I373" t="str">
        <f t="shared" si="8"/>
        <v/>
      </c>
    </row>
    <row r="374" spans="9:9" x14ac:dyDescent="0.25">
      <c r="I374" t="str">
        <f t="shared" si="8"/>
        <v/>
      </c>
    </row>
    <row r="375" spans="9:9" x14ac:dyDescent="0.25">
      <c r="I375" t="str">
        <f t="shared" si="8"/>
        <v/>
      </c>
    </row>
    <row r="376" spans="9:9" x14ac:dyDescent="0.25">
      <c r="I376" t="str">
        <f t="shared" si="8"/>
        <v/>
      </c>
    </row>
    <row r="377" spans="9:9" x14ac:dyDescent="0.25">
      <c r="I377" t="str">
        <f t="shared" si="8"/>
        <v/>
      </c>
    </row>
    <row r="378" spans="9:9" x14ac:dyDescent="0.25">
      <c r="I378" t="str">
        <f t="shared" si="8"/>
        <v/>
      </c>
    </row>
    <row r="379" spans="9:9" x14ac:dyDescent="0.25">
      <c r="I379" t="str">
        <f t="shared" si="8"/>
        <v/>
      </c>
    </row>
    <row r="380" spans="9:9" x14ac:dyDescent="0.25">
      <c r="I380" t="str">
        <f t="shared" si="8"/>
        <v/>
      </c>
    </row>
    <row r="381" spans="9:9" x14ac:dyDescent="0.25">
      <c r="I381" t="str">
        <f t="shared" si="8"/>
        <v/>
      </c>
    </row>
    <row r="382" spans="9:9" x14ac:dyDescent="0.25">
      <c r="I382" t="str">
        <f t="shared" si="8"/>
        <v/>
      </c>
    </row>
    <row r="383" spans="9:9" x14ac:dyDescent="0.25">
      <c r="I383" t="str">
        <f t="shared" si="8"/>
        <v/>
      </c>
    </row>
    <row r="384" spans="9:9" x14ac:dyDescent="0.25">
      <c r="I384" t="str">
        <f t="shared" si="8"/>
        <v/>
      </c>
    </row>
    <row r="385" spans="9:9" x14ac:dyDescent="0.25">
      <c r="I385" t="str">
        <f t="shared" si="8"/>
        <v/>
      </c>
    </row>
    <row r="386" spans="9:9" x14ac:dyDescent="0.25">
      <c r="I386" t="str">
        <f t="shared" si="8"/>
        <v/>
      </c>
    </row>
    <row r="387" spans="9:9" x14ac:dyDescent="0.25">
      <c r="I387" t="str">
        <f t="shared" si="8"/>
        <v/>
      </c>
    </row>
    <row r="388" spans="9:9" x14ac:dyDescent="0.25">
      <c r="I388" t="str">
        <f t="shared" si="8"/>
        <v/>
      </c>
    </row>
    <row r="389" spans="9:9" x14ac:dyDescent="0.25">
      <c r="I389" t="str">
        <f t="shared" si="8"/>
        <v/>
      </c>
    </row>
    <row r="390" spans="9:9" x14ac:dyDescent="0.25">
      <c r="I390" t="str">
        <f t="shared" si="8"/>
        <v/>
      </c>
    </row>
    <row r="391" spans="9:9" x14ac:dyDescent="0.25">
      <c r="I391" t="str">
        <f t="shared" si="8"/>
        <v/>
      </c>
    </row>
    <row r="392" spans="9:9" x14ac:dyDescent="0.25">
      <c r="I392" t="str">
        <f t="shared" si="8"/>
        <v/>
      </c>
    </row>
    <row r="393" spans="9:9" x14ac:dyDescent="0.25">
      <c r="I393" t="str">
        <f t="shared" si="8"/>
        <v/>
      </c>
    </row>
    <row r="394" spans="9:9" x14ac:dyDescent="0.25">
      <c r="I394" t="str">
        <f t="shared" si="8"/>
        <v/>
      </c>
    </row>
    <row r="395" spans="9:9" x14ac:dyDescent="0.25">
      <c r="I395" t="str">
        <f t="shared" si="8"/>
        <v/>
      </c>
    </row>
    <row r="396" spans="9:9" x14ac:dyDescent="0.25">
      <c r="I396" t="str">
        <f t="shared" si="8"/>
        <v/>
      </c>
    </row>
    <row r="397" spans="9:9" x14ac:dyDescent="0.25">
      <c r="I397" t="str">
        <f t="shared" si="8"/>
        <v/>
      </c>
    </row>
    <row r="398" spans="9:9" x14ac:dyDescent="0.25">
      <c r="I398" t="str">
        <f t="shared" si="8"/>
        <v/>
      </c>
    </row>
    <row r="399" spans="9:9" x14ac:dyDescent="0.25">
      <c r="I399" t="str">
        <f t="shared" si="8"/>
        <v/>
      </c>
    </row>
    <row r="400" spans="9:9" x14ac:dyDescent="0.25">
      <c r="I400" t="str">
        <f t="shared" si="8"/>
        <v/>
      </c>
    </row>
    <row r="401" spans="9:9" x14ac:dyDescent="0.25">
      <c r="I401" t="str">
        <f t="shared" si="8"/>
        <v/>
      </c>
    </row>
    <row r="402" spans="9:9" x14ac:dyDescent="0.25">
      <c r="I402" t="str">
        <f t="shared" si="8"/>
        <v/>
      </c>
    </row>
    <row r="403" spans="9:9" x14ac:dyDescent="0.25">
      <c r="I403" t="str">
        <f t="shared" si="8"/>
        <v/>
      </c>
    </row>
    <row r="404" spans="9:9" x14ac:dyDescent="0.25">
      <c r="I404" t="str">
        <f t="shared" si="8"/>
        <v/>
      </c>
    </row>
    <row r="405" spans="9:9" x14ac:dyDescent="0.25">
      <c r="I405" t="str">
        <f t="shared" si="8"/>
        <v/>
      </c>
    </row>
    <row r="406" spans="9:9" x14ac:dyDescent="0.25">
      <c r="I406" t="str">
        <f t="shared" si="8"/>
        <v/>
      </c>
    </row>
    <row r="407" spans="9:9" x14ac:dyDescent="0.25">
      <c r="I407" t="str">
        <f t="shared" si="8"/>
        <v/>
      </c>
    </row>
    <row r="408" spans="9:9" x14ac:dyDescent="0.25">
      <c r="I408" t="str">
        <f t="shared" si="8"/>
        <v/>
      </c>
    </row>
    <row r="409" spans="9:9" x14ac:dyDescent="0.25">
      <c r="I409" t="str">
        <f t="shared" si="8"/>
        <v/>
      </c>
    </row>
    <row r="410" spans="9:9" x14ac:dyDescent="0.25">
      <c r="I410" t="str">
        <f t="shared" si="8"/>
        <v/>
      </c>
    </row>
    <row r="411" spans="9:9" x14ac:dyDescent="0.25">
      <c r="I411" t="str">
        <f t="shared" si="8"/>
        <v/>
      </c>
    </row>
    <row r="412" spans="9:9" x14ac:dyDescent="0.25">
      <c r="I412" t="str">
        <f t="shared" si="8"/>
        <v/>
      </c>
    </row>
    <row r="413" spans="9:9" x14ac:dyDescent="0.25">
      <c r="I413" t="str">
        <f t="shared" si="8"/>
        <v/>
      </c>
    </row>
    <row r="414" spans="9:9" x14ac:dyDescent="0.25">
      <c r="I414" t="str">
        <f t="shared" si="8"/>
        <v/>
      </c>
    </row>
    <row r="415" spans="9:9" x14ac:dyDescent="0.25">
      <c r="I415" t="str">
        <f t="shared" si="8"/>
        <v/>
      </c>
    </row>
    <row r="416" spans="9:9" x14ac:dyDescent="0.25">
      <c r="I416" t="str">
        <f t="shared" si="8"/>
        <v/>
      </c>
    </row>
    <row r="417" spans="9:9" x14ac:dyDescent="0.25">
      <c r="I417" t="str">
        <f t="shared" si="8"/>
        <v/>
      </c>
    </row>
    <row r="418" spans="9:9" x14ac:dyDescent="0.25">
      <c r="I418" t="str">
        <f t="shared" si="8"/>
        <v/>
      </c>
    </row>
    <row r="419" spans="9:9" x14ac:dyDescent="0.25">
      <c r="I419" t="str">
        <f t="shared" si="8"/>
        <v/>
      </c>
    </row>
    <row r="420" spans="9:9" x14ac:dyDescent="0.25">
      <c r="I420" t="str">
        <f t="shared" si="8"/>
        <v/>
      </c>
    </row>
    <row r="421" spans="9:9" x14ac:dyDescent="0.25">
      <c r="I421" t="str">
        <f t="shared" si="8"/>
        <v/>
      </c>
    </row>
    <row r="422" spans="9:9" x14ac:dyDescent="0.25">
      <c r="I422" t="str">
        <f t="shared" si="8"/>
        <v/>
      </c>
    </row>
    <row r="423" spans="9:9" x14ac:dyDescent="0.25">
      <c r="I423" t="str">
        <f t="shared" si="8"/>
        <v/>
      </c>
    </row>
    <row r="424" spans="9:9" x14ac:dyDescent="0.25">
      <c r="I424" t="str">
        <f t="shared" si="8"/>
        <v/>
      </c>
    </row>
    <row r="425" spans="9:9" x14ac:dyDescent="0.25">
      <c r="I425" t="str">
        <f t="shared" si="8"/>
        <v/>
      </c>
    </row>
    <row r="426" spans="9:9" x14ac:dyDescent="0.25">
      <c r="I426" t="str">
        <f t="shared" si="8"/>
        <v/>
      </c>
    </row>
    <row r="427" spans="9:9" x14ac:dyDescent="0.25">
      <c r="I427" t="str">
        <f t="shared" si="8"/>
        <v/>
      </c>
    </row>
    <row r="428" spans="9:9" x14ac:dyDescent="0.25">
      <c r="I428" t="str">
        <f t="shared" si="8"/>
        <v/>
      </c>
    </row>
    <row r="429" spans="9:9" x14ac:dyDescent="0.25">
      <c r="I429" t="str">
        <f t="shared" si="8"/>
        <v/>
      </c>
    </row>
    <row r="430" spans="9:9" x14ac:dyDescent="0.25">
      <c r="I430" t="str">
        <f t="shared" si="8"/>
        <v/>
      </c>
    </row>
    <row r="431" spans="9:9" x14ac:dyDescent="0.25">
      <c r="I431" t="str">
        <f t="shared" si="8"/>
        <v/>
      </c>
    </row>
    <row r="432" spans="9:9" x14ac:dyDescent="0.25">
      <c r="I432" t="str">
        <f t="shared" si="8"/>
        <v/>
      </c>
    </row>
    <row r="433" spans="9:9" x14ac:dyDescent="0.25">
      <c r="I433" t="str">
        <f t="shared" si="8"/>
        <v/>
      </c>
    </row>
    <row r="434" spans="9:9" x14ac:dyDescent="0.25">
      <c r="I434" t="str">
        <f t="shared" ref="I434:I460" si="9">IF(ISBLANK(A434),"",CONCATENATE("Замена ",H434," блока ",B434,"x",C434,"(h)","мм."))</f>
        <v/>
      </c>
    </row>
    <row r="435" spans="9:9" x14ac:dyDescent="0.25">
      <c r="I435" t="str">
        <f t="shared" si="9"/>
        <v/>
      </c>
    </row>
    <row r="436" spans="9:9" x14ac:dyDescent="0.25">
      <c r="I436" t="str">
        <f t="shared" si="9"/>
        <v/>
      </c>
    </row>
    <row r="437" spans="9:9" x14ac:dyDescent="0.25">
      <c r="I437" t="str">
        <f t="shared" si="9"/>
        <v/>
      </c>
    </row>
    <row r="438" spans="9:9" x14ac:dyDescent="0.25">
      <c r="I438" t="str">
        <f t="shared" si="9"/>
        <v/>
      </c>
    </row>
    <row r="439" spans="9:9" x14ac:dyDescent="0.25">
      <c r="I439" t="str">
        <f t="shared" si="9"/>
        <v/>
      </c>
    </row>
    <row r="440" spans="9:9" x14ac:dyDescent="0.25">
      <c r="I440" t="str">
        <f t="shared" si="9"/>
        <v/>
      </c>
    </row>
    <row r="441" spans="9:9" x14ac:dyDescent="0.25">
      <c r="I441" t="str">
        <f t="shared" si="9"/>
        <v/>
      </c>
    </row>
    <row r="442" spans="9:9" x14ac:dyDescent="0.25">
      <c r="I442" t="str">
        <f t="shared" si="9"/>
        <v/>
      </c>
    </row>
    <row r="443" spans="9:9" x14ac:dyDescent="0.25">
      <c r="I443" t="str">
        <f t="shared" si="9"/>
        <v/>
      </c>
    </row>
    <row r="444" spans="9:9" x14ac:dyDescent="0.25">
      <c r="I444" t="str">
        <f t="shared" si="9"/>
        <v/>
      </c>
    </row>
    <row r="445" spans="9:9" x14ac:dyDescent="0.25">
      <c r="I445" t="str">
        <f t="shared" si="9"/>
        <v/>
      </c>
    </row>
    <row r="446" spans="9:9" x14ac:dyDescent="0.25">
      <c r="I446" t="str">
        <f t="shared" si="9"/>
        <v/>
      </c>
    </row>
    <row r="447" spans="9:9" x14ac:dyDescent="0.25">
      <c r="I447" t="str">
        <f t="shared" si="9"/>
        <v/>
      </c>
    </row>
    <row r="448" spans="9:9" x14ac:dyDescent="0.25">
      <c r="I448" t="str">
        <f t="shared" si="9"/>
        <v/>
      </c>
    </row>
    <row r="449" spans="9:9" x14ac:dyDescent="0.25">
      <c r="I449" t="str">
        <f t="shared" si="9"/>
        <v/>
      </c>
    </row>
    <row r="450" spans="9:9" x14ac:dyDescent="0.25">
      <c r="I450" t="str">
        <f t="shared" si="9"/>
        <v/>
      </c>
    </row>
    <row r="451" spans="9:9" x14ac:dyDescent="0.25">
      <c r="I451" t="str">
        <f t="shared" si="9"/>
        <v/>
      </c>
    </row>
    <row r="452" spans="9:9" x14ac:dyDescent="0.25">
      <c r="I452" t="str">
        <f t="shared" si="9"/>
        <v/>
      </c>
    </row>
    <row r="453" spans="9:9" x14ac:dyDescent="0.25">
      <c r="I453" t="str">
        <f t="shared" si="9"/>
        <v/>
      </c>
    </row>
    <row r="454" spans="9:9" x14ac:dyDescent="0.25">
      <c r="I454" t="str">
        <f t="shared" si="9"/>
        <v/>
      </c>
    </row>
    <row r="455" spans="9:9" x14ac:dyDescent="0.25">
      <c r="I455" t="str">
        <f t="shared" si="9"/>
        <v/>
      </c>
    </row>
    <row r="456" spans="9:9" x14ac:dyDescent="0.25">
      <c r="I456" t="str">
        <f t="shared" si="9"/>
        <v/>
      </c>
    </row>
    <row r="457" spans="9:9" x14ac:dyDescent="0.25">
      <c r="I457" t="str">
        <f t="shared" si="9"/>
        <v/>
      </c>
    </row>
    <row r="458" spans="9:9" x14ac:dyDescent="0.25">
      <c r="I458" t="str">
        <f t="shared" si="9"/>
        <v/>
      </c>
    </row>
    <row r="459" spans="9:9" x14ac:dyDescent="0.25">
      <c r="I459" t="str">
        <f t="shared" si="9"/>
        <v/>
      </c>
    </row>
    <row r="460" spans="9:9" x14ac:dyDescent="0.25">
      <c r="I460" t="str">
        <f t="shared" si="9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000000"/>
    <pageSetUpPr fitToPage="1"/>
  </sheetPr>
  <dimension ref="A1:F95"/>
  <sheetViews>
    <sheetView topLeftCell="A34" workbookViewId="0">
      <selection activeCell="H42" sqref="H42"/>
    </sheetView>
  </sheetViews>
  <sheetFormatPr defaultRowHeight="15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6384" width="9.140625" style="5"/>
  </cols>
  <sheetData>
    <row r="1" spans="1:6" ht="33" x14ac:dyDescent="0.25">
      <c r="A1" s="18" t="s">
        <v>2388</v>
      </c>
      <c r="B1" s="20" t="s">
        <v>2389</v>
      </c>
      <c r="C1" s="20" t="s">
        <v>2390</v>
      </c>
      <c r="D1" s="20" t="s">
        <v>2391</v>
      </c>
      <c r="E1" s="20" t="s">
        <v>2392</v>
      </c>
      <c r="F1" s="19" t="s">
        <v>2384</v>
      </c>
    </row>
    <row r="2" spans="1:6" ht="16.5" x14ac:dyDescent="0.25">
      <c r="A2" s="36" t="s">
        <v>2428</v>
      </c>
      <c r="B2" s="37"/>
      <c r="C2" s="37"/>
      <c r="D2" s="37"/>
      <c r="E2" s="37"/>
      <c r="F2" s="38"/>
    </row>
    <row r="3" spans="1:6" ht="33" x14ac:dyDescent="0.25">
      <c r="A3" s="12" t="s">
        <v>2385</v>
      </c>
      <c r="B3" s="13" t="s">
        <v>2385</v>
      </c>
      <c r="C3" s="13" t="s">
        <v>2525</v>
      </c>
      <c r="D3" s="13">
        <v>165</v>
      </c>
      <c r="E3" s="13" t="s">
        <v>4</v>
      </c>
      <c r="F3" s="14" t="s">
        <v>2362</v>
      </c>
    </row>
    <row r="4" spans="1:6" ht="33" x14ac:dyDescent="0.25">
      <c r="A4" s="12" t="s">
        <v>2385</v>
      </c>
      <c r="B4" s="13" t="s">
        <v>2385</v>
      </c>
      <c r="C4" s="13" t="s">
        <v>2465</v>
      </c>
      <c r="D4" s="13">
        <v>59.64</v>
      </c>
      <c r="E4" s="13" t="s">
        <v>4</v>
      </c>
      <c r="F4" s="14" t="s">
        <v>2362</v>
      </c>
    </row>
    <row r="5" spans="1:6" ht="33" x14ac:dyDescent="0.25">
      <c r="A5" s="12" t="s">
        <v>2385</v>
      </c>
      <c r="B5" s="13" t="s">
        <v>2385</v>
      </c>
      <c r="C5" s="13" t="s">
        <v>2466</v>
      </c>
      <c r="D5" s="13">
        <v>54.48</v>
      </c>
      <c r="E5" s="13" t="s">
        <v>4</v>
      </c>
      <c r="F5" s="14" t="s">
        <v>2362</v>
      </c>
    </row>
    <row r="6" spans="1:6" ht="16.5" x14ac:dyDescent="0.25">
      <c r="A6" s="12" t="s">
        <v>2385</v>
      </c>
      <c r="B6" s="13" t="s">
        <v>2385</v>
      </c>
      <c r="C6" s="13" t="s">
        <v>2526</v>
      </c>
      <c r="D6" s="13">
        <v>148</v>
      </c>
      <c r="E6" s="13" t="s">
        <v>4</v>
      </c>
      <c r="F6" s="14" t="s">
        <v>2362</v>
      </c>
    </row>
    <row r="7" spans="1:6" ht="33" x14ac:dyDescent="0.25">
      <c r="A7" s="12" t="s">
        <v>2385</v>
      </c>
      <c r="B7" s="13" t="s">
        <v>2385</v>
      </c>
      <c r="C7" s="13" t="s">
        <v>2467</v>
      </c>
      <c r="D7" s="13">
        <v>364.7</v>
      </c>
      <c r="E7" s="13" t="s">
        <v>4</v>
      </c>
      <c r="F7" s="14" t="s">
        <v>2362</v>
      </c>
    </row>
    <row r="8" spans="1:6" ht="33" x14ac:dyDescent="0.25">
      <c r="A8" s="12" t="s">
        <v>2385</v>
      </c>
      <c r="B8" s="13" t="s">
        <v>2385</v>
      </c>
      <c r="C8" s="13" t="s">
        <v>2468</v>
      </c>
      <c r="D8" s="13">
        <v>705.55</v>
      </c>
      <c r="E8" s="13" t="s">
        <v>4</v>
      </c>
      <c r="F8" s="14" t="s">
        <v>2362</v>
      </c>
    </row>
    <row r="9" spans="1:6" ht="16.5" x14ac:dyDescent="0.25">
      <c r="A9" s="36" t="s">
        <v>2422</v>
      </c>
      <c r="B9" s="37"/>
      <c r="C9" s="37"/>
      <c r="D9" s="37"/>
      <c r="E9" s="37"/>
      <c r="F9" s="38"/>
    </row>
    <row r="10" spans="1:6" ht="33" x14ac:dyDescent="0.25">
      <c r="A10" s="12" t="s">
        <v>2385</v>
      </c>
      <c r="B10" s="13" t="s">
        <v>2385</v>
      </c>
      <c r="C10" s="13" t="s">
        <v>2528</v>
      </c>
      <c r="D10" s="13">
        <v>263.39999999999998</v>
      </c>
      <c r="E10" s="13" t="s">
        <v>4</v>
      </c>
      <c r="F10" s="14" t="s">
        <v>2361</v>
      </c>
    </row>
    <row r="11" spans="1:6" ht="33" x14ac:dyDescent="0.25">
      <c r="A11" s="12" t="s">
        <v>2385</v>
      </c>
      <c r="B11" s="13" t="s">
        <v>2385</v>
      </c>
      <c r="C11" s="13" t="s">
        <v>2529</v>
      </c>
      <c r="D11" s="13">
        <v>309.7</v>
      </c>
      <c r="E11" s="13" t="s">
        <v>4</v>
      </c>
      <c r="F11" s="14" t="s">
        <v>2361</v>
      </c>
    </row>
    <row r="12" spans="1:6" ht="33" x14ac:dyDescent="0.25">
      <c r="A12" s="12" t="s">
        <v>2385</v>
      </c>
      <c r="B12" s="13" t="s">
        <v>2385</v>
      </c>
      <c r="C12" s="13" t="s">
        <v>2556</v>
      </c>
      <c r="D12" s="13">
        <v>273.18</v>
      </c>
      <c r="E12" s="13" t="s">
        <v>4</v>
      </c>
      <c r="F12" s="14" t="s">
        <v>2362</v>
      </c>
    </row>
    <row r="13" spans="1:6" ht="33" x14ac:dyDescent="0.25">
      <c r="A13" s="12" t="s">
        <v>2385</v>
      </c>
      <c r="B13" s="13" t="s">
        <v>2385</v>
      </c>
      <c r="C13" s="13" t="s">
        <v>2485</v>
      </c>
      <c r="D13" s="13">
        <v>165.75</v>
      </c>
      <c r="E13" s="13" t="s">
        <v>4</v>
      </c>
      <c r="F13" s="14" t="s">
        <v>2362</v>
      </c>
    </row>
    <row r="14" spans="1:6" ht="33" x14ac:dyDescent="0.25">
      <c r="A14" s="12" t="s">
        <v>2385</v>
      </c>
      <c r="B14" s="13" t="s">
        <v>2385</v>
      </c>
      <c r="C14" s="13" t="s">
        <v>2486</v>
      </c>
      <c r="D14" s="13">
        <v>686.22</v>
      </c>
      <c r="E14" s="13" t="s">
        <v>4</v>
      </c>
      <c r="F14" s="14" t="s">
        <v>2362</v>
      </c>
    </row>
    <row r="15" spans="1:6" ht="16.5" x14ac:dyDescent="0.25">
      <c r="A15" s="12" t="s">
        <v>2385</v>
      </c>
      <c r="B15" s="13" t="s">
        <v>2385</v>
      </c>
      <c r="C15" s="13" t="s">
        <v>2552</v>
      </c>
      <c r="D15" s="13">
        <v>35.04</v>
      </c>
      <c r="E15" s="13" t="s">
        <v>4</v>
      </c>
      <c r="F15" s="14" t="s">
        <v>2362</v>
      </c>
    </row>
    <row r="16" spans="1:6" ht="49.5" x14ac:dyDescent="0.25">
      <c r="A16" s="12" t="s">
        <v>2385</v>
      </c>
      <c r="B16" s="13" t="s">
        <v>2385</v>
      </c>
      <c r="C16" s="13" t="s">
        <v>2565</v>
      </c>
      <c r="D16" s="13">
        <v>40</v>
      </c>
      <c r="E16" s="13" t="s">
        <v>4</v>
      </c>
      <c r="F16" s="14" t="s">
        <v>3</v>
      </c>
    </row>
    <row r="17" spans="1:6" ht="16.5" x14ac:dyDescent="0.25">
      <c r="A17" s="12" t="s">
        <v>2385</v>
      </c>
      <c r="B17" s="13" t="s">
        <v>2385</v>
      </c>
      <c r="C17" s="13" t="s">
        <v>2557</v>
      </c>
      <c r="D17" s="13">
        <v>117.81</v>
      </c>
      <c r="E17" s="13" t="s">
        <v>4</v>
      </c>
      <c r="F17" s="14" t="s">
        <v>2362</v>
      </c>
    </row>
    <row r="18" spans="1:6" ht="33" x14ac:dyDescent="0.25">
      <c r="A18" s="12" t="s">
        <v>2385</v>
      </c>
      <c r="B18" s="13" t="s">
        <v>2385</v>
      </c>
      <c r="C18" s="13" t="s">
        <v>2564</v>
      </c>
      <c r="D18" s="13">
        <v>40</v>
      </c>
      <c r="E18" s="13" t="s">
        <v>4</v>
      </c>
      <c r="F18" s="14" t="s">
        <v>3</v>
      </c>
    </row>
    <row r="19" spans="1:6" ht="33" x14ac:dyDescent="0.25">
      <c r="A19" s="12" t="s">
        <v>2385</v>
      </c>
      <c r="B19" s="13" t="s">
        <v>2385</v>
      </c>
      <c r="C19" s="13" t="s">
        <v>2487</v>
      </c>
      <c r="D19" s="13">
        <v>188.49</v>
      </c>
      <c r="E19" s="13" t="s">
        <v>4</v>
      </c>
      <c r="F19" s="14" t="s">
        <v>2362</v>
      </c>
    </row>
    <row r="20" spans="1:6" ht="33" x14ac:dyDescent="0.25">
      <c r="A20" s="12" t="s">
        <v>2385</v>
      </c>
      <c r="B20" s="13" t="s">
        <v>2385</v>
      </c>
      <c r="C20" s="13" t="s">
        <v>2488</v>
      </c>
      <c r="D20" s="13">
        <v>477.53</v>
      </c>
      <c r="E20" s="13" t="s">
        <v>4</v>
      </c>
      <c r="F20" s="14" t="s">
        <v>2362</v>
      </c>
    </row>
    <row r="21" spans="1:6" ht="33" x14ac:dyDescent="0.25">
      <c r="A21" s="12" t="s">
        <v>2385</v>
      </c>
      <c r="B21" s="13" t="s">
        <v>2385</v>
      </c>
      <c r="C21" s="13" t="s">
        <v>2558</v>
      </c>
      <c r="D21" s="13">
        <v>273.18</v>
      </c>
      <c r="E21" s="13" t="s">
        <v>4</v>
      </c>
      <c r="F21" s="14" t="s">
        <v>2362</v>
      </c>
    </row>
    <row r="22" spans="1:6" ht="33" x14ac:dyDescent="0.25">
      <c r="A22" s="12" t="s">
        <v>2385</v>
      </c>
      <c r="B22" s="13" t="s">
        <v>2385</v>
      </c>
      <c r="C22" s="13" t="s">
        <v>2489</v>
      </c>
      <c r="D22" s="13">
        <v>188.49</v>
      </c>
      <c r="E22" s="13" t="s">
        <v>4</v>
      </c>
      <c r="F22" s="14" t="s">
        <v>2362</v>
      </c>
    </row>
    <row r="23" spans="1:6" ht="33" x14ac:dyDescent="0.25">
      <c r="A23" s="12" t="s">
        <v>2385</v>
      </c>
      <c r="B23" s="13" t="s">
        <v>2385</v>
      </c>
      <c r="C23" s="13" t="s">
        <v>2490</v>
      </c>
      <c r="D23" s="13">
        <v>578.46</v>
      </c>
      <c r="E23" s="13" t="s">
        <v>4</v>
      </c>
      <c r="F23" s="14" t="s">
        <v>2362</v>
      </c>
    </row>
    <row r="24" spans="1:6" ht="16.5" x14ac:dyDescent="0.25">
      <c r="A24" s="12" t="s">
        <v>2385</v>
      </c>
      <c r="B24" s="13" t="s">
        <v>2385</v>
      </c>
      <c r="C24" s="13" t="s">
        <v>2491</v>
      </c>
      <c r="D24" s="13">
        <v>357.73</v>
      </c>
      <c r="E24" s="13" t="s">
        <v>4</v>
      </c>
      <c r="F24" s="14" t="s">
        <v>2362</v>
      </c>
    </row>
    <row r="25" spans="1:6" ht="16.5" x14ac:dyDescent="0.25">
      <c r="A25" s="36" t="s">
        <v>2531</v>
      </c>
      <c r="B25" s="37"/>
      <c r="C25" s="37"/>
      <c r="D25" s="37"/>
      <c r="E25" s="37"/>
      <c r="F25" s="38"/>
    </row>
    <row r="26" spans="1:6" ht="16.5" x14ac:dyDescent="0.25">
      <c r="A26" s="12" t="s">
        <v>2385</v>
      </c>
      <c r="B26" s="13" t="s">
        <v>2385</v>
      </c>
      <c r="C26" s="13" t="s">
        <v>2532</v>
      </c>
      <c r="D26" s="13">
        <v>7</v>
      </c>
      <c r="E26" s="13" t="s">
        <v>4</v>
      </c>
      <c r="F26" s="14" t="s">
        <v>4</v>
      </c>
    </row>
    <row r="27" spans="1:6" ht="16.5" x14ac:dyDescent="0.25">
      <c r="A27" s="12" t="s">
        <v>2385</v>
      </c>
      <c r="B27" s="13" t="s">
        <v>2385</v>
      </c>
      <c r="C27" s="13" t="s">
        <v>2533</v>
      </c>
      <c r="D27" s="13">
        <v>11</v>
      </c>
      <c r="E27" s="13" t="s">
        <v>4</v>
      </c>
      <c r="F27" s="14" t="s">
        <v>4</v>
      </c>
    </row>
    <row r="28" spans="1:6" ht="33" x14ac:dyDescent="0.25">
      <c r="A28" s="12" t="s">
        <v>2385</v>
      </c>
      <c r="B28" s="13" t="s">
        <v>2385</v>
      </c>
      <c r="C28" s="13" t="s">
        <v>2546</v>
      </c>
      <c r="D28" s="13">
        <v>21</v>
      </c>
      <c r="E28" s="13" t="s">
        <v>4</v>
      </c>
      <c r="F28" s="14" t="s">
        <v>2361</v>
      </c>
    </row>
    <row r="29" spans="1:6" ht="33" x14ac:dyDescent="0.25">
      <c r="A29" s="12" t="s">
        <v>2385</v>
      </c>
      <c r="B29" s="13" t="s">
        <v>2385</v>
      </c>
      <c r="C29" s="13" t="s">
        <v>2547</v>
      </c>
      <c r="D29" s="13">
        <v>14</v>
      </c>
      <c r="E29" s="13" t="s">
        <v>4</v>
      </c>
      <c r="F29" s="14" t="s">
        <v>2361</v>
      </c>
    </row>
    <row r="30" spans="1:6" ht="33" x14ac:dyDescent="0.25">
      <c r="A30" s="12" t="s">
        <v>2385</v>
      </c>
      <c r="B30" s="13" t="s">
        <v>2385</v>
      </c>
      <c r="C30" s="13" t="s">
        <v>2545</v>
      </c>
      <c r="D30" s="13">
        <v>10.1</v>
      </c>
      <c r="E30" s="13" t="s">
        <v>4</v>
      </c>
      <c r="F30" s="14" t="s">
        <v>2361</v>
      </c>
    </row>
    <row r="31" spans="1:6" ht="16.5" x14ac:dyDescent="0.25">
      <c r="A31" s="12" t="s">
        <v>2385</v>
      </c>
      <c r="B31" s="13" t="s">
        <v>2385</v>
      </c>
      <c r="C31" s="13" t="s">
        <v>2535</v>
      </c>
      <c r="D31" s="13">
        <v>74</v>
      </c>
      <c r="E31" s="13" t="s">
        <v>4</v>
      </c>
      <c r="F31" s="14" t="s">
        <v>4</v>
      </c>
    </row>
    <row r="32" spans="1:6" ht="33" x14ac:dyDescent="0.25">
      <c r="A32" s="12" t="s">
        <v>2385</v>
      </c>
      <c r="B32" s="13" t="s">
        <v>2385</v>
      </c>
      <c r="C32" s="13" t="s">
        <v>2536</v>
      </c>
      <c r="D32" s="13">
        <v>5</v>
      </c>
      <c r="E32" s="13" t="s">
        <v>4</v>
      </c>
      <c r="F32" s="14" t="s">
        <v>2361</v>
      </c>
    </row>
    <row r="33" spans="1:6" ht="33" x14ac:dyDescent="0.25">
      <c r="A33" s="12" t="s">
        <v>2385</v>
      </c>
      <c r="B33" s="13" t="s">
        <v>2385</v>
      </c>
      <c r="C33" s="13" t="s">
        <v>2537</v>
      </c>
      <c r="D33" s="13">
        <v>23.7</v>
      </c>
      <c r="E33" s="13" t="s">
        <v>4</v>
      </c>
      <c r="F33" s="14" t="s">
        <v>2361</v>
      </c>
    </row>
    <row r="34" spans="1:6" ht="16.5" x14ac:dyDescent="0.25">
      <c r="A34" s="12" t="s">
        <v>2385</v>
      </c>
      <c r="B34" s="13" t="s">
        <v>2385</v>
      </c>
      <c r="C34" s="13" t="s">
        <v>2538</v>
      </c>
      <c r="D34" s="13">
        <v>9</v>
      </c>
      <c r="E34" s="13" t="s">
        <v>4</v>
      </c>
      <c r="F34" s="14" t="s">
        <v>2361</v>
      </c>
    </row>
    <row r="35" spans="1:6" ht="16.5" x14ac:dyDescent="0.25">
      <c r="A35" s="12" t="s">
        <v>2385</v>
      </c>
      <c r="B35" s="13" t="s">
        <v>2385</v>
      </c>
      <c r="C35" s="13" t="s">
        <v>2539</v>
      </c>
      <c r="D35" s="13">
        <v>190.5</v>
      </c>
      <c r="E35" s="13" t="s">
        <v>4</v>
      </c>
      <c r="F35" s="14" t="s">
        <v>2361</v>
      </c>
    </row>
    <row r="36" spans="1:6" ht="16.5" x14ac:dyDescent="0.25">
      <c r="A36" s="12" t="s">
        <v>2385</v>
      </c>
      <c r="B36" s="13" t="s">
        <v>2385</v>
      </c>
      <c r="C36" s="13" t="s">
        <v>2540</v>
      </c>
      <c r="D36" s="13">
        <v>21</v>
      </c>
      <c r="E36" s="13" t="s">
        <v>4</v>
      </c>
      <c r="F36" s="14" t="s">
        <v>2361</v>
      </c>
    </row>
    <row r="37" spans="1:6" ht="16.5" x14ac:dyDescent="0.25">
      <c r="A37" s="12" t="s">
        <v>2385</v>
      </c>
      <c r="B37" s="13" t="s">
        <v>2385</v>
      </c>
      <c r="C37" s="13" t="s">
        <v>2541</v>
      </c>
      <c r="D37" s="13">
        <v>142</v>
      </c>
      <c r="E37" s="13" t="s">
        <v>4</v>
      </c>
      <c r="F37" s="14" t="s">
        <v>2361</v>
      </c>
    </row>
    <row r="38" spans="1:6" ht="16.5" x14ac:dyDescent="0.25">
      <c r="A38" s="12" t="s">
        <v>2385</v>
      </c>
      <c r="B38" s="13" t="s">
        <v>2385</v>
      </c>
      <c r="C38" s="13" t="s">
        <v>2542</v>
      </c>
      <c r="D38" s="13">
        <v>89.4</v>
      </c>
      <c r="E38" s="13" t="s">
        <v>4</v>
      </c>
      <c r="F38" s="14" t="s">
        <v>2361</v>
      </c>
    </row>
    <row r="39" spans="1:6" ht="16.5" x14ac:dyDescent="0.25">
      <c r="A39" s="12" t="s">
        <v>2385</v>
      </c>
      <c r="B39" s="13" t="s">
        <v>2385</v>
      </c>
      <c r="C39" s="13" t="s">
        <v>2543</v>
      </c>
      <c r="D39" s="13">
        <v>26</v>
      </c>
      <c r="E39" s="13" t="s">
        <v>4</v>
      </c>
      <c r="F39" s="14" t="s">
        <v>2361</v>
      </c>
    </row>
    <row r="40" spans="1:6" ht="16.5" x14ac:dyDescent="0.25">
      <c r="A40" s="12" t="s">
        <v>2385</v>
      </c>
      <c r="B40" s="13" t="s">
        <v>2385</v>
      </c>
      <c r="C40" s="13" t="s">
        <v>2544</v>
      </c>
      <c r="D40" s="13">
        <v>10.4</v>
      </c>
      <c r="E40" s="13" t="s">
        <v>4</v>
      </c>
      <c r="F40" s="14" t="s">
        <v>2361</v>
      </c>
    </row>
    <row r="41" spans="1:6" ht="33" x14ac:dyDescent="0.25">
      <c r="A41" s="12" t="s">
        <v>2385</v>
      </c>
      <c r="B41" s="13" t="s">
        <v>2385</v>
      </c>
      <c r="C41" s="13" t="s">
        <v>2553</v>
      </c>
      <c r="D41" s="13">
        <v>508</v>
      </c>
      <c r="E41" s="13" t="s">
        <v>4</v>
      </c>
      <c r="F41" s="14" t="s">
        <v>2363</v>
      </c>
    </row>
    <row r="42" spans="1:6" ht="33" x14ac:dyDescent="0.25">
      <c r="A42" s="12" t="s">
        <v>2385</v>
      </c>
      <c r="B42" s="13" t="s">
        <v>2385</v>
      </c>
      <c r="C42" s="13" t="s">
        <v>2554</v>
      </c>
      <c r="D42" s="13">
        <v>1530</v>
      </c>
      <c r="E42" s="13" t="s">
        <v>4</v>
      </c>
      <c r="F42" s="14" t="s">
        <v>2363</v>
      </c>
    </row>
    <row r="43" spans="1:6" ht="49.5" x14ac:dyDescent="0.25">
      <c r="A43" s="12" t="s">
        <v>2385</v>
      </c>
      <c r="B43" s="13" t="s">
        <v>2385</v>
      </c>
      <c r="C43" s="13" t="s">
        <v>2555</v>
      </c>
      <c r="D43" s="13">
        <v>1655</v>
      </c>
      <c r="E43" s="13" t="s">
        <v>4</v>
      </c>
      <c r="F43" s="14" t="s">
        <v>2363</v>
      </c>
    </row>
    <row r="44" spans="1:6" ht="33" x14ac:dyDescent="0.25">
      <c r="A44" s="12" t="s">
        <v>2385</v>
      </c>
      <c r="B44" s="13" t="s">
        <v>2385</v>
      </c>
      <c r="C44" s="13" t="s">
        <v>2534</v>
      </c>
      <c r="D44" s="13">
        <v>7.66</v>
      </c>
      <c r="E44" s="13" t="s">
        <v>4</v>
      </c>
      <c r="F44" s="14" t="s">
        <v>3</v>
      </c>
    </row>
    <row r="45" spans="1:6" ht="16.5" x14ac:dyDescent="0.25">
      <c r="A45" s="36" t="s">
        <v>2463</v>
      </c>
      <c r="B45" s="37"/>
      <c r="C45" s="37"/>
      <c r="D45" s="37"/>
      <c r="E45" s="37"/>
      <c r="F45" s="38"/>
    </row>
    <row r="46" spans="1:6" ht="49.5" x14ac:dyDescent="0.25">
      <c r="A46" s="12" t="s">
        <v>2385</v>
      </c>
      <c r="B46" s="13" t="s">
        <v>2385</v>
      </c>
      <c r="C46" s="13" t="s">
        <v>2527</v>
      </c>
      <c r="D46" s="13">
        <v>47</v>
      </c>
      <c r="E46" s="13" t="s">
        <v>4</v>
      </c>
      <c r="F46" s="14" t="s">
        <v>4</v>
      </c>
    </row>
    <row r="47" spans="1:6" ht="33" x14ac:dyDescent="0.25">
      <c r="A47" s="12" t="s">
        <v>2434</v>
      </c>
      <c r="B47" s="13" t="s">
        <v>2385</v>
      </c>
      <c r="C47" s="13" t="s">
        <v>2514</v>
      </c>
      <c r="D47" s="13">
        <v>8</v>
      </c>
      <c r="E47" s="13" t="s">
        <v>4</v>
      </c>
      <c r="F47" s="14" t="s">
        <v>2435</v>
      </c>
    </row>
    <row r="48" spans="1:6" ht="33" x14ac:dyDescent="0.25">
      <c r="A48" s="12" t="s">
        <v>2436</v>
      </c>
      <c r="B48" s="13" t="s">
        <v>2385</v>
      </c>
      <c r="C48" s="13" t="s">
        <v>2515</v>
      </c>
      <c r="D48" s="13">
        <v>6</v>
      </c>
      <c r="E48" s="13" t="s">
        <v>4</v>
      </c>
      <c r="F48" s="14" t="s">
        <v>2435</v>
      </c>
    </row>
    <row r="49" spans="1:6" ht="33" x14ac:dyDescent="0.25">
      <c r="A49" s="12" t="s">
        <v>2437</v>
      </c>
      <c r="B49" s="13" t="s">
        <v>2385</v>
      </c>
      <c r="C49" s="13" t="s">
        <v>2516</v>
      </c>
      <c r="D49" s="13">
        <v>2</v>
      </c>
      <c r="E49" s="13" t="s">
        <v>4</v>
      </c>
      <c r="F49" s="14" t="s">
        <v>2435</v>
      </c>
    </row>
    <row r="50" spans="1:6" ht="33" x14ac:dyDescent="0.25">
      <c r="A50" s="12" t="s">
        <v>2438</v>
      </c>
      <c r="B50" s="13" t="s">
        <v>2385</v>
      </c>
      <c r="C50" s="13" t="s">
        <v>2517</v>
      </c>
      <c r="D50" s="13">
        <v>4</v>
      </c>
      <c r="E50" s="13" t="s">
        <v>4</v>
      </c>
      <c r="F50" s="14" t="s">
        <v>2435</v>
      </c>
    </row>
    <row r="51" spans="1:6" ht="33" x14ac:dyDescent="0.25">
      <c r="A51" s="12" t="s">
        <v>2439</v>
      </c>
      <c r="B51" s="13" t="s">
        <v>2385</v>
      </c>
      <c r="C51" s="13" t="s">
        <v>2518</v>
      </c>
      <c r="D51" s="13">
        <v>7</v>
      </c>
      <c r="E51" s="13" t="s">
        <v>4</v>
      </c>
      <c r="F51" s="14" t="s">
        <v>2435</v>
      </c>
    </row>
    <row r="52" spans="1:6" ht="33" x14ac:dyDescent="0.25">
      <c r="A52" s="12" t="s">
        <v>2440</v>
      </c>
      <c r="B52" s="13" t="s">
        <v>2385</v>
      </c>
      <c r="C52" s="13" t="s">
        <v>2519</v>
      </c>
      <c r="D52" s="13">
        <v>1</v>
      </c>
      <c r="E52" s="13" t="s">
        <v>4</v>
      </c>
      <c r="F52" s="14" t="s">
        <v>2435</v>
      </c>
    </row>
    <row r="53" spans="1:6" ht="33" x14ac:dyDescent="0.25">
      <c r="A53" s="12" t="s">
        <v>2441</v>
      </c>
      <c r="B53" s="13" t="s">
        <v>2385</v>
      </c>
      <c r="C53" s="13" t="s">
        <v>2520</v>
      </c>
      <c r="D53" s="13">
        <v>1</v>
      </c>
      <c r="E53" s="13" t="s">
        <v>4</v>
      </c>
      <c r="F53" s="14" t="s">
        <v>2435</v>
      </c>
    </row>
    <row r="54" spans="1:6" ht="33" x14ac:dyDescent="0.25">
      <c r="A54" s="12" t="s">
        <v>2442</v>
      </c>
      <c r="B54" s="13" t="s">
        <v>2385</v>
      </c>
      <c r="C54" s="13" t="s">
        <v>2521</v>
      </c>
      <c r="D54" s="13">
        <v>1</v>
      </c>
      <c r="E54" s="13" t="s">
        <v>4</v>
      </c>
      <c r="F54" s="14" t="s">
        <v>2435</v>
      </c>
    </row>
    <row r="55" spans="1:6" ht="33" x14ac:dyDescent="0.25">
      <c r="A55" s="12" t="s">
        <v>2443</v>
      </c>
      <c r="B55" s="13" t="s">
        <v>2385</v>
      </c>
      <c r="C55" s="13" t="s">
        <v>2522</v>
      </c>
      <c r="D55" s="13">
        <v>3</v>
      </c>
      <c r="E55" s="13" t="s">
        <v>4</v>
      </c>
      <c r="F55" s="14" t="s">
        <v>2435</v>
      </c>
    </row>
    <row r="56" spans="1:6" ht="33" x14ac:dyDescent="0.25">
      <c r="A56" s="12" t="s">
        <v>2444</v>
      </c>
      <c r="B56" s="13" t="s">
        <v>2385</v>
      </c>
      <c r="C56" s="13" t="s">
        <v>2523</v>
      </c>
      <c r="D56" s="13">
        <v>1</v>
      </c>
      <c r="E56" s="13" t="s">
        <v>4</v>
      </c>
      <c r="F56" s="14" t="s">
        <v>2445</v>
      </c>
    </row>
    <row r="57" spans="1:6" ht="33" x14ac:dyDescent="0.25">
      <c r="A57" s="12" t="s">
        <v>2446</v>
      </c>
      <c r="B57" s="13" t="s">
        <v>2385</v>
      </c>
      <c r="C57" s="13" t="s">
        <v>2524</v>
      </c>
      <c r="D57" s="13">
        <v>2</v>
      </c>
      <c r="E57" s="13" t="s">
        <v>4</v>
      </c>
      <c r="F57" s="14" t="s">
        <v>2445</v>
      </c>
    </row>
    <row r="58" spans="1:6" ht="33" x14ac:dyDescent="0.25">
      <c r="A58" s="12" t="s">
        <v>2447</v>
      </c>
      <c r="B58" s="13" t="s">
        <v>2385</v>
      </c>
      <c r="C58" s="13" t="s">
        <v>2519</v>
      </c>
      <c r="D58" s="13">
        <v>3</v>
      </c>
      <c r="E58" s="13" t="s">
        <v>4</v>
      </c>
      <c r="F58" s="14" t="s">
        <v>2445</v>
      </c>
    </row>
    <row r="59" spans="1:6" ht="33" x14ac:dyDescent="0.25">
      <c r="A59" s="12" t="s">
        <v>2448</v>
      </c>
      <c r="B59" s="13" t="s">
        <v>2385</v>
      </c>
      <c r="C59" s="13" t="s">
        <v>2517</v>
      </c>
      <c r="D59" s="13">
        <v>2</v>
      </c>
      <c r="E59" s="13" t="s">
        <v>4</v>
      </c>
      <c r="F59" s="14" t="s">
        <v>2445</v>
      </c>
    </row>
    <row r="60" spans="1:6" ht="33" x14ac:dyDescent="0.25">
      <c r="A60" s="12" t="s">
        <v>2449</v>
      </c>
      <c r="B60" s="13" t="s">
        <v>2385</v>
      </c>
      <c r="C60" s="13" t="s">
        <v>2520</v>
      </c>
      <c r="D60" s="13">
        <v>1</v>
      </c>
      <c r="E60" s="13" t="s">
        <v>4</v>
      </c>
      <c r="F60" s="14" t="s">
        <v>2445</v>
      </c>
    </row>
    <row r="61" spans="1:6" ht="33" x14ac:dyDescent="0.25">
      <c r="A61" s="12" t="s">
        <v>2450</v>
      </c>
      <c r="B61" s="13" t="s">
        <v>2385</v>
      </c>
      <c r="C61" s="13" t="s">
        <v>2514</v>
      </c>
      <c r="D61" s="13">
        <v>1</v>
      </c>
      <c r="E61" s="13" t="s">
        <v>4</v>
      </c>
      <c r="F61" s="14" t="s">
        <v>2445</v>
      </c>
    </row>
    <row r="62" spans="1:6" ht="33" x14ac:dyDescent="0.25">
      <c r="A62" s="12" t="s">
        <v>2451</v>
      </c>
      <c r="B62" s="13" t="s">
        <v>2385</v>
      </c>
      <c r="C62" s="13" t="s">
        <v>2522</v>
      </c>
      <c r="D62" s="13">
        <v>1</v>
      </c>
      <c r="E62" s="13" t="s">
        <v>4</v>
      </c>
      <c r="F62" s="14" t="s">
        <v>2445</v>
      </c>
    </row>
    <row r="63" spans="1:6" ht="33" x14ac:dyDescent="0.25">
      <c r="A63" s="12" t="s">
        <v>2452</v>
      </c>
      <c r="B63" s="13" t="s">
        <v>2385</v>
      </c>
      <c r="C63" s="13" t="s">
        <v>2517</v>
      </c>
      <c r="D63" s="13">
        <v>5</v>
      </c>
      <c r="E63" s="13" t="s">
        <v>4</v>
      </c>
      <c r="F63" s="14" t="s">
        <v>2453</v>
      </c>
    </row>
    <row r="64" spans="1:6" ht="33" x14ac:dyDescent="0.25">
      <c r="A64" s="12" t="s">
        <v>2454</v>
      </c>
      <c r="B64" s="13" t="s">
        <v>2385</v>
      </c>
      <c r="C64" s="13" t="s">
        <v>2522</v>
      </c>
      <c r="D64" s="13">
        <v>6</v>
      </c>
      <c r="E64" s="13" t="s">
        <v>4</v>
      </c>
      <c r="F64" s="14" t="s">
        <v>2453</v>
      </c>
    </row>
    <row r="65" spans="1:6" ht="33" x14ac:dyDescent="0.25">
      <c r="A65" s="12" t="s">
        <v>2455</v>
      </c>
      <c r="B65" s="13" t="s">
        <v>2385</v>
      </c>
      <c r="C65" s="13" t="s">
        <v>2520</v>
      </c>
      <c r="D65" s="13">
        <v>4</v>
      </c>
      <c r="E65" s="13" t="s">
        <v>4</v>
      </c>
      <c r="F65" s="14" t="s">
        <v>2453</v>
      </c>
    </row>
    <row r="66" spans="1:6" ht="33" x14ac:dyDescent="0.25">
      <c r="A66" s="12" t="s">
        <v>2456</v>
      </c>
      <c r="B66" s="13" t="s">
        <v>2385</v>
      </c>
      <c r="C66" s="13" t="s">
        <v>2519</v>
      </c>
      <c r="D66" s="13">
        <v>1</v>
      </c>
      <c r="E66" s="13" t="s">
        <v>4</v>
      </c>
      <c r="F66" s="14" t="s">
        <v>2453</v>
      </c>
    </row>
    <row r="67" spans="1:6" ht="33" x14ac:dyDescent="0.25">
      <c r="A67" s="12" t="s">
        <v>2457</v>
      </c>
      <c r="B67" s="13" t="s">
        <v>2385</v>
      </c>
      <c r="C67" s="13" t="s">
        <v>2524</v>
      </c>
      <c r="D67" s="13">
        <v>1</v>
      </c>
      <c r="E67" s="13" t="s">
        <v>4</v>
      </c>
      <c r="F67" s="14" t="s">
        <v>2453</v>
      </c>
    </row>
    <row r="68" spans="1:6" ht="33" x14ac:dyDescent="0.25">
      <c r="A68" s="12" t="s">
        <v>2458</v>
      </c>
      <c r="B68" s="13" t="s">
        <v>2385</v>
      </c>
      <c r="C68" s="13" t="s">
        <v>2511</v>
      </c>
      <c r="D68" s="13">
        <v>12</v>
      </c>
      <c r="E68" s="13" t="s">
        <v>4</v>
      </c>
      <c r="F68" s="14" t="s">
        <v>2435</v>
      </c>
    </row>
    <row r="69" spans="1:6" ht="33" x14ac:dyDescent="0.25">
      <c r="A69" s="12" t="s">
        <v>2459</v>
      </c>
      <c r="B69" s="13" t="s">
        <v>2385</v>
      </c>
      <c r="C69" s="13" t="s">
        <v>2560</v>
      </c>
      <c r="D69" s="13">
        <v>2</v>
      </c>
      <c r="E69" s="13" t="s">
        <v>4</v>
      </c>
      <c r="F69" s="14" t="s">
        <v>2435</v>
      </c>
    </row>
    <row r="70" spans="1:6" ht="33" x14ac:dyDescent="0.25">
      <c r="A70" s="12" t="s">
        <v>2460</v>
      </c>
      <c r="B70" s="13" t="s">
        <v>2385</v>
      </c>
      <c r="C70" s="13" t="s">
        <v>2513</v>
      </c>
      <c r="D70" s="13">
        <v>1</v>
      </c>
      <c r="E70" s="13" t="s">
        <v>4</v>
      </c>
      <c r="F70" s="14" t="s">
        <v>2435</v>
      </c>
    </row>
    <row r="71" spans="1:6" ht="33" x14ac:dyDescent="0.25">
      <c r="A71" s="12" t="s">
        <v>2461</v>
      </c>
      <c r="B71" s="13" t="s">
        <v>2385</v>
      </c>
      <c r="C71" s="13" t="s">
        <v>2512</v>
      </c>
      <c r="D71" s="13">
        <v>24</v>
      </c>
      <c r="E71" s="13" t="s">
        <v>4</v>
      </c>
      <c r="F71" s="14" t="s">
        <v>2435</v>
      </c>
    </row>
    <row r="72" spans="1:6" ht="33" x14ac:dyDescent="0.25">
      <c r="A72" s="12" t="s">
        <v>2498</v>
      </c>
      <c r="B72" s="13" t="s">
        <v>2385</v>
      </c>
      <c r="C72" s="13" t="s">
        <v>2561</v>
      </c>
      <c r="D72" s="13">
        <v>8</v>
      </c>
      <c r="E72" s="13" t="s">
        <v>4</v>
      </c>
      <c r="F72" s="14" t="s">
        <v>2435</v>
      </c>
    </row>
    <row r="73" spans="1:6" ht="16.5" x14ac:dyDescent="0.25">
      <c r="A73" s="36" t="s">
        <v>2563</v>
      </c>
      <c r="B73" s="37"/>
      <c r="C73" s="37"/>
      <c r="D73" s="37"/>
      <c r="E73" s="37"/>
      <c r="F73" s="38"/>
    </row>
    <row r="74" spans="1:6" ht="33" x14ac:dyDescent="0.25">
      <c r="A74" s="12" t="s">
        <v>2385</v>
      </c>
      <c r="B74" s="13" t="s">
        <v>2385</v>
      </c>
      <c r="C74" s="13" t="s">
        <v>2566</v>
      </c>
      <c r="D74" s="13">
        <v>475</v>
      </c>
      <c r="E74" s="13" t="s">
        <v>4</v>
      </c>
      <c r="F74" s="14" t="s">
        <v>2362</v>
      </c>
    </row>
    <row r="75" spans="1:6" ht="33" x14ac:dyDescent="0.25">
      <c r="A75" s="12" t="s">
        <v>2385</v>
      </c>
      <c r="B75" s="13" t="s">
        <v>2385</v>
      </c>
      <c r="C75" s="13" t="s">
        <v>2567</v>
      </c>
      <c r="D75" s="13">
        <v>475</v>
      </c>
      <c r="E75" s="13" t="s">
        <v>4</v>
      </c>
      <c r="F75" s="14" t="s">
        <v>2362</v>
      </c>
    </row>
    <row r="76" spans="1:6" ht="33" x14ac:dyDescent="0.25">
      <c r="A76" s="12" t="s">
        <v>2385</v>
      </c>
      <c r="B76" s="13" t="s">
        <v>2385</v>
      </c>
      <c r="C76" s="13" t="s">
        <v>2568</v>
      </c>
      <c r="D76" s="13">
        <v>475</v>
      </c>
      <c r="E76" s="13" t="s">
        <v>4</v>
      </c>
      <c r="F76" s="14" t="s">
        <v>2362</v>
      </c>
    </row>
    <row r="77" spans="1:6" ht="49.5" x14ac:dyDescent="0.25">
      <c r="A77" s="12" t="s">
        <v>2385</v>
      </c>
      <c r="B77" s="13" t="s">
        <v>2385</v>
      </c>
      <c r="C77" s="13" t="s">
        <v>2569</v>
      </c>
      <c r="D77" s="13">
        <v>475</v>
      </c>
      <c r="E77" s="13" t="s">
        <v>4</v>
      </c>
      <c r="F77" s="14" t="s">
        <v>2362</v>
      </c>
    </row>
    <row r="78" spans="1:6" ht="49.5" x14ac:dyDescent="0.25">
      <c r="A78" s="12" t="s">
        <v>2385</v>
      </c>
      <c r="B78" s="13" t="s">
        <v>2385</v>
      </c>
      <c r="C78" s="13" t="s">
        <v>2565</v>
      </c>
      <c r="D78" s="13">
        <v>9</v>
      </c>
      <c r="E78" s="13" t="s">
        <v>4</v>
      </c>
      <c r="F78" s="14" t="s">
        <v>3</v>
      </c>
    </row>
    <row r="79" spans="1:6" ht="33" x14ac:dyDescent="0.25">
      <c r="A79" s="12" t="s">
        <v>2385</v>
      </c>
      <c r="B79" s="13" t="s">
        <v>2385</v>
      </c>
      <c r="C79" s="13" t="s">
        <v>2564</v>
      </c>
      <c r="D79" s="13">
        <v>9</v>
      </c>
      <c r="E79" s="13" t="s">
        <v>4</v>
      </c>
      <c r="F79" s="14" t="s">
        <v>3</v>
      </c>
    </row>
    <row r="80" spans="1:6" ht="16.5" x14ac:dyDescent="0.25">
      <c r="A80" s="36" t="s">
        <v>2475</v>
      </c>
      <c r="B80" s="37"/>
      <c r="C80" s="37"/>
      <c r="D80" s="37"/>
      <c r="E80" s="37"/>
      <c r="F80" s="38"/>
    </row>
    <row r="81" spans="1:6" ht="49.5" x14ac:dyDescent="0.25">
      <c r="A81" s="12" t="s">
        <v>2446</v>
      </c>
      <c r="B81" s="13" t="s">
        <v>2385</v>
      </c>
      <c r="C81" s="13" t="s">
        <v>2477</v>
      </c>
      <c r="D81" s="13">
        <v>2</v>
      </c>
      <c r="E81" s="13" t="s">
        <v>4</v>
      </c>
      <c r="F81" s="14" t="s">
        <v>4</v>
      </c>
    </row>
    <row r="82" spans="1:6" ht="49.5" x14ac:dyDescent="0.25">
      <c r="A82" s="12" t="s">
        <v>2447</v>
      </c>
      <c r="B82" s="13" t="s">
        <v>2385</v>
      </c>
      <c r="C82" s="13" t="s">
        <v>2478</v>
      </c>
      <c r="D82" s="13">
        <v>3</v>
      </c>
      <c r="E82" s="13" t="s">
        <v>4</v>
      </c>
      <c r="F82" s="14" t="s">
        <v>4</v>
      </c>
    </row>
    <row r="83" spans="1:6" ht="49.5" x14ac:dyDescent="0.25">
      <c r="A83" s="12" t="s">
        <v>2448</v>
      </c>
      <c r="B83" s="13" t="s">
        <v>2385</v>
      </c>
      <c r="C83" s="13" t="s">
        <v>2479</v>
      </c>
      <c r="D83" s="13">
        <v>1</v>
      </c>
      <c r="E83" s="13" t="s">
        <v>4</v>
      </c>
      <c r="F83" s="14" t="s">
        <v>4</v>
      </c>
    </row>
    <row r="84" spans="1:6" ht="49.5" x14ac:dyDescent="0.25">
      <c r="A84" s="12" t="s">
        <v>2448</v>
      </c>
      <c r="B84" s="13" t="s">
        <v>2385</v>
      </c>
      <c r="C84" s="13" t="s">
        <v>2480</v>
      </c>
      <c r="D84" s="13">
        <v>1</v>
      </c>
      <c r="E84" s="13" t="s">
        <v>4</v>
      </c>
      <c r="F84" s="14" t="s">
        <v>4</v>
      </c>
    </row>
    <row r="85" spans="1:6" ht="49.5" x14ac:dyDescent="0.25">
      <c r="A85" s="12" t="s">
        <v>2449</v>
      </c>
      <c r="B85" s="13" t="s">
        <v>2385</v>
      </c>
      <c r="C85" s="13" t="s">
        <v>2481</v>
      </c>
      <c r="D85" s="13">
        <v>1</v>
      </c>
      <c r="E85" s="13" t="s">
        <v>4</v>
      </c>
      <c r="F85" s="14" t="s">
        <v>4</v>
      </c>
    </row>
    <row r="86" spans="1:6" ht="49.5" x14ac:dyDescent="0.25">
      <c r="A86" s="12" t="s">
        <v>2450</v>
      </c>
      <c r="B86" s="13" t="s">
        <v>2385</v>
      </c>
      <c r="C86" s="13" t="s">
        <v>2482</v>
      </c>
      <c r="D86" s="13">
        <v>1</v>
      </c>
      <c r="E86" s="13" t="s">
        <v>4</v>
      </c>
      <c r="F86" s="14" t="s">
        <v>4</v>
      </c>
    </row>
    <row r="87" spans="1:6" ht="49.5" x14ac:dyDescent="0.25">
      <c r="A87" s="12" t="s">
        <v>2444</v>
      </c>
      <c r="B87" s="13" t="s">
        <v>2385</v>
      </c>
      <c r="C87" s="13" t="s">
        <v>2483</v>
      </c>
      <c r="D87" s="13">
        <v>1</v>
      </c>
      <c r="E87" s="13" t="s">
        <v>4</v>
      </c>
      <c r="F87" s="14" t="s">
        <v>4</v>
      </c>
    </row>
    <row r="88" spans="1:6" ht="49.5" x14ac:dyDescent="0.25">
      <c r="A88" s="12" t="s">
        <v>2451</v>
      </c>
      <c r="B88" s="13" t="s">
        <v>2385</v>
      </c>
      <c r="C88" s="13" t="s">
        <v>2484</v>
      </c>
      <c r="D88" s="13">
        <v>1</v>
      </c>
      <c r="E88" s="13" t="s">
        <v>4</v>
      </c>
      <c r="F88" s="14" t="s">
        <v>4</v>
      </c>
    </row>
    <row r="89" spans="1:6" ht="16.5" x14ac:dyDescent="0.25">
      <c r="A89" s="36" t="s">
        <v>2501</v>
      </c>
      <c r="B89" s="37"/>
      <c r="C89" s="37"/>
      <c r="D89" s="37"/>
      <c r="E89" s="37"/>
      <c r="F89" s="38"/>
    </row>
    <row r="90" spans="1:6" ht="49.5" x14ac:dyDescent="0.25">
      <c r="A90" s="12" t="s">
        <v>2494</v>
      </c>
      <c r="B90" s="13" t="s">
        <v>2385</v>
      </c>
      <c r="C90" s="13" t="s">
        <v>2503</v>
      </c>
      <c r="D90" s="13">
        <v>1</v>
      </c>
      <c r="E90" s="13" t="s">
        <v>4</v>
      </c>
      <c r="F90" s="14" t="s">
        <v>4</v>
      </c>
    </row>
    <row r="91" spans="1:6" ht="49.5" x14ac:dyDescent="0.25">
      <c r="A91" s="12" t="s">
        <v>2495</v>
      </c>
      <c r="B91" s="13" t="s">
        <v>2385</v>
      </c>
      <c r="C91" s="13" t="s">
        <v>2504</v>
      </c>
      <c r="D91" s="13">
        <v>1</v>
      </c>
      <c r="E91" s="13" t="s">
        <v>4</v>
      </c>
      <c r="F91" s="14" t="s">
        <v>4</v>
      </c>
    </row>
    <row r="92" spans="1:6" ht="49.5" x14ac:dyDescent="0.25">
      <c r="A92" s="12" t="s">
        <v>2496</v>
      </c>
      <c r="B92" s="13" t="s">
        <v>2385</v>
      </c>
      <c r="C92" s="13" t="s">
        <v>2505</v>
      </c>
      <c r="D92" s="13">
        <v>11</v>
      </c>
      <c r="E92" s="13" t="s">
        <v>4</v>
      </c>
      <c r="F92" s="14" t="s">
        <v>4</v>
      </c>
    </row>
    <row r="93" spans="1:6" ht="49.5" x14ac:dyDescent="0.25">
      <c r="A93" s="12" t="s">
        <v>2497</v>
      </c>
      <c r="B93" s="13" t="s">
        <v>2385</v>
      </c>
      <c r="C93" s="13" t="s">
        <v>2506</v>
      </c>
      <c r="D93" s="13">
        <v>1</v>
      </c>
      <c r="E93" s="13" t="s">
        <v>4</v>
      </c>
      <c r="F93" s="14" t="s">
        <v>4</v>
      </c>
    </row>
    <row r="94" spans="1:6" ht="49.5" x14ac:dyDescent="0.25">
      <c r="A94" s="12" t="s">
        <v>2499</v>
      </c>
      <c r="B94" s="13" t="s">
        <v>2385</v>
      </c>
      <c r="C94" s="13" t="s">
        <v>2507</v>
      </c>
      <c r="D94" s="13">
        <v>4</v>
      </c>
      <c r="E94" s="13" t="s">
        <v>4</v>
      </c>
      <c r="F94" s="14" t="s">
        <v>4</v>
      </c>
    </row>
    <row r="95" spans="1:6" ht="50.25" thickBot="1" x14ac:dyDescent="0.3">
      <c r="A95" s="15" t="s">
        <v>2559</v>
      </c>
      <c r="B95" s="16" t="s">
        <v>2385</v>
      </c>
      <c r="C95" s="16" t="s">
        <v>2508</v>
      </c>
      <c r="D95" s="16">
        <v>1</v>
      </c>
      <c r="E95" s="16" t="s">
        <v>4</v>
      </c>
      <c r="F95" s="17" t="s">
        <v>4</v>
      </c>
    </row>
  </sheetData>
  <mergeCells count="7">
    <mergeCell ref="A2:F2"/>
    <mergeCell ref="A9:F9"/>
    <mergeCell ref="A89:F89"/>
    <mergeCell ref="A80:F80"/>
    <mergeCell ref="A25:F25"/>
    <mergeCell ref="A45:F45"/>
    <mergeCell ref="A73:F73"/>
  </mergeCells>
  <conditionalFormatting sqref="A1:F95">
    <cfRule type="containsText" dxfId="47" priority="9" stopIfTrue="1" operator="containsText" text="шт.)">
      <formula>NOT(ISERROR(SEARCH("шт.)",A1)))</formula>
    </cfRule>
    <cfRule type="containsText" dxfId="46" priority="8" stopIfTrue="1" operator="containsText" text=", на ">
      <formula>NOT(ISERROR(SEARCH(", на ",A1)))</formula>
    </cfRule>
    <cfRule type="containsText" dxfId="45" priority="7" stopIfTrue="1" operator="containsText" text=" Материалы ">
      <formula>NOT(ISERROR(SEARCH(" Материалы ",A1)))</formula>
    </cfRule>
    <cfRule type="containsText" dxfId="44" priority="6" stopIfTrue="1" operator="containsText" text=" Сборочные единицы ">
      <formula>NOT(ISERROR(SEARCH(" Сборочные единицы ",A1)))</formula>
    </cfRule>
    <cfRule type="containsText" dxfId="43" priority="5" stopIfTrue="1" operator="containsText" text=" Прокат ">
      <formula>NOT(ISERROR(SEARCH(" Прокат ",A1)))</formula>
    </cfRule>
    <cfRule type="containsText" dxfId="42" priority="4" stopIfTrue="1" operator="containsText" text=" Изделия ">
      <formula>NOT(ISERROR(SEARCH(" Изделия ",A1)))</formula>
    </cfRule>
    <cfRule type="containsText" dxfId="41" priority="3" stopIfTrue="1" operator="containsText" text="!!!">
      <formula>NOT(ISERROR(SEARCH("!!!",A1)))</formula>
    </cfRule>
    <cfRule type="containsText" dxfId="40" priority="2" stopIfTrue="1" operator="containsText" text="ИЗ ФАЙЛА">
      <formula>NOT(ISERROR(SEARCH("ИЗ ФАЙЛА",A1)))</formula>
    </cfRule>
    <cfRule type="containsText" dxfId="39" priority="1" stopIfTrue="1" operator="containsText" text="С ЛИСТА">
      <formula>NOT(ISERROR(SEARCH("С ЛИСТА",A1)))</formula>
    </cfRule>
  </conditionalFormatting>
  <pageMargins left="0" right="0" top="0" bottom="0" header="0" footer="0"/>
  <pageSetup paperSize="9" scale="26" orientation="portrait" cellComments="atEnd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0000"/>
  </sheetPr>
  <dimension ref="A1:F9"/>
  <sheetViews>
    <sheetView workbookViewId="0"/>
  </sheetViews>
  <sheetFormatPr defaultRowHeight="15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6384" width="9.140625" style="5"/>
  </cols>
  <sheetData>
    <row r="1" spans="1:6" ht="33" x14ac:dyDescent="0.25">
      <c r="A1" s="18" t="s">
        <v>2388</v>
      </c>
      <c r="B1" s="20" t="s">
        <v>2389</v>
      </c>
      <c r="C1" s="20" t="s">
        <v>2390</v>
      </c>
      <c r="D1" s="20" t="s">
        <v>2391</v>
      </c>
      <c r="E1" s="20" t="s">
        <v>2392</v>
      </c>
      <c r="F1" s="19" t="s">
        <v>2384</v>
      </c>
    </row>
    <row r="2" spans="1:6" ht="16.5" x14ac:dyDescent="0.25">
      <c r="A2" s="36" t="s">
        <v>2580</v>
      </c>
      <c r="B2" s="37"/>
      <c r="C2" s="37"/>
      <c r="D2" s="37"/>
      <c r="E2" s="37"/>
      <c r="F2" s="38"/>
    </row>
    <row r="3" spans="1:6" ht="33" x14ac:dyDescent="0.25">
      <c r="A3" s="24" t="s">
        <v>2385</v>
      </c>
      <c r="B3" s="25" t="s">
        <v>2385</v>
      </c>
      <c r="C3" s="25" t="s">
        <v>2566</v>
      </c>
      <c r="D3" s="25">
        <v>475</v>
      </c>
      <c r="E3" s="25" t="s">
        <v>4</v>
      </c>
      <c r="F3" s="26" t="s">
        <v>2362</v>
      </c>
    </row>
    <row r="4" spans="1:6" ht="33" x14ac:dyDescent="0.25">
      <c r="A4" s="24" t="s">
        <v>2385</v>
      </c>
      <c r="B4" s="25" t="s">
        <v>2385</v>
      </c>
      <c r="C4" s="25" t="s">
        <v>2567</v>
      </c>
      <c r="D4" s="25">
        <v>475</v>
      </c>
      <c r="E4" s="25" t="s">
        <v>4</v>
      </c>
      <c r="F4" s="26" t="s">
        <v>2362</v>
      </c>
    </row>
    <row r="5" spans="1:6" ht="33" x14ac:dyDescent="0.25">
      <c r="A5" s="24" t="s">
        <v>2385</v>
      </c>
      <c r="B5" s="25" t="s">
        <v>2385</v>
      </c>
      <c r="C5" s="25" t="s">
        <v>2568</v>
      </c>
      <c r="D5" s="25">
        <v>475</v>
      </c>
      <c r="E5" s="25" t="s">
        <v>4</v>
      </c>
      <c r="F5" s="26" t="s">
        <v>2362</v>
      </c>
    </row>
    <row r="6" spans="1:6" ht="49.5" x14ac:dyDescent="0.25">
      <c r="A6" s="24" t="s">
        <v>2385</v>
      </c>
      <c r="B6" s="25" t="s">
        <v>2385</v>
      </c>
      <c r="C6" s="25" t="s">
        <v>2569</v>
      </c>
      <c r="D6" s="25">
        <v>475</v>
      </c>
      <c r="E6" s="25" t="s">
        <v>4</v>
      </c>
      <c r="F6" s="26" t="s">
        <v>2362</v>
      </c>
    </row>
    <row r="7" spans="1:6" ht="49.5" x14ac:dyDescent="0.25">
      <c r="A7" s="24" t="s">
        <v>2385</v>
      </c>
      <c r="B7" s="25" t="s">
        <v>2385</v>
      </c>
      <c r="C7" s="25" t="s">
        <v>2565</v>
      </c>
      <c r="D7" s="25">
        <v>9</v>
      </c>
      <c r="E7" s="25" t="s">
        <v>4</v>
      </c>
      <c r="F7" s="26" t="s">
        <v>3</v>
      </c>
    </row>
    <row r="8" spans="1:6" ht="33" x14ac:dyDescent="0.25">
      <c r="A8" s="24" t="s">
        <v>2385</v>
      </c>
      <c r="B8" s="25" t="s">
        <v>2385</v>
      </c>
      <c r="C8" s="25" t="s">
        <v>2564</v>
      </c>
      <c r="D8" s="25">
        <v>9</v>
      </c>
      <c r="E8" s="25" t="s">
        <v>4</v>
      </c>
      <c r="F8" s="26" t="s">
        <v>3</v>
      </c>
    </row>
    <row r="9" spans="1:6" ht="33.75" thickBot="1" x14ac:dyDescent="0.3">
      <c r="A9" s="15" t="s">
        <v>2385</v>
      </c>
      <c r="B9" s="16" t="s">
        <v>2385</v>
      </c>
      <c r="C9" s="16" t="s">
        <v>2564</v>
      </c>
      <c r="D9" s="16">
        <v>9</v>
      </c>
      <c r="E9" s="16" t="s">
        <v>4</v>
      </c>
      <c r="F9" s="17" t="s">
        <v>3</v>
      </c>
    </row>
  </sheetData>
  <mergeCells count="1">
    <mergeCell ref="A2:F2"/>
  </mergeCells>
  <conditionalFormatting sqref="A1:F9">
    <cfRule type="containsText" dxfId="15" priority="9" stopIfTrue="1" operator="containsText" text="шт.)">
      <formula>NOT(ISERROR(SEARCH("шт.)",A1)))</formula>
    </cfRule>
    <cfRule type="containsText" dxfId="14" priority="8" stopIfTrue="1" operator="containsText" text=", на ">
      <formula>NOT(ISERROR(SEARCH(", на ",A1)))</formula>
    </cfRule>
    <cfRule type="containsText" dxfId="13" priority="7" stopIfTrue="1" operator="containsText" text=" Материалы ">
      <formula>NOT(ISERROR(SEARCH(" Материалы ",A1)))</formula>
    </cfRule>
    <cfRule type="containsText" dxfId="12" priority="6" stopIfTrue="1" operator="containsText" text=" Сборочные единицы ">
      <formula>NOT(ISERROR(SEARCH(" Сборочные единицы ",A1)))</formula>
    </cfRule>
    <cfRule type="containsText" dxfId="11" priority="5" stopIfTrue="1" operator="containsText" text=" Прокат ">
      <formula>NOT(ISERROR(SEARCH(" Прокат ",A1)))</formula>
    </cfRule>
    <cfRule type="containsText" dxfId="10" priority="4" stopIfTrue="1" operator="containsText" text=" Изделия ">
      <formula>NOT(ISERROR(SEARCH(" Изделия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M1" workbookViewId="0">
      <selection activeCell="AH30" sqref="AH30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7</vt:i4>
      </vt:variant>
    </vt:vector>
  </HeadingPairs>
  <TitlesOfParts>
    <vt:vector size="26" baseType="lpstr">
      <vt:lpstr>|Содержание|</vt:lpstr>
      <vt:lpstr>|Лог|</vt:lpstr>
      <vt:lpstr>Сводная_спец</vt:lpstr>
      <vt:lpstr>Демпстены_спец</vt:lpstr>
      <vt:lpstr>Демполы_спец</vt:lpstr>
      <vt:lpstr>Демоб_спец</vt:lpstr>
      <vt:lpstr>Устрпроём_спец</vt:lpstr>
      <vt:lpstr>Закпроём_спец</vt:lpstr>
      <vt:lpstr>Демпроём_спец</vt:lpstr>
      <vt:lpstr>Демкров_спец</vt:lpstr>
      <vt:lpstr>Сводная_поз</vt:lpstr>
      <vt:lpstr>архикад_демполы</vt:lpstr>
      <vt:lpstr>архикад_демстены</vt:lpstr>
      <vt:lpstr>архикад_демпроём</vt:lpstr>
      <vt:lpstr>архикад_закпроём</vt:lpstr>
      <vt:lpstr>архикад_устрпроём</vt:lpstr>
      <vt:lpstr>Сводная_об</vt:lpstr>
      <vt:lpstr>Демкров_об</vt:lpstr>
      <vt:lpstr>!System</vt:lpstr>
      <vt:lpstr>архикад_демпроём!АР_спец_АБ_Ведомость_демонтажа_оконных_и_дверных_заполнений_1</vt:lpstr>
      <vt:lpstr>архикад_закпроём!АР_спец_АБ_Ведомость_закладываемых_проёмов</vt:lpstr>
      <vt:lpstr>архикад_устрпроём!АР_спец_АБ_Ведомость_устраиваемых_проёмов</vt:lpstr>
      <vt:lpstr>архикад_демполы!АР_спец_Ведомость_демонтажа_полов</vt:lpstr>
      <vt:lpstr>архикад_демстены!АР_спец_Ведомость_демонтажа_стен</vt:lpstr>
      <vt:lpstr>'|Содержание|'!Область_печати</vt:lpstr>
      <vt:lpstr>Сводная_об!Область_печати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2018-09-05T10:01:06Z</cp:lastPrinted>
  <dcterms:created xsi:type="dcterms:W3CDTF">2014-07-19T16:57:30Z</dcterms:created>
  <dcterms:modified xsi:type="dcterms:W3CDTF">2018-09-10T11:19:26Z</dcterms:modified>
</cp:coreProperties>
</file>