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2515" yWindow="0" windowWidth="16200" windowHeight="16575" tabRatio="850" firstSheet="6" activeTab="13"/>
  </bookViews>
  <sheets>
    <sheet name="|Содержание|" sheetId="654" r:id="rId1"/>
    <sheet name="|Лог|" sheetId="644" r:id="rId2"/>
    <sheet name="Подпорная_спец" sheetId="651" r:id="rId3"/>
    <sheet name="Ведомость отделки АБК_правила" sheetId="635" r:id="rId4"/>
    <sheet name="Ведомость отделки АБК_вед" sheetId="637" r:id="rId5"/>
    <sheet name="Входные площадки_об" sheetId="643" r:id="rId6"/>
    <sheet name="Входные площадки_гр" sheetId="646" r:id="rId7"/>
    <sheet name="Входные площадки_кж" sheetId="647" r:id="rId8"/>
    <sheet name="Входные площадки_грс" sheetId="648" r:id="rId9"/>
    <sheet name="Усиление в сейсмике_кж" sheetId="649" r:id="rId10"/>
    <sheet name="Усиление в сейсмике_об" sheetId="650" r:id="rId11"/>
    <sheet name="Подпорная_об" sheetId="652" r:id="rId12"/>
    <sheet name="Подпорная_кж" sheetId="653" r:id="rId13"/>
    <sheet name="КОС Калининград КМ_км" sheetId="655" r:id="rId14"/>
    <sheet name="Входные площадки" sheetId="645" r:id="rId15"/>
    <sheet name="!System" sheetId="413" state="hidden" r:id="rId16"/>
  </sheets>
  <functionGroups builtInGroupCount="18"/>
  <definedNames>
    <definedName name="_xlnm.Print_Area" localSheetId="4">'Ведомость отделки АБК_вед'!$A$1:$L$40</definedName>
    <definedName name="_xlnm.Print_Area" localSheetId="13">'КОС Калининград КМ_км'!$A$1:$I$52</definedName>
  </definedNames>
  <calcPr calcId="162913"/>
</workbook>
</file>

<file path=xl/calcChain.xml><?xml version="1.0" encoding="utf-8"?>
<calcChain xmlns="http://schemas.openxmlformats.org/spreadsheetml/2006/main">
  <c r="A4" i="651" l="1"/>
  <c r="A3" i="651"/>
  <c r="A25" i="651" l="1"/>
  <c r="A26" i="651" s="1"/>
  <c r="B24" i="651"/>
  <c r="C3" i="635" l="1"/>
  <c r="C4" i="635"/>
  <c r="C5" i="635"/>
  <c r="C6" i="635"/>
  <c r="C7" i="635"/>
  <c r="C8" i="635"/>
  <c r="C9" i="635"/>
  <c r="C10" i="635"/>
  <c r="C11" i="635"/>
  <c r="C12" i="635"/>
  <c r="C13" i="635"/>
  <c r="C14" i="635"/>
  <c r="C2" i="635"/>
</calcChain>
</file>

<file path=xl/sharedStrings.xml><?xml version="1.0" encoding="utf-8"?>
<sst xmlns="http://schemas.openxmlformats.org/spreadsheetml/2006/main" count="3714" uniqueCount="2678">
  <si>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</si>
  <si>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</si>
  <si>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</si>
  <si>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</si>
  <si>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</si>
  <si>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</si>
  <si>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</si>
  <si>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</si>
  <si>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</si>
  <si>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</si>
  <si>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</si>
  <si>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</si>
  <si>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</si>
  <si>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</si>
  <si>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</si>
  <si>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</si>
  <si>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</si>
  <si>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</si>
  <si>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</si>
  <si>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</si>
  <si>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</si>
  <si>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</si>
  <si>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</si>
  <si>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</si>
  <si>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</si>
  <si>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</si>
  <si>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</si>
  <si>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</si>
  <si>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</si>
  <si>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</si>
  <si>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</si>
  <si>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</si>
  <si>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</si>
  <si>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</si>
  <si>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</si>
  <si>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</si>
  <si>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</si>
  <si>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</si>
  <si>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</si>
  <si>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</si>
  <si>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</si>
  <si>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</si>
  <si>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</si>
  <si>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</si>
  <si>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</si>
  <si>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</si>
  <si>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</si>
  <si>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</si>
  <si>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</si>
  <si>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</si>
  <si>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</si>
  <si>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</si>
  <si>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</si>
  <si>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</si>
  <si>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</si>
  <si>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</si>
  <si>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</si>
  <si>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</si>
  <si>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</si>
  <si>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</si>
  <si>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</si>
  <si>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</si>
  <si>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</si>
  <si>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</si>
  <si>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</si>
  <si>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</si>
  <si>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</si>
  <si>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</si>
  <si>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</si>
  <si>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</si>
  <si>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</si>
  <si>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</si>
  <si>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</si>
  <si>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</si>
  <si>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</si>
  <si>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</si>
  <si>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</si>
  <si>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</si>
  <si>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</si>
  <si>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</si>
  <si>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</si>
  <si>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</si>
  <si>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</si>
  <si>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</si>
  <si>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</si>
  <si>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</si>
  <si>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</si>
  <si>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</si>
  <si>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</si>
  <si>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</si>
  <si>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</si>
  <si>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</si>
  <si>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</si>
  <si>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</si>
  <si>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</si>
  <si>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</si>
  <si>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</si>
  <si>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</si>
  <si>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</si>
  <si>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</si>
  <si>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</si>
  <si>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</si>
  <si>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</si>
  <si>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</si>
  <si>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</si>
  <si>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</si>
  <si>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</si>
  <si>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</si>
  <si>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</si>
  <si>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</si>
  <si>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</si>
  <si>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</si>
  <si>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</si>
  <si>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</si>
  <si>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</si>
  <si>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</si>
  <si>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</si>
  <si>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</si>
  <si>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</si>
  <si>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</si>
  <si>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</si>
  <si>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</si>
  <si>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</si>
  <si>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</si>
  <si>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</si>
  <si>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</si>
  <si>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</si>
  <si>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</si>
  <si>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</si>
  <si>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</si>
  <si>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</si>
  <si>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</si>
  <si>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</si>
  <si>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</si>
  <si>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</si>
  <si>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</si>
  <si>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</si>
  <si>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</si>
  <si>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</si>
  <si>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</si>
  <si>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</si>
  <si>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</si>
  <si>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</si>
  <si>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</si>
  <si>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</si>
  <si>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</si>
  <si>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</si>
  <si>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</si>
  <si>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</si>
  <si>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</si>
  <si>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</si>
  <si>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</si>
  <si>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</si>
  <si>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</si>
  <si>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</si>
  <si>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</si>
  <si>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</si>
  <si>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</si>
  <si>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</si>
  <si>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</si>
  <si>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</si>
  <si>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</si>
  <si>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</si>
  <si>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</si>
  <si>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</si>
  <si>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</si>
  <si>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</si>
  <si>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</si>
  <si>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</si>
  <si>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</si>
  <si>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</si>
  <si>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</si>
  <si>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</si>
  <si>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</si>
  <si>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</si>
  <si>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</si>
  <si>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</si>
  <si>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</si>
  <si>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</si>
  <si>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</si>
  <si>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</si>
  <si>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</si>
  <si>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</si>
  <si>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</si>
  <si>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</si>
  <si>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</si>
  <si>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</si>
  <si>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</si>
  <si>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</si>
  <si>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</si>
  <si>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</si>
  <si>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</si>
  <si>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</si>
  <si>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</si>
  <si>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</si>
  <si>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</si>
  <si>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</si>
  <si>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</si>
  <si>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</si>
  <si>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</si>
  <si>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</si>
  <si>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</si>
  <si>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</si>
  <si>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</si>
  <si>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</si>
  <si>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</si>
  <si>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</si>
  <si>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</si>
  <si>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</si>
  <si>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</si>
  <si>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</si>
  <si>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</si>
  <si>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</si>
  <si>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</si>
  <si>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</si>
  <si>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</si>
  <si>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</si>
  <si>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</si>
  <si>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</si>
  <si>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</si>
  <si>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</si>
  <si>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</si>
  <si>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</si>
  <si>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</si>
  <si>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</si>
  <si>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</si>
  <si>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</si>
  <si>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</si>
  <si>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</si>
  <si>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</si>
  <si>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</si>
  <si>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</si>
  <si>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</si>
  <si>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</si>
  <si>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</si>
  <si>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</si>
  <si>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</si>
  <si>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</si>
  <si>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</si>
  <si>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</si>
  <si>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</si>
  <si>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</si>
  <si>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</si>
  <si>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</si>
  <si>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</si>
  <si>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</si>
  <si>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</si>
  <si>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</si>
  <si>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</si>
  <si>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</si>
  <si>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</si>
  <si>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</si>
  <si>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</si>
  <si>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</si>
  <si>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</si>
  <si>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</si>
  <si>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</si>
  <si>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</si>
  <si>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</si>
  <si>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</si>
  <si>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</si>
  <si>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</si>
  <si>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</si>
  <si>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</si>
  <si>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</si>
  <si>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</si>
  <si>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</si>
  <si>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</si>
  <si>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</si>
  <si>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</si>
  <si>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</si>
  <si>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</si>
  <si>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</si>
  <si>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</si>
  <si>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</si>
  <si>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</si>
  <si>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</si>
  <si>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</si>
  <si>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</si>
  <si>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</si>
  <si>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</si>
  <si>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</si>
  <si>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</si>
  <si>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</si>
  <si>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</si>
  <si>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</si>
  <si>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</si>
  <si>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</si>
  <si>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</si>
  <si>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</si>
  <si>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</si>
  <si>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</si>
  <si>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</si>
  <si>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</si>
  <si>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</si>
  <si>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</si>
  <si>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</si>
  <si>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</si>
  <si>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</si>
  <si>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</si>
  <si>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</si>
  <si>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</si>
  <si>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</si>
  <si>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</si>
  <si>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</si>
  <si>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</si>
  <si>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</si>
  <si>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</si>
  <si>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</si>
  <si>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</si>
  <si>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</si>
  <si>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</si>
  <si>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</si>
  <si>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</si>
  <si>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</si>
  <si>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</si>
  <si>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</si>
  <si>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</si>
  <si>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</si>
  <si>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</si>
  <si>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</si>
  <si>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</si>
  <si>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</si>
  <si>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</si>
  <si>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</si>
  <si>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</si>
  <si>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</si>
  <si>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</si>
  <si>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</si>
  <si>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</si>
  <si>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</si>
  <si>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</si>
  <si>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</si>
  <si>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</si>
  <si>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</si>
  <si>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</si>
  <si>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</si>
  <si>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</si>
  <si>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</si>
  <si>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</si>
  <si>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</si>
  <si>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</si>
  <si>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</si>
  <si>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</si>
  <si>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</si>
  <si>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</si>
  <si>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</si>
  <si>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</si>
  <si>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</si>
  <si>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</si>
  <si>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</si>
  <si>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</si>
  <si>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</si>
  <si>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</si>
  <si>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</si>
  <si>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</si>
  <si>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</si>
  <si>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</si>
  <si>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</si>
  <si>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</si>
  <si>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</si>
  <si>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</si>
  <si>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</si>
  <si>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</si>
  <si>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</si>
  <si>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</si>
  <si>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</si>
  <si>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</si>
  <si>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</si>
  <si>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</si>
  <si>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</si>
  <si>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</si>
  <si>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</si>
  <si>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</si>
  <si>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</si>
  <si>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</si>
  <si>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</si>
  <si>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</si>
  <si>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</si>
  <si>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</si>
  <si>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</si>
  <si>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</si>
  <si>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</si>
  <si>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</si>
  <si>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</si>
  <si>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</si>
  <si>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</si>
  <si>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</si>
  <si>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</si>
  <si>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</si>
  <si>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</si>
  <si>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</si>
  <si>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</si>
  <si>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</si>
  <si>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</si>
  <si>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</si>
  <si>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</si>
  <si>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</si>
  <si>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</si>
  <si>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</si>
  <si>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</si>
  <si>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</si>
  <si>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</si>
  <si>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</si>
  <si>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</si>
  <si>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</si>
  <si>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</si>
  <si>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</si>
  <si>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</si>
  <si>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</si>
  <si>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</si>
  <si>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</si>
  <si>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</si>
  <si>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</si>
  <si>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</si>
  <si>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</si>
  <si>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</si>
  <si>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</si>
  <si>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</si>
  <si>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</si>
  <si>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</si>
  <si>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</si>
  <si>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</si>
  <si>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</si>
  <si>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</si>
  <si>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</si>
  <si>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</si>
  <si>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</si>
  <si>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</si>
  <si>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</si>
  <si>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</si>
  <si>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</si>
  <si>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</si>
  <si>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</si>
  <si>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</si>
  <si>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</si>
  <si>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</si>
  <si>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</si>
  <si>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</si>
  <si>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</si>
  <si>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</si>
  <si>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</si>
  <si>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</si>
  <si>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</si>
  <si>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</si>
  <si>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</si>
  <si>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</si>
  <si>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</si>
  <si>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</si>
  <si>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</si>
  <si>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</si>
  <si>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</si>
  <si>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</si>
  <si>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</si>
  <si>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</si>
  <si>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</si>
  <si>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</si>
  <si>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</si>
  <si>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</si>
  <si>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</si>
  <si>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</si>
  <si>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</si>
  <si>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</si>
  <si>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</si>
  <si>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</si>
  <si>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</si>
  <si>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</si>
  <si>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</si>
  <si>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</si>
  <si>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</si>
  <si>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</si>
  <si>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</si>
  <si>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</si>
  <si>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</si>
  <si>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</si>
  <si>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</si>
  <si>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</si>
  <si>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</si>
  <si>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</si>
  <si>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</si>
  <si>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</si>
  <si>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</si>
  <si>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</si>
  <si>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</si>
  <si>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</si>
  <si>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</si>
  <si>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</si>
  <si>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</si>
  <si>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</si>
  <si>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</si>
  <si>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</si>
  <si>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</si>
  <si>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</si>
  <si>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</si>
  <si>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</si>
  <si>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</si>
  <si>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</si>
  <si>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</si>
  <si>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</si>
  <si>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</si>
  <si>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</si>
  <si>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</si>
  <si>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</si>
  <si>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</si>
  <si>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</si>
  <si>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</si>
  <si>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</si>
  <si>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</si>
  <si>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</si>
  <si>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</si>
  <si>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</si>
  <si>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</si>
  <si>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</si>
  <si>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</si>
  <si>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</si>
  <si>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</si>
  <si>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</si>
  <si>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</si>
  <si>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</si>
  <si>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</si>
  <si>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</si>
  <si>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</si>
  <si>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</si>
  <si>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</si>
  <si>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</si>
  <si>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</si>
  <si>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</si>
  <si>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</si>
  <si>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</si>
  <si>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</si>
  <si>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</si>
  <si>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</si>
  <si>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</si>
  <si>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</si>
  <si>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</si>
  <si>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</si>
  <si>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</si>
  <si>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</si>
  <si>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</si>
  <si>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</si>
  <si>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</si>
  <si>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</si>
  <si>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</si>
  <si>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</si>
  <si>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</si>
  <si>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</si>
  <si>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</si>
  <si>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</si>
  <si>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</si>
  <si>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</si>
  <si>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</si>
  <si>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</si>
  <si>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</si>
  <si>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</si>
  <si>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</si>
  <si>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</si>
  <si>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</si>
  <si>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</si>
  <si>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</si>
  <si>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</si>
  <si>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</si>
  <si>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</si>
  <si>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</si>
  <si>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</si>
  <si>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</si>
  <si>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</si>
  <si>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</si>
  <si>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</si>
  <si>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</si>
  <si>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</si>
  <si>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</si>
  <si>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</si>
  <si>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</si>
  <si>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</si>
  <si>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</si>
  <si>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</si>
  <si>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</si>
  <si>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</si>
  <si>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</si>
  <si>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</si>
  <si>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</si>
  <si>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</si>
  <si>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</si>
  <si>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</si>
  <si>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</si>
  <si>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</si>
  <si>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</si>
  <si>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</si>
  <si>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</si>
  <si>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</si>
  <si>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</si>
  <si>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</si>
  <si>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</si>
  <si>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</si>
  <si>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</si>
  <si>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</si>
  <si>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</si>
  <si>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</si>
  <si>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</si>
  <si>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</si>
  <si>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</si>
  <si>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</si>
  <si>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</si>
  <si>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</si>
  <si>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</si>
  <si>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</si>
  <si>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</si>
  <si>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</si>
  <si>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</si>
  <si>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</si>
  <si>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</si>
  <si>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</si>
  <si>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</si>
  <si>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</si>
  <si>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</si>
  <si>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</si>
  <si>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</si>
  <si>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</si>
  <si>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</si>
  <si>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</si>
  <si>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</si>
  <si>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</si>
  <si>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</si>
  <si>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</si>
  <si>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</si>
  <si>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</si>
  <si>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</si>
  <si>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</si>
  <si>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</si>
  <si>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</si>
  <si>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</si>
  <si>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</si>
  <si>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</si>
  <si>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</si>
  <si>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</si>
  <si>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</si>
  <si>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</si>
  <si>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</si>
  <si>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</si>
  <si>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</si>
  <si>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</si>
  <si>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</si>
  <si>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</si>
  <si>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</si>
  <si>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</si>
  <si>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</si>
  <si>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</si>
  <si>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</si>
  <si>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</si>
  <si>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</si>
  <si>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</si>
  <si>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</si>
  <si>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</si>
  <si>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</si>
  <si>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</si>
  <si>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</si>
  <si>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</si>
  <si>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</si>
  <si>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</si>
  <si>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</si>
  <si>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</si>
  <si>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</si>
  <si>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</si>
  <si>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</si>
  <si>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</si>
  <si>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</si>
  <si>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</si>
  <si>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</si>
  <si>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</si>
  <si>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</si>
  <si>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</si>
  <si>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</si>
  <si>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</si>
  <si>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</si>
  <si>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</si>
  <si>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</si>
  <si>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</si>
  <si>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</si>
  <si>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</si>
  <si>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</si>
  <si>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</si>
  <si>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</si>
  <si>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</si>
  <si>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</si>
  <si>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</si>
  <si>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</si>
  <si>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</si>
  <si>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</si>
  <si>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</si>
  <si>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</si>
  <si>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</si>
  <si>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</si>
  <si>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</si>
  <si>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</si>
  <si>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</si>
  <si>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</si>
  <si>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</si>
  <si>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</si>
  <si>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</si>
  <si>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</si>
  <si>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</si>
  <si>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</si>
  <si>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</si>
  <si>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</si>
  <si>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</si>
  <si>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</si>
  <si>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</si>
  <si>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</si>
  <si>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</si>
  <si>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</si>
  <si>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</si>
  <si>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</si>
  <si>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</si>
  <si>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</si>
  <si>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</si>
  <si>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</si>
  <si>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</si>
  <si>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</si>
  <si>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</si>
  <si>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</si>
  <si>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</si>
  <si>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</si>
  <si>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</si>
  <si>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</si>
  <si>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</si>
  <si>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</si>
  <si>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</si>
  <si>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</si>
  <si>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</si>
  <si>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</si>
  <si>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</si>
  <si>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</si>
  <si>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</si>
  <si>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</si>
  <si>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</si>
  <si>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</si>
  <si>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</si>
  <si>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</si>
  <si>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</si>
  <si>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</si>
  <si>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</si>
  <si>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</si>
  <si>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</si>
  <si>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</si>
  <si>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</si>
  <si>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</si>
  <si>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</si>
  <si>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</si>
  <si>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</si>
  <si>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</si>
  <si>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</si>
  <si>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</si>
  <si>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</si>
  <si>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</si>
  <si>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</si>
  <si>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</si>
  <si>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</si>
  <si>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</si>
  <si>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</si>
  <si>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</si>
  <si>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</si>
  <si>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</si>
  <si>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</si>
  <si>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</si>
  <si>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</si>
  <si>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</si>
  <si>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</si>
  <si>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</si>
  <si>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</si>
  <si>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</si>
  <si>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</si>
  <si>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</si>
  <si>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</si>
  <si>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</si>
  <si>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</si>
  <si>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</si>
  <si>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</si>
  <si>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</si>
  <si>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</si>
  <si>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</si>
  <si>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</si>
  <si>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</si>
  <si>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</si>
  <si>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</si>
  <si>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</si>
  <si>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</si>
  <si>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</si>
  <si>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</si>
  <si>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</si>
  <si>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</si>
  <si>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</si>
  <si>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</si>
  <si>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</si>
  <si>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</si>
  <si>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</si>
  <si>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</si>
  <si>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</si>
  <si>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</si>
  <si>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</si>
  <si>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</si>
  <si>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</si>
  <si>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</si>
  <si>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</si>
  <si>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</si>
  <si>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</si>
  <si>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</si>
  <si>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</si>
  <si>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</si>
  <si>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</si>
  <si>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</si>
  <si>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</si>
  <si>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</si>
  <si>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</si>
  <si>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</si>
  <si>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</si>
  <si>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</si>
  <si>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</si>
  <si>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</si>
  <si>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</si>
  <si>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</si>
  <si>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</si>
  <si>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</si>
  <si>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</si>
  <si>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</si>
  <si>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</si>
  <si>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</si>
  <si>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</si>
  <si>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</si>
  <si>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</si>
  <si>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</si>
  <si>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</si>
  <si>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</si>
  <si>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</si>
  <si>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</si>
  <si>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</si>
  <si>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</si>
  <si>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</si>
  <si>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</si>
  <si>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</si>
  <si>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</si>
  <si>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</si>
  <si>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</si>
  <si>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</si>
  <si>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</si>
  <si>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</si>
  <si>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</si>
  <si>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</si>
  <si>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</si>
  <si>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</si>
  <si>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</si>
  <si>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</si>
  <si>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</si>
  <si>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</si>
  <si>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</si>
  <si>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</si>
  <si>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</si>
  <si>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</si>
  <si>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</si>
  <si>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</si>
  <si>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</si>
  <si>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</si>
  <si>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</si>
  <si>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</si>
  <si>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</si>
  <si>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</si>
  <si>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</si>
  <si>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</si>
  <si>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</si>
  <si>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</si>
  <si>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</si>
  <si>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</si>
  <si>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</si>
  <si>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</si>
  <si>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</si>
  <si>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</si>
  <si>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</si>
  <si>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</si>
  <si>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</si>
  <si>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</si>
  <si>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</si>
  <si>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</si>
  <si>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</si>
  <si>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</si>
  <si>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</si>
  <si>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</si>
  <si>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</si>
  <si>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</si>
  <si>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</si>
  <si>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</si>
  <si>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</si>
  <si>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</si>
  <si>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</si>
  <si>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</si>
  <si>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</si>
  <si>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</si>
  <si>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</si>
  <si>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</si>
  <si>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</si>
  <si>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</si>
  <si>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</si>
  <si>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</si>
  <si>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</si>
  <si>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</si>
  <si>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</si>
  <si>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</si>
  <si>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</si>
  <si>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</si>
  <si>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</si>
  <si>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</si>
  <si>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</si>
  <si>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</si>
  <si>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</si>
  <si>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</si>
  <si>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</si>
  <si>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</si>
  <si>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</si>
  <si>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</si>
  <si>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</si>
  <si>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</si>
  <si>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</si>
  <si>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</si>
  <si>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</si>
  <si>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</si>
  <si>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</si>
  <si>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</si>
  <si>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</si>
  <si>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</si>
  <si>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</si>
  <si>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</si>
  <si>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</si>
  <si>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</si>
  <si>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</si>
  <si>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</si>
  <si>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</si>
  <si>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</si>
  <si>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</si>
  <si>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</si>
  <si>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</si>
  <si>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</si>
  <si>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</si>
  <si>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</si>
  <si>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</si>
  <si>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</si>
  <si>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</si>
  <si>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</si>
  <si>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</si>
  <si>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</si>
  <si>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</si>
  <si>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</si>
  <si>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</si>
  <si>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</si>
  <si>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</si>
  <si>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</si>
  <si>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</si>
  <si>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</si>
  <si>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</si>
  <si>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</si>
  <si>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</si>
  <si>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</si>
  <si>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</si>
  <si>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</si>
  <si>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</si>
  <si>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</si>
  <si>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</si>
  <si>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</si>
  <si>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</si>
  <si>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</si>
  <si>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</si>
  <si>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</si>
  <si>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</si>
  <si>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</si>
  <si>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</si>
  <si>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</si>
  <si>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</si>
  <si>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</si>
  <si>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</si>
  <si>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</si>
  <si>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</si>
  <si>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</si>
  <si>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</si>
  <si>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</si>
  <si>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</si>
  <si>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</si>
  <si>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</si>
  <si>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</si>
  <si>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</si>
  <si>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</si>
  <si>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</si>
  <si>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</si>
  <si>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</si>
  <si>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</si>
  <si>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</si>
  <si>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</si>
  <si>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</si>
  <si>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</si>
  <si>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</si>
  <si>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</si>
  <si>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</si>
  <si>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</si>
  <si>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</si>
  <si>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</si>
  <si>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</si>
  <si>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</si>
  <si>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</si>
  <si>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</si>
  <si>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</si>
  <si>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</si>
  <si>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</si>
  <si>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</si>
  <si>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</si>
  <si>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</si>
  <si>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</si>
  <si>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</si>
  <si>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</si>
  <si>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</si>
  <si>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</si>
  <si>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</si>
  <si>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</si>
  <si>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</si>
  <si>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</si>
  <si>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</si>
  <si>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</si>
  <si>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</si>
  <si>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</si>
  <si>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</si>
  <si>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</si>
  <si>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</si>
  <si>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</si>
  <si>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</si>
  <si>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</si>
  <si>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</si>
  <si>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</si>
  <si>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</si>
  <si>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</si>
  <si>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</si>
  <si>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</si>
  <si>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</si>
  <si>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</si>
  <si>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</si>
  <si>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</si>
  <si>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</si>
  <si>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</si>
  <si>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</si>
  <si>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</si>
  <si>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</si>
  <si>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</si>
  <si>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</si>
  <si>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</si>
  <si>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</si>
  <si>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</si>
  <si>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</si>
  <si>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</si>
  <si>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</si>
  <si>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</si>
  <si>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</si>
  <si>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</si>
  <si>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</si>
  <si>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</si>
  <si>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</si>
  <si>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</si>
  <si>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</si>
  <si>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</si>
  <si>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</si>
  <si>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</si>
  <si>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</si>
  <si>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</si>
  <si>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</si>
  <si>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</si>
  <si>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</si>
  <si>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</si>
  <si>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</si>
  <si>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</si>
  <si>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</si>
  <si>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</si>
  <si>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</si>
  <si>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</si>
  <si>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</si>
  <si>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</si>
  <si>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</si>
  <si>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</si>
  <si>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</si>
  <si>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</si>
  <si>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</si>
  <si>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</si>
  <si>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</si>
  <si>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</si>
  <si>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</si>
  <si>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</si>
  <si>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</si>
  <si>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</si>
  <si>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</si>
  <si>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</si>
  <si>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</si>
  <si>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</si>
  <si>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</si>
  <si>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</si>
  <si>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</si>
  <si>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</si>
  <si>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</si>
  <si>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</si>
  <si>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</si>
  <si>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</si>
  <si>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</si>
  <si>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</si>
  <si>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</si>
  <si>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</si>
  <si>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</si>
  <si>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</si>
  <si>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</si>
  <si>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</si>
  <si>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</si>
  <si>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</si>
  <si>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</si>
  <si>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</si>
  <si>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</si>
  <si>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</si>
  <si>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</si>
  <si>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</si>
  <si>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</si>
  <si>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</si>
  <si>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</si>
  <si>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</si>
  <si>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</si>
  <si>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</si>
  <si>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</si>
  <si>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</si>
  <si>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</si>
  <si>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</si>
  <si>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</si>
  <si>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</si>
  <si>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</si>
  <si>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</si>
  <si>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</si>
  <si>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</si>
  <si>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</si>
  <si>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</si>
  <si>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</si>
  <si>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</si>
  <si>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</si>
  <si>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</si>
  <si>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</si>
  <si>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</si>
  <si>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</si>
  <si>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</si>
  <si>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</si>
  <si>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</si>
  <si>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</si>
  <si>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</si>
  <si>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</si>
  <si>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</si>
  <si>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</si>
  <si>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</si>
  <si>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</si>
  <si>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</si>
  <si>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</si>
  <si>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</si>
  <si>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</si>
  <si>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</si>
  <si>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</si>
  <si>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</si>
  <si>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</si>
  <si>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</si>
  <si>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</si>
  <si>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</si>
  <si>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</si>
  <si>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</si>
  <si>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</si>
  <si>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</si>
  <si>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</si>
  <si>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</si>
  <si>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</si>
  <si>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</si>
  <si>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</si>
  <si>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</si>
  <si>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</si>
  <si>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</si>
  <si>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</si>
  <si>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</si>
  <si>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</si>
  <si>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</si>
  <si>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</si>
  <si>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</si>
  <si>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</si>
  <si>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</si>
  <si>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</si>
  <si>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</si>
  <si>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</si>
  <si>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</si>
  <si>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</si>
  <si>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</si>
  <si>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</si>
  <si>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</si>
  <si>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</si>
  <si>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</si>
  <si>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</si>
  <si>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</si>
  <si>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</si>
  <si>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</si>
  <si>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</si>
  <si>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</si>
  <si>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</si>
  <si>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</si>
  <si>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</si>
  <si>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</si>
  <si>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</si>
  <si>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</si>
  <si>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</si>
  <si>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</si>
  <si>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</si>
  <si>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</si>
  <si>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</si>
  <si>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</si>
  <si>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</si>
  <si>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</si>
  <si>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</si>
  <si>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</si>
  <si>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</si>
  <si>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</si>
  <si>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</si>
  <si>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</si>
  <si>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</si>
  <si>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</si>
  <si>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</si>
  <si>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</si>
  <si>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</si>
  <si>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</si>
  <si>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</si>
  <si>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</si>
  <si>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</si>
  <si>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</si>
  <si>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</si>
  <si>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</si>
  <si>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</si>
  <si>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</si>
  <si>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</si>
  <si>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</si>
  <si>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</si>
  <si>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</si>
  <si>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</si>
  <si>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</si>
  <si>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</si>
  <si>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</si>
  <si>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</si>
  <si>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</si>
  <si>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</si>
  <si>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</si>
  <si>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</si>
  <si>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</si>
  <si>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</si>
  <si>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</si>
  <si>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</si>
  <si>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</si>
  <si>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</si>
  <si>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</si>
  <si>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</si>
  <si>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</si>
  <si>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</si>
  <si>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</si>
  <si>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</si>
  <si>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</si>
  <si>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</si>
  <si>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</si>
  <si>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</si>
  <si>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</si>
  <si>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</si>
  <si>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</si>
  <si>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</si>
  <si>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</si>
  <si>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</si>
  <si>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</si>
  <si>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</si>
  <si>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</si>
  <si>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</si>
  <si>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</si>
  <si>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</si>
  <si>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</si>
  <si>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</si>
  <si>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</si>
  <si>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</si>
  <si>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</si>
  <si>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</si>
  <si>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</si>
  <si>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</si>
  <si>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</si>
  <si>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</si>
  <si>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</si>
  <si>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</si>
  <si>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</si>
  <si>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</si>
  <si>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</si>
  <si>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</si>
  <si>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</si>
  <si>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</si>
  <si>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</si>
  <si>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</si>
  <si>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</si>
  <si>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</si>
  <si>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</si>
  <si>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</si>
  <si>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</si>
  <si>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</si>
  <si>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</si>
  <si>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</si>
  <si>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</si>
  <si>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</si>
  <si>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</si>
  <si>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</si>
  <si>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</si>
  <si>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</si>
  <si>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</si>
  <si>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</si>
  <si>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</si>
  <si>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</si>
  <si>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</si>
  <si>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</si>
  <si>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</si>
  <si>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</si>
  <si>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</si>
  <si>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</si>
  <si>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</si>
  <si>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</si>
  <si>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</si>
  <si>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</si>
  <si>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</si>
  <si>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</si>
  <si>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</si>
  <si>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</si>
  <si>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</si>
  <si>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</si>
  <si>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</si>
  <si>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</si>
  <si>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</si>
  <si>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</si>
  <si>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</si>
  <si>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</si>
  <si>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</si>
  <si>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</si>
  <si>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</si>
  <si>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</si>
  <si>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</si>
  <si>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</si>
  <si>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</si>
  <si>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</si>
  <si>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</si>
  <si>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</si>
  <si>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</si>
  <si>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</si>
  <si>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</si>
  <si>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</si>
  <si>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</si>
  <si>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</si>
  <si>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</si>
  <si>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</si>
  <si>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</si>
  <si>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</si>
  <si>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</si>
  <si>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</si>
  <si>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</si>
  <si>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</si>
  <si>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</si>
  <si>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</si>
  <si>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</si>
  <si>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</si>
  <si>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</si>
  <si>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</si>
  <si>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</si>
  <si>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</si>
  <si>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</si>
  <si>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</si>
  <si>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</si>
  <si>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</si>
  <si>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</si>
  <si>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</si>
  <si>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</si>
  <si>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</si>
  <si>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</si>
  <si>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</si>
  <si>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</si>
  <si>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</si>
  <si>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</si>
  <si>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</si>
  <si>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</si>
  <si>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</si>
  <si>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</si>
  <si>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</si>
  <si>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</si>
  <si>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</si>
  <si>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</si>
  <si>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</si>
  <si>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</si>
  <si>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</si>
  <si>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</si>
  <si>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</si>
  <si>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</si>
  <si>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</si>
  <si>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</si>
  <si>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</si>
  <si>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</si>
  <si>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</si>
  <si>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</si>
  <si>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</si>
  <si>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</si>
  <si>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</si>
  <si>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</si>
  <si>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</si>
  <si>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</si>
  <si>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</si>
  <si>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</si>
  <si>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</si>
  <si>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</si>
  <si>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</si>
  <si>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</si>
  <si>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</si>
  <si>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</si>
  <si>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</si>
  <si>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</si>
  <si>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</si>
  <si>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</si>
  <si>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</si>
  <si>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</si>
  <si>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</si>
  <si>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</si>
  <si>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</si>
  <si>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</si>
  <si>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</si>
  <si>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</si>
  <si>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</si>
  <si>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</si>
  <si>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</si>
  <si>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</si>
  <si>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</si>
  <si>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</si>
  <si>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</si>
  <si>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</si>
  <si>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</si>
  <si>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</si>
  <si>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</si>
  <si>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</si>
  <si>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</si>
  <si>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</si>
  <si>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</si>
  <si>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</si>
  <si>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</si>
  <si>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</si>
  <si>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</si>
  <si>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</si>
  <si>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</si>
  <si>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</si>
  <si>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</si>
  <si>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</si>
  <si>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</si>
  <si>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</si>
  <si>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</si>
  <si>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</si>
  <si>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</si>
  <si>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</si>
  <si>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</si>
  <si>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</si>
  <si>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</si>
  <si>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</si>
  <si>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</si>
  <si>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</si>
  <si>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</si>
  <si>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</si>
  <si>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</si>
  <si>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</si>
  <si>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</si>
  <si>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</si>
  <si>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</si>
  <si>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</si>
  <si>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</si>
  <si>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</si>
  <si>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</si>
  <si>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</si>
  <si>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</si>
  <si>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</si>
  <si>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</si>
  <si>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</si>
  <si>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</si>
  <si>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</si>
  <si>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</si>
  <si>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</si>
  <si>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</si>
  <si>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</si>
  <si>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</si>
  <si>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</si>
  <si>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</si>
  <si>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</si>
  <si>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</si>
  <si>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</si>
  <si>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</si>
  <si>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</si>
  <si>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</si>
  <si>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</si>
  <si>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</si>
  <si>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</si>
  <si>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</si>
  <si>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</si>
  <si>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</si>
  <si>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</si>
  <si>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</si>
  <si>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</si>
  <si>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</si>
  <si>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</si>
  <si>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</si>
  <si>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</si>
  <si>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</si>
  <si>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</si>
  <si>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</si>
  <si>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</si>
  <si>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</si>
  <si>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</si>
  <si>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</si>
  <si>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</si>
  <si>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</si>
  <si>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</si>
  <si>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</si>
  <si>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</si>
  <si>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</si>
  <si>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</si>
  <si>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</si>
  <si>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</si>
  <si>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</si>
  <si>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</si>
  <si>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</si>
  <si>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</si>
  <si>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</si>
  <si>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</si>
  <si>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</si>
  <si>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</si>
  <si>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</si>
  <si>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</si>
  <si>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</si>
  <si>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</si>
  <si>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</si>
  <si>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</si>
  <si>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</si>
  <si>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</si>
  <si>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</si>
  <si>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</si>
  <si>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</si>
  <si>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</si>
  <si>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</si>
  <si>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</si>
  <si>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</si>
  <si>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</si>
  <si>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</si>
  <si>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</si>
  <si>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</si>
  <si>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</si>
  <si>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</si>
  <si>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</si>
  <si>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</si>
  <si>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</si>
  <si>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</si>
  <si>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</si>
  <si>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</si>
  <si>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</si>
  <si>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</si>
  <si>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</si>
  <si>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</si>
  <si>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</si>
  <si>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</si>
  <si>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</si>
  <si>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</si>
  <si>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</si>
  <si>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</si>
  <si>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</si>
  <si>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</si>
  <si>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</si>
  <si>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</si>
  <si>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</si>
  <si>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</si>
  <si>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</si>
  <si>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</si>
  <si>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</si>
  <si>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</si>
  <si>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</si>
  <si>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</si>
  <si>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</si>
  <si>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</si>
  <si>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</si>
  <si>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</si>
  <si>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</si>
  <si>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</si>
  <si>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</si>
  <si>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</si>
  <si>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</si>
  <si>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</si>
  <si>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</si>
  <si>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</si>
  <si>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</si>
  <si>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</si>
  <si>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</si>
  <si>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</si>
  <si>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</si>
  <si>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</si>
  <si>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</si>
  <si>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</si>
  <si>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</si>
  <si>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</si>
  <si>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</si>
  <si>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</si>
  <si>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</si>
  <si>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</si>
  <si>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</si>
  <si>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</si>
  <si>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</si>
  <si>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</si>
  <si>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</si>
  <si>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</si>
  <si>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</si>
  <si>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</si>
  <si>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</si>
  <si>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</si>
  <si>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</si>
  <si>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</si>
  <si>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</si>
  <si>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</si>
  <si>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</si>
  <si>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</si>
  <si>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</si>
  <si>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</si>
  <si>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</si>
  <si>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</si>
  <si>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</si>
  <si>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</si>
  <si>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</si>
  <si>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</si>
  <si>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</si>
  <si>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</si>
  <si>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</si>
  <si>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</si>
  <si>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</si>
  <si>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</si>
  <si>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</si>
  <si>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</si>
  <si>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</si>
  <si>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</si>
  <si>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</si>
  <si>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</si>
  <si>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</si>
  <si>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</si>
  <si>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</si>
  <si>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</si>
  <si>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</si>
  <si>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</si>
  <si>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</si>
  <si>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</si>
  <si>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</si>
  <si>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</si>
  <si>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</si>
  <si>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</si>
  <si>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</si>
  <si>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</si>
  <si>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</si>
  <si>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</si>
  <si>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</si>
  <si>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</si>
  <si>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</si>
  <si>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</si>
  <si>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</si>
  <si>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</si>
  <si>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</si>
  <si>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</si>
  <si>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</si>
  <si>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</si>
  <si>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</si>
  <si>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</si>
  <si>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</si>
  <si>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</si>
  <si>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</si>
  <si>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</si>
  <si>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</si>
  <si>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</si>
  <si>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</si>
  <si>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</si>
  <si>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</si>
  <si>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</si>
  <si>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</si>
  <si>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</si>
  <si>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</si>
  <si>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</si>
  <si>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</si>
  <si>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</si>
  <si>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</si>
  <si>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</si>
  <si>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</si>
  <si>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</si>
  <si>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</si>
  <si>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</si>
  <si>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</si>
  <si>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</si>
  <si>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</si>
  <si>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</si>
  <si>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</si>
  <si>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</si>
  <si>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</si>
  <si>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</si>
  <si>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</si>
  <si>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</si>
  <si>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</si>
  <si>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</si>
  <si>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</si>
  <si>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</si>
  <si>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</si>
  <si>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</si>
  <si>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</si>
  <si>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</si>
  <si>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</si>
  <si>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</si>
  <si>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</si>
  <si>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</si>
  <si>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</si>
  <si>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</si>
  <si>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</si>
  <si>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</si>
  <si>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</si>
  <si>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</si>
  <si>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</si>
  <si>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</si>
  <si>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</si>
  <si>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</si>
  <si>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</si>
  <si>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</si>
  <si>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</si>
  <si>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</si>
  <si>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</si>
  <si>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</si>
  <si>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</si>
  <si>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</si>
  <si>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</si>
  <si>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</si>
  <si>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</si>
  <si>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</si>
  <si>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</si>
  <si>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</si>
  <si>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</si>
  <si>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</si>
  <si>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</si>
  <si>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</si>
  <si>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</si>
  <si>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</si>
  <si>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</si>
  <si>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</si>
  <si>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</si>
  <si>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</si>
  <si>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</si>
  <si>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</si>
  <si>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</si>
  <si>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</si>
  <si>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</si>
  <si>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</si>
  <si>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</si>
  <si>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</si>
  <si>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</si>
  <si>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</si>
  <si>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</si>
  <si>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</si>
  <si>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</si>
  <si>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</si>
  <si>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</si>
  <si>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</si>
  <si>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</si>
  <si>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</si>
  <si>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</si>
  <si>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</si>
  <si>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</si>
  <si>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</si>
  <si>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</si>
  <si>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</si>
  <si>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</si>
  <si>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</si>
  <si>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</si>
  <si>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</si>
  <si>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</si>
  <si>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</si>
  <si>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</si>
  <si>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</si>
  <si>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</si>
  <si>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</si>
  <si>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</si>
  <si>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</si>
  <si>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</si>
  <si>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</si>
  <si>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</si>
  <si>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</si>
  <si>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</si>
  <si>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</si>
  <si>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</si>
  <si>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</si>
  <si>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</si>
  <si>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</si>
  <si>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</si>
  <si>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</si>
  <si>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</si>
  <si>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</si>
  <si>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</si>
  <si>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</si>
  <si>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</si>
  <si>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</si>
  <si>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</si>
  <si>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</si>
  <si>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</si>
  <si>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</si>
  <si>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</si>
  <si>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</si>
  <si>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</si>
  <si>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</si>
  <si>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</si>
  <si>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</si>
  <si>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</si>
  <si>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</si>
  <si>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</si>
  <si>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</si>
  <si>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</si>
  <si>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</si>
  <si>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</si>
  <si>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</si>
  <si>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</si>
  <si>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</si>
  <si>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</si>
  <si>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</si>
  <si>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</si>
  <si>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</si>
  <si>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</si>
  <si>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</si>
  <si>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</si>
  <si>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</si>
  <si>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</si>
  <si>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</si>
  <si>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</si>
  <si>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</si>
  <si>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</si>
  <si>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</si>
  <si>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</si>
  <si>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</si>
  <si>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</si>
  <si>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</si>
  <si>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</si>
  <si>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</si>
  <si>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</si>
  <si>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</si>
  <si>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</si>
  <si>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</si>
  <si>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</si>
  <si>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</si>
  <si>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</si>
  <si>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</si>
  <si>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</si>
  <si>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</si>
  <si>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</si>
  <si>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</si>
  <si>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</si>
  <si>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</si>
  <si>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</si>
  <si>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</si>
  <si>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</si>
  <si>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</si>
  <si>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</si>
  <si>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</si>
  <si>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</si>
  <si>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</si>
  <si>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</si>
  <si>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</si>
  <si>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</si>
  <si>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</si>
  <si>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</si>
  <si>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</si>
  <si>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</si>
  <si>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</si>
  <si>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</si>
  <si>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</si>
  <si>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</si>
  <si>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</si>
  <si>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</si>
  <si>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</si>
  <si>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</si>
  <si>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</si>
  <si>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</si>
  <si>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</si>
  <si>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</si>
  <si>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</si>
  <si>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</si>
  <si>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</si>
  <si>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</si>
  <si>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</si>
  <si>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</si>
  <si>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</si>
  <si>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</si>
  <si>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</si>
  <si>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</si>
  <si>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</si>
  <si>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</si>
  <si>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</si>
  <si>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</si>
  <si>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</si>
  <si>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</si>
  <si>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</si>
  <si>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</si>
  <si>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</si>
  <si>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</si>
  <si>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</si>
  <si>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</si>
  <si>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</si>
  <si>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</si>
  <si>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</si>
  <si>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</si>
  <si>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</si>
  <si>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</si>
  <si>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</si>
  <si>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</si>
  <si>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</si>
  <si>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</si>
  <si>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</si>
  <si>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</si>
  <si>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</si>
  <si>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</si>
  <si>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</si>
  <si>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</si>
  <si>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</si>
  <si>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</si>
  <si>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</si>
  <si>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</si>
  <si>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</si>
  <si>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</si>
  <si>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</si>
  <si>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</si>
  <si>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</si>
  <si>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</si>
  <si>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</si>
  <si>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</si>
  <si>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</si>
  <si>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</si>
  <si>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</si>
  <si>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</si>
  <si>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</si>
  <si>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</si>
  <si>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</si>
  <si>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</si>
  <si>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</si>
  <si>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</si>
  <si>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</si>
  <si>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</si>
  <si>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</si>
  <si>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</si>
  <si>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</si>
  <si>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</si>
  <si>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</si>
  <si>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</si>
  <si>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</si>
  <si>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</si>
  <si>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</si>
  <si>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</si>
  <si>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</si>
  <si>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</si>
  <si>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</si>
  <si>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</si>
  <si>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</si>
  <si>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</si>
  <si>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</si>
  <si>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</si>
  <si>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</si>
  <si>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</si>
  <si>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</si>
  <si>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</si>
  <si>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</si>
  <si>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</si>
  <si>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</si>
  <si>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</si>
  <si>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</si>
  <si>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</si>
  <si>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</si>
  <si>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</si>
  <si>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</si>
  <si>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</si>
  <si>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</si>
  <si>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</si>
  <si>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</si>
  <si>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</si>
  <si>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</si>
  <si>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</si>
  <si>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</si>
  <si>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</si>
  <si>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</si>
  <si>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</si>
  <si>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</si>
  <si>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</si>
  <si>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</si>
  <si>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</si>
  <si>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</si>
  <si>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</si>
  <si>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</si>
  <si>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</si>
  <si>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</si>
  <si>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</si>
  <si>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</si>
  <si>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</si>
  <si>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</si>
  <si>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</si>
  <si>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</si>
  <si>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</si>
  <si>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</si>
  <si>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</si>
  <si>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</si>
  <si>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</si>
  <si>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</si>
  <si>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</si>
  <si>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</si>
  <si>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</si>
  <si>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</si>
  <si>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</si>
  <si>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</si>
  <si>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</si>
  <si>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</si>
  <si>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</si>
  <si>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</si>
  <si>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</si>
  <si>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</si>
  <si>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</si>
  <si>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</si>
  <si>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</si>
  <si>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</si>
  <si>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</si>
  <si>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</si>
  <si>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</si>
  <si>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</si>
  <si>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</si>
  <si>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</si>
  <si>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</si>
  <si>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</si>
  <si>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</si>
  <si>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</si>
  <si>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</si>
  <si>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</si>
  <si>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</si>
  <si>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</si>
  <si>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</si>
  <si>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</si>
  <si>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</si>
  <si>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</si>
  <si>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</si>
  <si>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</si>
  <si>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</si>
  <si>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</si>
  <si>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</si>
  <si>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</si>
  <si>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</si>
  <si>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</si>
  <si>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</si>
  <si>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</si>
  <si>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</si>
  <si>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</si>
  <si>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</si>
  <si>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</si>
  <si>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</si>
  <si>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</si>
  <si>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</si>
  <si>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</si>
  <si>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</si>
  <si>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</si>
  <si>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</si>
  <si>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</si>
  <si>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</si>
  <si>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</si>
  <si>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</si>
  <si>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</si>
  <si>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</si>
  <si>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</si>
  <si>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</si>
  <si>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</si>
  <si>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</si>
  <si>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</si>
  <si>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</si>
  <si>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</si>
  <si>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</si>
  <si>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</si>
  <si>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</si>
  <si>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</si>
  <si>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</si>
  <si>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</si>
  <si>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</si>
  <si>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</si>
  <si>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</si>
  <si>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</si>
  <si>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</si>
  <si>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</si>
  <si>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</si>
  <si>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</si>
  <si>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</si>
  <si>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</si>
  <si>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</si>
  <si>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</si>
  <si>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</si>
  <si>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</si>
  <si>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</si>
  <si>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</si>
  <si>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</si>
  <si>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</si>
  <si>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</si>
  <si>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</si>
  <si>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</si>
  <si>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</si>
  <si>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</si>
  <si>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</si>
  <si>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</si>
  <si>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</si>
  <si>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</si>
  <si>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</si>
  <si>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</si>
  <si>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</si>
  <si>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</si>
  <si>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</si>
  <si>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</si>
  <si>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</si>
  <si>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</si>
  <si>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</si>
  <si>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</si>
  <si>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</si>
  <si>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</si>
  <si>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</si>
  <si>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</si>
  <si>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</si>
  <si>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</si>
  <si>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</si>
  <si>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</si>
  <si>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</si>
  <si>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</si>
  <si>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</si>
  <si>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</si>
  <si>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</si>
  <si>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</si>
  <si>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</si>
  <si>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</si>
  <si>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</si>
  <si>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</si>
  <si>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</si>
  <si>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</si>
  <si>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</si>
  <si>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</si>
  <si>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</si>
  <si>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</si>
  <si>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</si>
  <si>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</si>
  <si>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</si>
  <si>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</si>
  <si>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</si>
  <si>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</si>
  <si>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</si>
  <si>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</si>
  <si>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</si>
  <si>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</si>
  <si>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</si>
  <si>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</si>
  <si>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</si>
  <si>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</si>
  <si>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</si>
  <si>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</si>
  <si>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</si>
  <si>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</si>
  <si>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</si>
  <si>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</si>
  <si>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</si>
  <si>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</si>
  <si>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</si>
  <si>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</si>
  <si>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</si>
  <si>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</si>
  <si>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</si>
  <si>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</si>
  <si>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</si>
  <si>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</si>
  <si>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</si>
  <si>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</si>
  <si>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</si>
  <si>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</si>
  <si>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</si>
  <si>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</si>
  <si>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</si>
  <si>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</si>
  <si>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</si>
  <si>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</si>
  <si>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</si>
  <si>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</si>
  <si>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</si>
  <si>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</si>
  <si>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</si>
  <si>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</si>
  <si>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</si>
  <si>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</si>
  <si>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</si>
  <si>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</si>
  <si>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</si>
  <si>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</si>
  <si>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</si>
  <si>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</si>
  <si>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</si>
  <si>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</si>
  <si>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</si>
  <si>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</si>
  <si>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</si>
  <si>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</si>
  <si>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</si>
  <si>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</si>
  <si>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</si>
  <si>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</si>
  <si>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</si>
  <si>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</si>
  <si>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</si>
  <si>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</si>
  <si>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</si>
  <si>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</si>
  <si>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</si>
  <si>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</si>
  <si>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</si>
  <si>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</si>
  <si>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</si>
  <si>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</si>
  <si>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</si>
  <si>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</si>
  <si>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</si>
  <si>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</si>
  <si>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</si>
  <si>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</si>
  <si>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</si>
  <si>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</si>
  <si>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</si>
  <si>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</si>
  <si>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</si>
  <si>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</si>
  <si>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</si>
  <si>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</si>
  <si>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</si>
  <si>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</si>
  <si>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</si>
  <si>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</si>
  <si>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</si>
  <si>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</si>
  <si>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</si>
  <si>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</si>
  <si>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</si>
  <si>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</si>
  <si>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</si>
  <si>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</si>
  <si>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</si>
  <si>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</si>
  <si>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</si>
  <si>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</si>
  <si>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</si>
  <si>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</si>
  <si>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</si>
  <si>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</si>
  <si>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</si>
  <si>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</si>
  <si>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</si>
  <si>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</si>
  <si>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</si>
  <si>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</si>
  <si>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</si>
  <si>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</si>
  <si>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</si>
  <si>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</si>
  <si>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</si>
  <si>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</si>
  <si>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</si>
  <si>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</si>
  <si>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</si>
  <si>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</si>
  <si>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</si>
  <si>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</si>
  <si>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</si>
  <si>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</si>
  <si>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</si>
  <si>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</si>
  <si>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</si>
  <si>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</si>
  <si>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</si>
  <si>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</si>
  <si>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</si>
  <si>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</si>
  <si>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</si>
  <si>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</si>
  <si>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</si>
  <si>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</si>
  <si>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</si>
  <si>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</si>
  <si>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</si>
  <si>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</si>
  <si>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</si>
  <si>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</si>
  <si>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</si>
  <si>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</si>
  <si>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</si>
  <si>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</si>
  <si>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</si>
  <si>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</si>
  <si>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</si>
  <si>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</si>
  <si>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</si>
  <si>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</si>
  <si>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</si>
  <si>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</si>
  <si>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</si>
  <si>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</si>
  <si>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</si>
  <si>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</si>
  <si>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</si>
  <si>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</si>
  <si>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</si>
  <si>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</si>
  <si>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</si>
  <si>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</si>
  <si>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</si>
  <si>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</si>
  <si>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</si>
  <si>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</si>
  <si>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</si>
  <si>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</si>
  <si>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</si>
  <si>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</si>
  <si>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</si>
  <si>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</si>
  <si>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</si>
  <si>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</si>
  <si>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</si>
  <si>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</si>
  <si>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</si>
  <si>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</si>
  <si>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</si>
  <si>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</si>
  <si>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</si>
  <si>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</si>
  <si>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</si>
  <si>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</si>
  <si>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</si>
  <si>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</si>
  <si>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</si>
  <si>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</si>
  <si>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</si>
  <si>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</si>
  <si>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</si>
  <si>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</si>
  <si>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</si>
  <si>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</si>
  <si>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</si>
  <si>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</si>
  <si>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</si>
  <si>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</si>
  <si>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</si>
  <si>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</si>
  <si>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</si>
  <si>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</si>
  <si>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</si>
  <si>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</si>
  <si>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</si>
  <si>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</si>
  <si>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</si>
  <si>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</si>
  <si>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</si>
  <si>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</si>
  <si>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</si>
  <si>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</si>
  <si>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</si>
  <si>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</si>
  <si>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</si>
  <si>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</si>
  <si>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</si>
  <si>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</si>
  <si>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</si>
  <si>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Примечание</t>
  </si>
  <si>
    <t>Тип</t>
  </si>
  <si>
    <t>Потолок</t>
  </si>
  <si>
    <t xml:space="preserve"> </t>
  </si>
  <si>
    <t>|Содержание|</t>
  </si>
  <si>
    <t>!System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</si>
  <si>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</si>
  <si>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</si>
  <si>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</si>
  <si>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</si>
  <si>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</si>
  <si>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П1</t>
  </si>
  <si>
    <t>Кирпич 510</t>
  </si>
  <si>
    <t>Стены наружные кирпич.АР</t>
  </si>
  <si>
    <t>Кирпич 380 штукатурка с 2х сторон</t>
  </si>
  <si>
    <t>Стены внутренние кирпич.АР</t>
  </si>
  <si>
    <t>Кирпич 120 штукатурка с 2х сторон</t>
  </si>
  <si>
    <t>Перегородки кирпич.АР</t>
  </si>
  <si>
    <t>Кирпич 120 существующий</t>
  </si>
  <si>
    <t>ГКЛ - обшивка по каркасу С623 55 мм</t>
  </si>
  <si>
    <t>Перегородки ГКЛ.АР</t>
  </si>
  <si>
    <t>Колонна АБК</t>
  </si>
  <si>
    <t>Колонны.КЖ</t>
  </si>
  <si>
    <t>Кирпич 250 штукатурка с 2х сторон</t>
  </si>
  <si>
    <t>ГКЛВ - перегородка C112 125 мм</t>
  </si>
  <si>
    <t>Колонна Промка 2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</si>
  <si>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</si>
  <si>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</si>
  <si>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</si>
  <si>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</si>
  <si>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</si>
  <si>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</si>
  <si>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</si>
  <si>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Окраска негорючей краской класса КМ0. НГ. моющейся. матовой</t>
  </si>
  <si>
    <t>Окраска краской ВД-КЧ-183 (ГОСТ 28196-89)</t>
  </si>
  <si>
    <t>Улучшенная окраска краской ВД-КЧ-183 (ГОСТ 28196-89)</t>
  </si>
  <si>
    <t>Улучшенная окраска краской ВД-ВА-224 (ГОСТ 28196-89)</t>
  </si>
  <si>
    <t>Облицовка керам. плиткой</t>
  </si>
  <si>
    <t>Общяя площадь отделки, кв.м.</t>
  </si>
  <si>
    <t>Потолки</t>
  </si>
  <si>
    <t>Стены(за вычетом панелей)</t>
  </si>
  <si>
    <t>Общяя площадь поверхности, кв.м.</t>
  </si>
  <si>
    <t>Шпатлёвка ж/б плит</t>
  </si>
  <si>
    <t>Окраска краской Вд-ва-224 (ГОСТ 28196-89)</t>
  </si>
  <si>
    <t>Ведомость отделки АБК_вед</t>
  </si>
  <si>
    <t>Номера помещений</t>
  </si>
  <si>
    <t>ПВО</t>
  </si>
  <si>
    <t>5, 16, 18, 22, 108, 112, 114, 116, 117, 119, 204</t>
  </si>
  <si>
    <t>ПО</t>
  </si>
  <si>
    <t>9, 10, 104, 105</t>
  </si>
  <si>
    <t>Lперим=68,2п.м.</t>
  </si>
  <si>
    <t>П</t>
  </si>
  <si>
    <t>12, 13, 14, 15, 17, 19, 20, 21, 109, 110, 111, 113, 115, 118, 120, 121, 122, 123, 124, 125, 126, 205, 206, 207, 208</t>
  </si>
  <si>
    <t>УПО</t>
  </si>
  <si>
    <t>4, 6, 7, 8, 11, 103, 106, 107, 209, 210, 211, 212</t>
  </si>
  <si>
    <t>Lперим=295,4п.м.</t>
  </si>
  <si>
    <t>ЭО</t>
  </si>
  <si>
    <t>1, 2, 3, 23, 24, 100, 101, 102, 201, 202, 203</t>
  </si>
  <si>
    <t>Lперим=414,3п.м.</t>
  </si>
  <si>
    <t>Потолок: Окраска краской Вд-ва-224 (ГОСТ 28196-89)</t>
  </si>
  <si>
    <t>Потолок: Шпатлёвка ж/б плит</t>
  </si>
  <si>
    <t>Потолок: Окраска краской ВД-КЧ-183 (ГОСТ 28196-89)</t>
  </si>
  <si>
    <t>Потолок: Окраска негорючей краской класса КМ0. НГ. моющейся. матовой</t>
  </si>
  <si>
    <t>Поз.</t>
  </si>
  <si>
    <t>Обозначение</t>
  </si>
  <si>
    <t>Наименование</t>
  </si>
  <si>
    <t>Кол-во</t>
  </si>
  <si>
    <t>Масса ед., кг.</t>
  </si>
  <si>
    <t>Стены, на все</t>
  </si>
  <si>
    <t>ГОСТ Р 52544—2006</t>
  </si>
  <si>
    <t>⌀6 A500C L= п.м.</t>
  </si>
  <si>
    <t xml:space="preserve"> 57.94 кг.</t>
  </si>
  <si>
    <t>2*</t>
  </si>
  <si>
    <t>ГОСТ 5781-82*</t>
  </si>
  <si>
    <t>⌀6 A-I(A240) L=660мм.</t>
  </si>
  <si>
    <t xml:space="preserve"> 11.85 кг.</t>
  </si>
  <si>
    <t>ГОСТ 530-2012</t>
  </si>
  <si>
    <t>Устройство стен  t=510мм. из кирпича</t>
  </si>
  <si>
    <t>Штукатурка ц/п раствором М100 t=30мм.</t>
  </si>
  <si>
    <t>МД-1</t>
  </si>
  <si>
    <t>Деталь МД-1</t>
  </si>
  <si>
    <t xml:space="preserve"> 23.04 кг.</t>
  </si>
  <si>
    <t>МД-2(51)</t>
  </si>
  <si>
    <t>Деталь МД-2(51)</t>
  </si>
  <si>
    <t xml:space="preserve"> 6.48 кг.</t>
  </si>
  <si>
    <t>Сг-51</t>
  </si>
  <si>
    <t>Сетка кладочная Сг-51</t>
  </si>
  <si>
    <t xml:space="preserve"> 68.7 кг.</t>
  </si>
  <si>
    <t>Марка
изделия.</t>
  </si>
  <si>
    <t>Поз.
дет.</t>
  </si>
  <si>
    <t>Кол-во*</t>
  </si>
  <si>
    <t>Масса, кг.</t>
  </si>
  <si>
    <t>Масса изделий, кг.</t>
  </si>
  <si>
    <t xml:space="preserve">                                                            * расход на все изделия</t>
  </si>
  <si>
    <t>Марка элемента</t>
  </si>
  <si>
    <t>Изделия арматурные</t>
  </si>
  <si>
    <t>Всего</t>
  </si>
  <si>
    <t>Арматура класса</t>
  </si>
  <si>
    <t>Прокат</t>
  </si>
  <si>
    <t>С235
ГОСТ 27772-88</t>
  </si>
  <si>
    <t>ГОСТ 8727-80*</t>
  </si>
  <si>
    <t>ГОСТ 19903-74</t>
  </si>
  <si>
    <t>ГОСТ 19771-93</t>
  </si>
  <si>
    <t>⌀6</t>
  </si>
  <si>
    <t>⌀4</t>
  </si>
  <si>
    <t>Ведомость отделки АБК_правила</t>
  </si>
  <si>
    <t>Входная площадка Вп1, на все</t>
  </si>
  <si>
    <t>⌀5 A500C L= п.м.</t>
  </si>
  <si>
    <t xml:space="preserve"> 29.65 кг.</t>
  </si>
  <si>
    <t>BASF</t>
  </si>
  <si>
    <t>Mastertop 450 5кг/кв.м.</t>
  </si>
  <si>
    <t>Mastertop C713 0.1л/кв.м.</t>
  </si>
  <si>
    <t>ГОСТ 7473-2012</t>
  </si>
  <si>
    <t>Бетон B15 F150</t>
  </si>
  <si>
    <t>Пандус Пн1, на все</t>
  </si>
  <si>
    <t>⌀8 A500C L= п.м.</t>
  </si>
  <si>
    <t xml:space="preserve"> 182.49 кг.</t>
  </si>
  <si>
    <t>Пандус Пн2, на все</t>
  </si>
  <si>
    <t xml:space="preserve"> 208.88 кг.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</si>
  <si>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</si>
  <si>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</si>
  <si>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</si>
  <si>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</si>
  <si>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</si>
  <si>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</si>
  <si>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</si>
  <si>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</si>
  <si>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</si>
  <si>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</si>
  <si>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</si>
  <si>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</si>
  <si>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</si>
  <si>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</si>
  <si>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Входные площадки</t>
  </si>
  <si>
    <t>Вп1</t>
  </si>
  <si>
    <t>данный лист</t>
  </si>
  <si>
    <t>Входная площадка Вп1</t>
  </si>
  <si>
    <t>Пн1</t>
  </si>
  <si>
    <t>Пандус Пн1</t>
  </si>
  <si>
    <t>Пн2</t>
  </si>
  <si>
    <t>Пандус Пн2</t>
  </si>
  <si>
    <t>Вп1,
на все</t>
  </si>
  <si>
    <t xml:space="preserve"> 28.8825 кг.</t>
  </si>
  <si>
    <t>Mastertop 450 5кг/кв.м. по BASF, кг.</t>
  </si>
  <si>
    <t>Mastertop C713 0.1л/кв.м. по BASF, л.</t>
  </si>
  <si>
    <t>Бетон B15 F150 по ГОСТ 7473-2012, куб.м.</t>
  </si>
  <si>
    <t>Пн1,
на все</t>
  </si>
  <si>
    <t xml:space="preserve"> 184.8 кг.</t>
  </si>
  <si>
    <t>Пн2,
на все</t>
  </si>
  <si>
    <t xml:space="preserve"> 211.52 кг.</t>
  </si>
  <si>
    <t>⌀5</t>
  </si>
  <si>
    <t>⌀8</t>
  </si>
  <si>
    <t>Вп1, на все</t>
  </si>
  <si>
    <t>Пн1, на все</t>
  </si>
  <si>
    <t>Пн2, на все</t>
  </si>
  <si>
    <t>Итого</t>
  </si>
  <si>
    <t>Кол-во на все</t>
  </si>
  <si>
    <t xml:space="preserve"> 391.37 кг.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</si>
  <si>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</si>
  <si>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</si>
  <si>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</si>
  <si>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</si>
  <si>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</si>
  <si>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</si>
  <si>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</si>
  <si>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</si>
  <si>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</si>
  <si>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</si>
  <si>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</si>
  <si>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</si>
  <si>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</si>
  <si>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</si>
  <si>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</si>
  <si>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</si>
  <si>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</si>
  <si>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</si>
  <si>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</si>
  <si>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</si>
  <si>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Подпорная_спец</t>
  </si>
  <si>
    <t>!!!</t>
  </si>
  <si>
    <t>Основной</t>
  </si>
  <si>
    <t>Сейсмика</t>
  </si>
  <si>
    <t>Пс6.1.1</t>
  </si>
  <si>
    <t>Монолитная подпорная стена Пс6.1.1</t>
  </si>
  <si>
    <t>НЕТ БЕТОНА</t>
  </si>
  <si>
    <t>ГОСТ 25192-2012</t>
  </si>
  <si>
    <t>Бетон кл. В25 W6 F150</t>
  </si>
  <si>
    <t>Кр1</t>
  </si>
  <si>
    <t>Каркас поддерживающий Кр1</t>
  </si>
  <si>
    <t>Вертикальный стержень</t>
  </si>
  <si>
    <t>Горизонтальный стержень</t>
  </si>
  <si>
    <t>Монолитная подпорная стена Пс6.1.1, на все</t>
  </si>
  <si>
    <t>⌀12 A500C L= п.м.</t>
  </si>
  <si>
    <t xml:space="preserve"> 724.48 кг.</t>
  </si>
  <si>
    <t xml:space="preserve"> 656.46 кг.</t>
  </si>
  <si>
    <t xml:space="preserve"> 91.84 кг.</t>
  </si>
  <si>
    <t xml:space="preserve"> 2807.28 кг.</t>
  </si>
  <si>
    <t xml:space="preserve"> 49.3 кг.</t>
  </si>
  <si>
    <t xml:space="preserve"> 2794.68 кг.</t>
  </si>
  <si>
    <t>⌀16 A500C L= п.м.</t>
  </si>
  <si>
    <t xml:space="preserve"> 668.27 кг.</t>
  </si>
  <si>
    <t xml:space="preserve"> 1338.12 кг.</t>
  </si>
  <si>
    <t xml:space="preserve"> 212.24 кг.</t>
  </si>
  <si>
    <t xml:space="preserve"> 830.34 кг.</t>
  </si>
  <si>
    <t xml:space="preserve"> 539.28 кг.</t>
  </si>
  <si>
    <t xml:space="preserve"> 77.84 кг.</t>
  </si>
  <si>
    <t xml:space="preserve"> 194.34 кг.</t>
  </si>
  <si>
    <t>⌀18 A500C L= п.м.</t>
  </si>
  <si>
    <t>⌀6 A-I(A240) L= п.м.</t>
  </si>
  <si>
    <t>⌀12</t>
  </si>
  <si>
    <t>⌀16</t>
  </si>
  <si>
    <t>⌀18</t>
  </si>
  <si>
    <t>Пс6.1.1, на все</t>
  </si>
  <si>
    <t>|Лог|</t>
  </si>
  <si>
    <t>Входные площадки_об</t>
  </si>
  <si>
    <t>Входные площадки_гр</t>
  </si>
  <si>
    <t>Входные площадки_кж</t>
  </si>
  <si>
    <t>Входные площадки_грс</t>
  </si>
  <si>
    <t>Усиление в сейсмике_кж</t>
  </si>
  <si>
    <t>Усиление в сейсмике_об</t>
  </si>
  <si>
    <t>Подпорная_об</t>
  </si>
  <si>
    <t>Подпорная_кж</t>
  </si>
  <si>
    <t>Гориз. В стене</t>
  </si>
  <si>
    <t>П-шка в стене верт</t>
  </si>
  <si>
    <t>П-шка в стене гориз.</t>
  </si>
  <si>
    <t>Вертик. В стене</t>
  </si>
  <si>
    <t>Шпилька</t>
  </si>
  <si>
    <t>Поперечная в подошве</t>
  </si>
  <si>
    <t>Продольная в подошве</t>
  </si>
  <si>
    <t>П-шка в поперечном сеч.</t>
  </si>
  <si>
    <t>П-шка в продол.сеч.</t>
  </si>
  <si>
    <t>Выпуск из подошвы для стены Г-обр ДЛИННЫЙ</t>
  </si>
  <si>
    <t>Выпуск из подошвы для стены Г-обр КОРОТКИЙ</t>
  </si>
  <si>
    <t>Г-шка угловая</t>
  </si>
  <si>
    <t>admin</t>
  </si>
  <si>
    <t>check</t>
  </si>
  <si>
    <t>Бетон В30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</si>
  <si>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</si>
  <si>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</si>
  <si>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</si>
  <si>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</si>
  <si>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</si>
  <si>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</si>
  <si>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</si>
  <si>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</si>
  <si>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</si>
  <si>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</si>
  <si>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</si>
  <si>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</si>
  <si>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</si>
  <si>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</si>
  <si>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</si>
  <si>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</si>
  <si>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</si>
  <si>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</si>
  <si>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</si>
  <si>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</si>
  <si>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</si>
  <si>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</si>
  <si>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</si>
  <si>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Балки</t>
  </si>
  <si>
    <t>Подкрановые пути</t>
  </si>
  <si>
    <t>Связи</t>
  </si>
  <si>
    <t>Фермы</t>
  </si>
  <si>
    <t>Лист горячекатанный
ГОСТ 19903-74</t>
  </si>
  <si>
    <t>С245
ГОСТ 27772-88</t>
  </si>
  <si>
    <t>-- 2</t>
  </si>
  <si>
    <t>-- 20</t>
  </si>
  <si>
    <t>-- 30</t>
  </si>
  <si>
    <t>Всего профиля:</t>
  </si>
  <si>
    <t>Профиль гнутый
ГОСТ 30245-2012</t>
  </si>
  <si>
    <t>Уголок равнополочный
ГОСТ 8509-93</t>
  </si>
  <si>
    <t>120x10</t>
  </si>
  <si>
    <t>Уголок неравнополочный
ГОСТ 8510-86</t>
  </si>
  <si>
    <t>100x63x10</t>
  </si>
  <si>
    <t>100x63x8</t>
  </si>
  <si>
    <t>Труба электросварная прямошовная
ГОСТ 10704-91</t>
  </si>
  <si>
    <t>Сложный</t>
  </si>
  <si>
    <t>Двутавр
СТО АСЧМ 20-93</t>
  </si>
  <si>
    <t>С255
ГОСТ 27772-88</t>
  </si>
  <si>
    <t>Всего масса металла:</t>
  </si>
  <si>
    <t>В том числе по маркам:</t>
  </si>
  <si>
    <t>Антикоррозийная окраска</t>
  </si>
  <si>
    <t>Конструктивная огнезащита, кв.м.</t>
  </si>
  <si>
    <t>Покрытие тип 1 по см. примечания, кв.м.</t>
  </si>
  <si>
    <t>Тонкослойное огнезащитное покрытие, кг.</t>
  </si>
  <si>
    <t>КОС Калининград КМ</t>
  </si>
  <si>
    <t>_км</t>
  </si>
  <si>
    <t>ОК</t>
  </si>
  <si>
    <t>КОС Калининград КМ_км</t>
  </si>
  <si>
    <t>D:\Рогожин ДА\prog\YandexDisk\Работа\material-specification\list\Спец_КОС Калининград КМ_км_10.pdf</t>
  </si>
  <si>
    <t>PDF</t>
  </si>
  <si>
    <t>18 12 19/ 11 39 46</t>
  </si>
  <si>
    <t>18 12 19/ 11 40 5</t>
  </si>
  <si>
    <t xml:space="preserve">Перебит номер зоны c 3 на </t>
  </si>
  <si>
    <t>Инфо</t>
  </si>
  <si>
    <t>Невозможно получить номер зоны</t>
  </si>
  <si>
    <t>Ошибка</t>
  </si>
  <si>
    <t>Перебит номер зоны c 24 на 23</t>
  </si>
  <si>
    <t>Пол</t>
  </si>
  <si>
    <t xml:space="preserve">Перебит номер зоны c 202 на </t>
  </si>
  <si>
    <t>Ведомость отделки</t>
  </si>
  <si>
    <t>Итог</t>
  </si>
  <si>
    <t>Lперим=200,5п.м.</t>
  </si>
  <si>
    <t>Lперим=281,7п.м.</t>
  </si>
  <si>
    <t>Низ стен/колонн</t>
  </si>
  <si>
    <t>18 12 19/ 11 40 21</t>
  </si>
  <si>
    <t xml:space="preserve"> 29.66 кг.</t>
  </si>
  <si>
    <t>18 12 19/ 11 40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</si>
</sst>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15">
    <xf numFmtId="0" fontId="0" fillId="0" borderId="0" xfId="0"/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49" fontId="0" fillId="0" borderId="0" xfId="0" applyNumberFormat="1" applyBorder="1"/>
    <xf numFmtId="49" fontId="20" fillId="0" borderId="10" xfId="0" applyNumberFormat="1" applyFont="1" applyFill="1" applyBorder="1" applyAlignment="1">
      <alignment horizontal="center" vertical="center" textRotation="90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4" fillId="0" borderId="12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shrinkToFit="1"/>
    </xf>
    <xf numFmtId="0" fontId="24" fillId="33" borderId="15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5" borderId="11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7" borderId="26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4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0" fontId="25" fillId="0" borderId="0" xfId="0" applyFont="1" applyBorder="1"/>
    <xf numFmtId="0" fontId="25" fillId="0" borderId="0" xfId="0" applyFont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  <xf numFmtId="2" fontId="20" fillId="0" borderId="15" xfId="0" applyNumberFormat="1" applyFont="1" applyFill="1" applyBorder="1" applyAlignment="1">
      <alignment horizontal="center" vertical="center" wrapText="1"/>
    </xf>
    <xf numFmtId="2" fontId="24" fillId="39" borderId="14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49" fontId="20" fillId="0" borderId="20" xfId="0" applyNumberFormat="1" applyFont="1" applyFill="1" applyBorder="1" applyAlignment="1">
      <alignment horizontal="center" vertical="center" textRotation="90" wrapText="1"/>
    </xf>
    <xf numFmtId="49" fontId="20" fillId="0" borderId="19" xfId="0" applyNumberFormat="1" applyFont="1" applyFill="1" applyBorder="1" applyAlignment="1">
      <alignment horizontal="center" vertical="center" textRotation="90" wrapText="1"/>
    </xf>
    <xf numFmtId="49" fontId="20" fillId="0" borderId="17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11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3" fillId="0" borderId="21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 shrinkToFi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8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16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22" xfId="0" applyNumberFormat="1" applyFont="1" applyFill="1" applyBorder="1" applyAlignment="1">
      <alignment horizontal="center" vertical="center" wrapText="1"/>
    </xf>
    <xf numFmtId="49" fontId="23" fillId="0" borderId="12" xfId="0" applyNumberFormat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3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2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1:U17"/>
  <sheetViews>
    <sheetView workbookViewId="0"/>
  </sheetViews>
  <sheetFormatPr defaultRowHeight="15" x14ac:dyDescent="0.25"/>
  <cols>
    <col min="1" max="5" width="36.7109375" style="2" customWidth="1"/>
    <col min="6" max="6" width="9.140625" style="2"/>
    <col min="7" max="8" width="15.7109375" style="2" customWidth="1"/>
    <col min="9" max="21" width="8.7109375" style="2" customWidth="1"/>
    <col min="22" max="16384" width="9.140625" style="3"/>
  </cols>
  <sheetData>
    <row r="1" spans="1:21" s="46" customFormat="1" ht="27.95" customHeight="1" x14ac:dyDescent="0.25">
      <c r="A1" s="47" t="s">
        <v>2606</v>
      </c>
      <c r="B1" s="47" t="s">
        <v>2607</v>
      </c>
      <c r="C1" s="47" t="s">
        <v>2365</v>
      </c>
      <c r="D1" s="47" t="s">
        <v>2366</v>
      </c>
      <c r="E1" s="47" t="s">
        <v>2367</v>
      </c>
      <c r="F1" s="47"/>
      <c r="G1" s="47" t="s">
        <v>2608</v>
      </c>
      <c r="H1" s="47" t="s">
        <v>2609</v>
      </c>
      <c r="I1" s="47" t="s">
        <v>2610</v>
      </c>
      <c r="J1" s="47" t="s">
        <v>2611</v>
      </c>
      <c r="K1" s="47" t="s">
        <v>2612</v>
      </c>
      <c r="L1" s="47" t="s">
        <v>2613</v>
      </c>
      <c r="M1" s="47" t="s">
        <v>2614</v>
      </c>
      <c r="N1" s="47" t="s">
        <v>2615</v>
      </c>
      <c r="O1" s="47" t="s">
        <v>2616</v>
      </c>
      <c r="P1" s="47" t="s">
        <v>2617</v>
      </c>
      <c r="Q1" s="47" t="s">
        <v>2618</v>
      </c>
      <c r="R1" s="47" t="s">
        <v>2619</v>
      </c>
      <c r="S1" s="47" t="s">
        <v>2620</v>
      </c>
      <c r="T1" s="47" t="s">
        <v>2621</v>
      </c>
      <c r="U1" s="47" t="s">
        <v>2622</v>
      </c>
    </row>
    <row r="2" spans="1:21" x14ac:dyDescent="0.25">
      <c r="B2" s="1" t="s">
        <v>2374</v>
      </c>
    </row>
    <row r="3" spans="1:21" x14ac:dyDescent="0.25">
      <c r="A3" s="1" t="s">
        <v>2373</v>
      </c>
    </row>
    <row r="4" spans="1:21" x14ac:dyDescent="0.25">
      <c r="A4" s="1" t="s">
        <v>2582</v>
      </c>
    </row>
    <row r="5" spans="1:21" ht="30" x14ac:dyDescent="0.25">
      <c r="C5" s="1" t="s">
        <v>2413</v>
      </c>
      <c r="G5" s="2">
        <v>1</v>
      </c>
      <c r="H5" s="2" t="s">
        <v>2675</v>
      </c>
      <c r="I5" s="2" t="b">
        <v>0</v>
      </c>
      <c r="J5" s="2" t="b">
        <v>0</v>
      </c>
      <c r="K5" s="2" t="b">
        <v>0</v>
      </c>
      <c r="L5" s="2" t="b">
        <v>0</v>
      </c>
      <c r="M5" s="2" t="b">
        <v>1</v>
      </c>
      <c r="N5" s="2" t="b">
        <v>0</v>
      </c>
      <c r="O5" s="2" t="b">
        <v>1</v>
      </c>
      <c r="P5" s="2" t="b">
        <v>1</v>
      </c>
      <c r="Q5" s="2" t="b">
        <v>0</v>
      </c>
      <c r="R5" s="2" t="b">
        <v>0</v>
      </c>
      <c r="S5" s="2" t="b">
        <v>1</v>
      </c>
      <c r="T5" s="2" t="b">
        <v>0</v>
      </c>
      <c r="U5" s="2" t="b">
        <v>1</v>
      </c>
    </row>
    <row r="6" spans="1:21" ht="30" x14ac:dyDescent="0.25">
      <c r="E6" s="1" t="s">
        <v>2474</v>
      </c>
      <c r="G6" s="2">
        <v>1</v>
      </c>
      <c r="H6" s="2" t="s">
        <v>2661</v>
      </c>
      <c r="I6" s="2" t="b">
        <v>0</v>
      </c>
      <c r="J6" s="2" t="b">
        <v>0</v>
      </c>
      <c r="K6" s="2" t="b">
        <v>0</v>
      </c>
      <c r="L6" s="2" t="b">
        <v>0</v>
      </c>
      <c r="M6" s="2" t="b">
        <v>1</v>
      </c>
      <c r="N6" s="2" t="b">
        <v>0</v>
      </c>
      <c r="O6" s="2" t="b">
        <v>1</v>
      </c>
      <c r="P6" s="2" t="b">
        <v>1</v>
      </c>
      <c r="Q6" s="2" t="b">
        <v>0</v>
      </c>
      <c r="R6" s="2" t="b">
        <v>0</v>
      </c>
      <c r="S6" s="2" t="b">
        <v>1</v>
      </c>
      <c r="T6" s="2" t="b">
        <v>0</v>
      </c>
      <c r="U6" s="2" t="b">
        <v>0</v>
      </c>
    </row>
    <row r="7" spans="1:21" ht="30" x14ac:dyDescent="0.25">
      <c r="D7" s="1" t="s">
        <v>2583</v>
      </c>
      <c r="G7" s="2">
        <v>1</v>
      </c>
      <c r="H7" s="2" t="s">
        <v>2661</v>
      </c>
      <c r="I7" s="2" t="b">
        <v>0</v>
      </c>
      <c r="J7" s="2" t="b">
        <v>0</v>
      </c>
      <c r="K7" s="2" t="b">
        <v>0</v>
      </c>
      <c r="L7" s="2" t="b">
        <v>0</v>
      </c>
      <c r="M7" s="2" t="b">
        <v>1</v>
      </c>
      <c r="N7" s="2" t="b">
        <v>0</v>
      </c>
      <c r="O7" s="2" t="b">
        <v>1</v>
      </c>
      <c r="P7" s="2" t="b">
        <v>1</v>
      </c>
      <c r="Q7" s="2" t="b">
        <v>0</v>
      </c>
      <c r="R7" s="2" t="b">
        <v>0</v>
      </c>
      <c r="S7" s="2" t="b">
        <v>1</v>
      </c>
      <c r="T7" s="2" t="b">
        <v>0</v>
      </c>
      <c r="U7" s="2" t="b">
        <v>0</v>
      </c>
    </row>
    <row r="8" spans="1:21" ht="30" x14ac:dyDescent="0.25">
      <c r="D8" s="1" t="s">
        <v>2584</v>
      </c>
      <c r="G8" s="2">
        <v>1</v>
      </c>
      <c r="H8" s="2" t="s">
        <v>2661</v>
      </c>
      <c r="I8" s="2" t="b">
        <v>0</v>
      </c>
      <c r="J8" s="2" t="b">
        <v>0</v>
      </c>
      <c r="K8" s="2" t="b">
        <v>0</v>
      </c>
      <c r="L8" s="2" t="b">
        <v>0</v>
      </c>
      <c r="M8" s="2" t="b">
        <v>1</v>
      </c>
      <c r="N8" s="2" t="b">
        <v>0</v>
      </c>
      <c r="O8" s="2" t="b">
        <v>1</v>
      </c>
      <c r="P8" s="2" t="b">
        <v>1</v>
      </c>
      <c r="Q8" s="2" t="b">
        <v>0</v>
      </c>
      <c r="R8" s="2" t="b">
        <v>0</v>
      </c>
      <c r="S8" s="2" t="b">
        <v>1</v>
      </c>
      <c r="T8" s="2" t="b">
        <v>0</v>
      </c>
      <c r="U8" s="2" t="b">
        <v>0</v>
      </c>
    </row>
    <row r="9" spans="1:21" ht="30" x14ac:dyDescent="0.25">
      <c r="D9" s="1" t="s">
        <v>2585</v>
      </c>
      <c r="G9" s="2">
        <v>1</v>
      </c>
      <c r="H9" s="2" t="s">
        <v>2661</v>
      </c>
      <c r="I9" s="2" t="b">
        <v>0</v>
      </c>
      <c r="J9" s="2" t="b">
        <v>0</v>
      </c>
      <c r="K9" s="2" t="b">
        <v>0</v>
      </c>
      <c r="L9" s="2" t="b">
        <v>0</v>
      </c>
      <c r="M9" s="2" t="b">
        <v>1</v>
      </c>
      <c r="N9" s="2" t="b">
        <v>0</v>
      </c>
      <c r="O9" s="2" t="b">
        <v>1</v>
      </c>
      <c r="P9" s="2" t="b">
        <v>1</v>
      </c>
      <c r="Q9" s="2" t="b">
        <v>0</v>
      </c>
      <c r="R9" s="2" t="b">
        <v>0</v>
      </c>
      <c r="S9" s="2" t="b">
        <v>1</v>
      </c>
      <c r="T9" s="2" t="b">
        <v>0</v>
      </c>
      <c r="U9" s="2" t="b">
        <v>0</v>
      </c>
    </row>
    <row r="10" spans="1:21" ht="30" x14ac:dyDescent="0.25">
      <c r="D10" s="1" t="s">
        <v>2586</v>
      </c>
      <c r="G10" s="2">
        <v>1</v>
      </c>
      <c r="H10" s="2" t="s">
        <v>2661</v>
      </c>
      <c r="I10" s="2" t="b">
        <v>0</v>
      </c>
      <c r="J10" s="2" t="b">
        <v>0</v>
      </c>
      <c r="K10" s="2" t="b">
        <v>0</v>
      </c>
      <c r="L10" s="2" t="b">
        <v>0</v>
      </c>
      <c r="M10" s="2" t="b">
        <v>1</v>
      </c>
      <c r="N10" s="2" t="b">
        <v>0</v>
      </c>
      <c r="O10" s="2" t="b">
        <v>1</v>
      </c>
      <c r="P10" s="2" t="b">
        <v>1</v>
      </c>
      <c r="Q10" s="2" t="b">
        <v>0</v>
      </c>
      <c r="R10" s="2" t="b">
        <v>0</v>
      </c>
      <c r="S10" s="2" t="b">
        <v>1</v>
      </c>
      <c r="T10" s="2" t="b">
        <v>0</v>
      </c>
      <c r="U10" s="2" t="b">
        <v>0</v>
      </c>
    </row>
    <row r="11" spans="1:21" ht="30" x14ac:dyDescent="0.25">
      <c r="D11" s="1" t="s">
        <v>2502</v>
      </c>
      <c r="G11" s="2">
        <v>1</v>
      </c>
      <c r="H11" s="2" t="s">
        <v>2677</v>
      </c>
      <c r="I11" s="2" t="b">
        <v>1</v>
      </c>
      <c r="J11" s="2" t="b">
        <v>1</v>
      </c>
      <c r="K11" s="2" t="b">
        <v>0</v>
      </c>
      <c r="L11" s="2" t="b">
        <v>1</v>
      </c>
      <c r="M11" s="2" t="b">
        <v>1</v>
      </c>
      <c r="N11" s="2" t="b">
        <v>0</v>
      </c>
      <c r="O11" s="2" t="b">
        <v>0</v>
      </c>
      <c r="P11" s="2" t="b">
        <v>0</v>
      </c>
      <c r="Q11" s="2" t="b">
        <v>0</v>
      </c>
      <c r="R11" s="2" t="b">
        <v>0</v>
      </c>
      <c r="S11" s="2" t="b">
        <v>0</v>
      </c>
      <c r="T11" s="2" t="b">
        <v>0</v>
      </c>
      <c r="U11" s="2" t="b">
        <v>0</v>
      </c>
    </row>
    <row r="12" spans="1:21" x14ac:dyDescent="0.25">
      <c r="D12" s="1" t="s">
        <v>2658</v>
      </c>
      <c r="G12" s="2">
        <v>1</v>
      </c>
      <c r="H12" s="2" t="s">
        <v>2662</v>
      </c>
      <c r="I12" s="2" t="b">
        <v>0</v>
      </c>
      <c r="J12" s="2" t="b">
        <v>0</v>
      </c>
      <c r="K12" s="2" t="b">
        <v>0</v>
      </c>
      <c r="L12" s="2" t="b">
        <v>0</v>
      </c>
      <c r="M12" s="2" t="b">
        <v>1</v>
      </c>
      <c r="N12" s="2" t="b">
        <v>0</v>
      </c>
      <c r="O12" s="2" t="b">
        <v>1</v>
      </c>
      <c r="P12" s="2" t="b">
        <v>1</v>
      </c>
      <c r="Q12" s="2" t="b">
        <v>0</v>
      </c>
      <c r="R12" s="2" t="b">
        <v>0</v>
      </c>
      <c r="S12" s="2" t="b">
        <v>1</v>
      </c>
      <c r="T12" s="2" t="b">
        <v>0</v>
      </c>
      <c r="U12" s="2" t="b">
        <v>0</v>
      </c>
    </row>
    <row r="13" spans="1:21" ht="30" x14ac:dyDescent="0.25">
      <c r="E13" s="1" t="s">
        <v>2547</v>
      </c>
      <c r="G13" s="2">
        <v>1</v>
      </c>
      <c r="H13" s="2" t="s">
        <v>2661</v>
      </c>
      <c r="I13" s="2" t="b">
        <v>0</v>
      </c>
      <c r="J13" s="2" t="b">
        <v>0</v>
      </c>
      <c r="K13" s="2" t="b">
        <v>0</v>
      </c>
      <c r="L13" s="2" t="b">
        <v>0</v>
      </c>
      <c r="M13" s="2" t="b">
        <v>1</v>
      </c>
      <c r="N13" s="2" t="b">
        <v>0</v>
      </c>
      <c r="O13" s="2" t="b">
        <v>1</v>
      </c>
      <c r="P13" s="2" t="b">
        <v>1</v>
      </c>
      <c r="Q13" s="2" t="b">
        <v>0</v>
      </c>
      <c r="R13" s="2" t="b">
        <v>0</v>
      </c>
      <c r="S13" s="2" t="b">
        <v>1</v>
      </c>
      <c r="T13" s="2" t="b">
        <v>0</v>
      </c>
      <c r="U13" s="2" t="b">
        <v>0</v>
      </c>
    </row>
    <row r="14" spans="1:21" ht="30" x14ac:dyDescent="0.25">
      <c r="D14" s="1" t="s">
        <v>2589</v>
      </c>
      <c r="G14" s="2">
        <v>1</v>
      </c>
      <c r="H14" s="2" t="s">
        <v>2661</v>
      </c>
      <c r="I14" s="2" t="b">
        <v>0</v>
      </c>
      <c r="J14" s="2" t="b">
        <v>0</v>
      </c>
      <c r="K14" s="2" t="b">
        <v>0</v>
      </c>
      <c r="L14" s="2" t="b">
        <v>0</v>
      </c>
      <c r="M14" s="2" t="b">
        <v>1</v>
      </c>
      <c r="N14" s="2" t="b">
        <v>0</v>
      </c>
      <c r="O14" s="2" t="b">
        <v>1</v>
      </c>
      <c r="P14" s="2" t="b">
        <v>1</v>
      </c>
      <c r="Q14" s="2" t="b">
        <v>0</v>
      </c>
      <c r="R14" s="2" t="b">
        <v>0</v>
      </c>
      <c r="S14" s="2" t="b">
        <v>1</v>
      </c>
      <c r="T14" s="2" t="b">
        <v>0</v>
      </c>
      <c r="U14" s="2" t="b">
        <v>0</v>
      </c>
    </row>
    <row r="15" spans="1:21" ht="30" x14ac:dyDescent="0.25">
      <c r="D15" s="1" t="s">
        <v>2590</v>
      </c>
      <c r="G15" s="2">
        <v>1</v>
      </c>
      <c r="H15" s="2" t="s">
        <v>2661</v>
      </c>
      <c r="I15" s="2" t="b">
        <v>0</v>
      </c>
      <c r="J15" s="2" t="b">
        <v>0</v>
      </c>
      <c r="K15" s="2" t="b">
        <v>0</v>
      </c>
      <c r="L15" s="2" t="b">
        <v>0</v>
      </c>
      <c r="M15" s="2" t="b">
        <v>1</v>
      </c>
      <c r="N15" s="2" t="b">
        <v>0</v>
      </c>
      <c r="O15" s="2" t="b">
        <v>1</v>
      </c>
      <c r="P15" s="2" t="b">
        <v>1</v>
      </c>
      <c r="Q15" s="2" t="b">
        <v>0</v>
      </c>
      <c r="R15" s="2" t="b">
        <v>0</v>
      </c>
      <c r="S15" s="2" t="b">
        <v>1</v>
      </c>
      <c r="T15" s="2" t="b">
        <v>0</v>
      </c>
      <c r="U15" s="2" t="b">
        <v>0</v>
      </c>
    </row>
    <row r="16" spans="1:21" ht="30" x14ac:dyDescent="0.25">
      <c r="D16" s="1" t="s">
        <v>2587</v>
      </c>
      <c r="G16" s="2">
        <v>1</v>
      </c>
      <c r="H16" s="2" t="s">
        <v>2661</v>
      </c>
      <c r="I16" s="2" t="b">
        <v>0</v>
      </c>
      <c r="J16" s="2" t="b">
        <v>0</v>
      </c>
      <c r="K16" s="2" t="b">
        <v>0</v>
      </c>
      <c r="L16" s="2" t="b">
        <v>0</v>
      </c>
      <c r="M16" s="2" t="b">
        <v>1</v>
      </c>
      <c r="N16" s="2" t="b">
        <v>0</v>
      </c>
      <c r="O16" s="2" t="b">
        <v>1</v>
      </c>
      <c r="P16" s="2" t="b">
        <v>1</v>
      </c>
      <c r="Q16" s="2" t="b">
        <v>0</v>
      </c>
      <c r="R16" s="2" t="b">
        <v>0</v>
      </c>
      <c r="S16" s="2" t="b">
        <v>1</v>
      </c>
      <c r="T16" s="2" t="b">
        <v>0</v>
      </c>
      <c r="U16" s="2" t="b">
        <v>0</v>
      </c>
    </row>
    <row r="17" spans="4:21" ht="30" x14ac:dyDescent="0.25">
      <c r="D17" s="1" t="s">
        <v>2588</v>
      </c>
      <c r="G17" s="2">
        <v>1</v>
      </c>
      <c r="H17" s="2" t="s">
        <v>2661</v>
      </c>
      <c r="I17" s="2" t="b">
        <v>0</v>
      </c>
      <c r="J17" s="2" t="b">
        <v>0</v>
      </c>
      <c r="K17" s="2" t="b">
        <v>0</v>
      </c>
      <c r="L17" s="2" t="b">
        <v>0</v>
      </c>
      <c r="M17" s="2" t="b">
        <v>1</v>
      </c>
      <c r="N17" s="2" t="b">
        <v>0</v>
      </c>
      <c r="O17" s="2" t="b">
        <v>1</v>
      </c>
      <c r="P17" s="2" t="b">
        <v>1</v>
      </c>
      <c r="Q17" s="2" t="b">
        <v>0</v>
      </c>
      <c r="R17" s="2" t="b">
        <v>0</v>
      </c>
      <c r="S17" s="2" t="b">
        <v>1</v>
      </c>
      <c r="T17" s="2" t="b">
        <v>0</v>
      </c>
      <c r="U17" s="2" t="b">
        <v>0</v>
      </c>
    </row>
  </sheetData>
  <conditionalFormatting sqref="A1:U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2" location="'!System'!B2" display="'!System'!B2"/>
    <hyperlink ref="A3" location="'|Содержание|'!A1" display="'|Содержание|'!A1"/>
    <hyperlink ref="A4" location="'|Лог|'!A1" display="'|Лог|'!A1"/>
    <hyperlink ref="C5" location="'Ведомость отделки АБК_вед'!C3" display="'Ведомость отделки АБК_вед'!C3"/>
    <hyperlink ref="E6" location="'Ведомость отделки АБК_правила'!E3" display="'Ведомость отделки АБК_правила'!E3"/>
    <hyperlink ref="D7" location="'Входные площадки_об'!D4" display="'Входные площадки_об'!D4"/>
    <hyperlink ref="D8" location="'Входные площадки_гр'!D4" display="'Входные площадки_гр'!D4"/>
    <hyperlink ref="D9" location="'Входные площадки_кж'!D4" display="'Входные площадки_кж'!D4"/>
    <hyperlink ref="D10" location="'Входные площадки_грс'!D4" display="'Входные площадки_грс'!D4"/>
    <hyperlink ref="D11" location="'Входные площадки'!D4" display="'Входные площадки'!D4"/>
    <hyperlink ref="D12" location="'КОС Калининград КМ_км'!D4" display="'КОС Калининград КМ_км'!D4"/>
    <hyperlink ref="E13" location="'Подпорная_спец'!E3" display="'Подпорная_спец'!E3"/>
    <hyperlink ref="D14" location="'Подпорная_об'!D4" display="'Подпорная_об'!D4"/>
    <hyperlink ref="D15" location="'Подпорная_кж'!D4" display="'Подпорная_кж'!D4"/>
    <hyperlink ref="D16" location="'Усиление в сейсмике_кж'!D4" display="'Усиление в сейсмике_кж'!D4"/>
    <hyperlink ref="D17" location="'Усиление в сейсмике_об'!D4" display="'Усиление в сейсмике_об'!D4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 tint="1"/>
  </sheetPr>
  <dimension ref="A1:O1000"/>
  <sheetViews>
    <sheetView workbookViewId="0">
      <selection activeCell="C22" sqref="C22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9" t="s">
        <v>2488</v>
      </c>
      <c r="B1" s="29" t="s">
        <v>2489</v>
      </c>
      <c r="C1" s="29" t="s">
        <v>2490</v>
      </c>
      <c r="D1" s="29" t="s">
        <v>2370</v>
      </c>
      <c r="E1" s="30" t="s">
        <v>2491</v>
      </c>
      <c r="F1" s="30" t="s">
        <v>2492</v>
      </c>
      <c r="G1" s="30" t="s">
        <v>2493</v>
      </c>
      <c r="H1" s="30" t="s">
        <v>2494</v>
      </c>
      <c r="I1" s="30" t="s">
        <v>2495</v>
      </c>
      <c r="J1" s="30" t="s">
        <v>2496</v>
      </c>
      <c r="K1" s="30" t="s">
        <v>2497</v>
      </c>
      <c r="L1" s="30" t="s">
        <v>2498</v>
      </c>
      <c r="M1" s="30" t="s">
        <v>2499</v>
      </c>
      <c r="N1" s="30" t="s">
        <v>2500</v>
      </c>
      <c r="O1" s="30" t="s">
        <v>2501</v>
      </c>
    </row>
    <row r="2" spans="1:15" ht="15.95" customHeight="1" x14ac:dyDescent="0.25">
      <c r="A2" s="31">
        <v>43396.482106481482</v>
      </c>
      <c r="B2" s="28" t="s">
        <v>2603</v>
      </c>
      <c r="C2" s="28" t="s">
        <v>2547</v>
      </c>
      <c r="D2" s="28" t="s">
        <v>2604</v>
      </c>
      <c r="E2" s="28">
        <v>0</v>
      </c>
      <c r="F2" s="28">
        <v>3.18</v>
      </c>
      <c r="G2" s="28">
        <v>3.6</v>
      </c>
      <c r="H2" s="28">
        <v>3.5</v>
      </c>
      <c r="I2" s="28">
        <v>0</v>
      </c>
      <c r="J2" s="28" t="b">
        <v>0</v>
      </c>
      <c r="K2" s="28" t="b">
        <v>0</v>
      </c>
      <c r="L2" s="28" t="b">
        <v>0</v>
      </c>
      <c r="M2" s="28" t="b">
        <v>0</v>
      </c>
      <c r="N2" s="28" t="b">
        <v>1</v>
      </c>
      <c r="O2" s="28" t="b">
        <v>0</v>
      </c>
    </row>
    <row r="3" spans="1:15" ht="15.95" customHeight="1" x14ac:dyDescent="0.25">
      <c r="A3" s="31">
        <v>43406.675034722219</v>
      </c>
      <c r="B3" s="28" t="s">
        <v>2603</v>
      </c>
      <c r="C3" s="28" t="s">
        <v>2547</v>
      </c>
      <c r="D3" s="28" t="s">
        <v>2604</v>
      </c>
      <c r="E3" s="28">
        <v>0</v>
      </c>
      <c r="F3" s="28">
        <v>3.19</v>
      </c>
      <c r="G3" s="28">
        <v>3.6</v>
      </c>
      <c r="H3" s="28">
        <v>3.6</v>
      </c>
      <c r="I3" s="28">
        <v>0</v>
      </c>
      <c r="J3" s="28"/>
      <c r="K3" s="28"/>
      <c r="L3" s="28"/>
      <c r="M3" s="28"/>
      <c r="N3" s="28"/>
      <c r="O3" s="28"/>
    </row>
    <row r="4" spans="1:15" ht="15.95" customHeight="1" x14ac:dyDescent="0.25">
      <c r="A4" s="31">
        <v>43406.677291666667</v>
      </c>
      <c r="B4" s="28" t="s">
        <v>2603</v>
      </c>
      <c r="C4" s="28" t="s">
        <v>2547</v>
      </c>
      <c r="D4" s="28" t="s">
        <v>2604</v>
      </c>
      <c r="E4" s="28">
        <v>0</v>
      </c>
      <c r="F4" s="28">
        <v>3.19</v>
      </c>
      <c r="G4" s="28">
        <v>3.6</v>
      </c>
      <c r="H4" s="28">
        <v>3.6</v>
      </c>
      <c r="I4" s="28">
        <v>0</v>
      </c>
      <c r="J4" s="28" t="b">
        <v>0</v>
      </c>
      <c r="K4" s="28" t="b">
        <v>0</v>
      </c>
      <c r="L4" s="28" t="b">
        <v>0</v>
      </c>
      <c r="M4" s="28" t="b">
        <v>0</v>
      </c>
      <c r="N4" s="28" t="b">
        <v>1</v>
      </c>
      <c r="O4" s="28" t="b">
        <v>0</v>
      </c>
    </row>
    <row r="5" spans="1:15" ht="15.95" customHeight="1" x14ac:dyDescent="0.25">
      <c r="A5" s="31">
        <v>43406.677418981482</v>
      </c>
      <c r="B5" s="28" t="s">
        <v>2603</v>
      </c>
      <c r="C5" s="28" t="s">
        <v>2547</v>
      </c>
      <c r="D5" s="28" t="s">
        <v>2604</v>
      </c>
      <c r="E5" s="28">
        <v>0</v>
      </c>
      <c r="F5" s="28">
        <v>3.19</v>
      </c>
      <c r="G5" s="28">
        <v>3.6</v>
      </c>
      <c r="H5" s="28">
        <v>3.6</v>
      </c>
      <c r="I5" s="28">
        <v>0</v>
      </c>
      <c r="J5" s="28" t="b">
        <v>0</v>
      </c>
      <c r="K5" s="28" t="b">
        <v>0</v>
      </c>
      <c r="L5" s="28" t="b">
        <v>0</v>
      </c>
      <c r="M5" s="28" t="b">
        <v>0</v>
      </c>
      <c r="N5" s="28" t="b">
        <v>1</v>
      </c>
      <c r="O5" s="28" t="b">
        <v>0</v>
      </c>
    </row>
    <row r="6" spans="1:15" ht="15.95" customHeight="1" x14ac:dyDescent="0.25">
      <c r="A6" s="31">
        <v>43406.677939814814</v>
      </c>
      <c r="B6" s="28" t="s">
        <v>2603</v>
      </c>
      <c r="C6" s="28" t="s">
        <v>2547</v>
      </c>
      <c r="D6" s="28" t="s">
        <v>2604</v>
      </c>
      <c r="E6" s="28">
        <v>0</v>
      </c>
      <c r="F6" s="28">
        <v>3.19</v>
      </c>
      <c r="G6" s="28">
        <v>3.6</v>
      </c>
      <c r="H6" s="28">
        <v>3.6</v>
      </c>
      <c r="I6" s="28">
        <v>0</v>
      </c>
      <c r="J6" s="28" t="b">
        <v>0</v>
      </c>
      <c r="K6" s="28" t="b">
        <v>0</v>
      </c>
      <c r="L6" s="28" t="b">
        <v>0</v>
      </c>
      <c r="M6" s="28" t="b">
        <v>0</v>
      </c>
      <c r="N6" s="28" t="b">
        <v>1</v>
      </c>
      <c r="O6" s="28" t="b">
        <v>0</v>
      </c>
    </row>
    <row r="7" spans="1:15" ht="15.95" customHeight="1" x14ac:dyDescent="0.25">
      <c r="A7" s="31">
        <v>43406.67796296296</v>
      </c>
      <c r="B7" s="28" t="s">
        <v>2603</v>
      </c>
      <c r="C7" s="28" t="s">
        <v>2547</v>
      </c>
      <c r="D7" s="28" t="s">
        <v>2604</v>
      </c>
      <c r="E7" s="28">
        <v>0</v>
      </c>
      <c r="F7" s="28">
        <v>3.19</v>
      </c>
      <c r="G7" s="28">
        <v>3.6</v>
      </c>
      <c r="H7" s="28">
        <v>3.6</v>
      </c>
      <c r="I7" s="28">
        <v>0</v>
      </c>
      <c r="J7" s="28" t="b">
        <v>0</v>
      </c>
      <c r="K7" s="28" t="b">
        <v>0</v>
      </c>
      <c r="L7" s="28" t="b">
        <v>0</v>
      </c>
      <c r="M7" s="28" t="b">
        <v>0</v>
      </c>
      <c r="N7" s="28" t="b">
        <v>1</v>
      </c>
      <c r="O7" s="28" t="b">
        <v>0</v>
      </c>
    </row>
    <row r="8" spans="1:15" ht="15.95" customHeight="1" x14ac:dyDescent="0.25">
      <c r="A8" s="31">
        <v>43406.678923611114</v>
      </c>
      <c r="B8" s="28" t="s">
        <v>2603</v>
      </c>
      <c r="C8" s="28" t="s">
        <v>2547</v>
      </c>
      <c r="D8" s="28" t="s">
        <v>2604</v>
      </c>
      <c r="E8" s="28">
        <v>0</v>
      </c>
      <c r="F8" s="28">
        <v>3.19</v>
      </c>
      <c r="G8" s="28">
        <v>3.6</v>
      </c>
      <c r="H8" s="28">
        <v>3.6</v>
      </c>
      <c r="I8" s="28">
        <v>0</v>
      </c>
      <c r="J8" s="28" t="b">
        <v>0</v>
      </c>
      <c r="K8" s="28" t="b">
        <v>0</v>
      </c>
      <c r="L8" s="28" t="b">
        <v>0</v>
      </c>
      <c r="M8" s="28" t="b">
        <v>0</v>
      </c>
      <c r="N8" s="28" t="b">
        <v>1</v>
      </c>
      <c r="O8" s="28" t="b">
        <v>0</v>
      </c>
    </row>
    <row r="9" spans="1:15" ht="15.95" customHeight="1" x14ac:dyDescent="0.25">
      <c r="A9" s="31">
        <v>43406.67895833333</v>
      </c>
      <c r="B9" s="28" t="s">
        <v>2603</v>
      </c>
      <c r="C9" s="28" t="s">
        <v>2547</v>
      </c>
      <c r="D9" s="28" t="s">
        <v>2604</v>
      </c>
      <c r="E9" s="28">
        <v>0</v>
      </c>
      <c r="F9" s="28">
        <v>3.19</v>
      </c>
      <c r="G9" s="28">
        <v>3.6</v>
      </c>
      <c r="H9" s="28">
        <v>3.6</v>
      </c>
      <c r="I9" s="28">
        <v>0</v>
      </c>
      <c r="J9" s="28" t="b">
        <v>0</v>
      </c>
      <c r="K9" s="28" t="b">
        <v>0</v>
      </c>
      <c r="L9" s="28" t="b">
        <v>0</v>
      </c>
      <c r="M9" s="28" t="b">
        <v>0</v>
      </c>
      <c r="N9" s="28" t="b">
        <v>1</v>
      </c>
      <c r="O9" s="28" t="b">
        <v>0</v>
      </c>
    </row>
    <row r="10" spans="1:15" ht="15.95" customHeight="1" x14ac:dyDescent="0.25">
      <c r="A10" s="31">
        <v>43406.679143518515</v>
      </c>
      <c r="B10" s="28" t="s">
        <v>2603</v>
      </c>
      <c r="C10" s="28" t="s">
        <v>2547</v>
      </c>
      <c r="D10" s="28" t="s">
        <v>2604</v>
      </c>
      <c r="E10" s="28">
        <v>0</v>
      </c>
      <c r="F10" s="28">
        <v>3.19</v>
      </c>
      <c r="G10" s="28">
        <v>3.6</v>
      </c>
      <c r="H10" s="28">
        <v>3.6</v>
      </c>
      <c r="I10" s="28">
        <v>0</v>
      </c>
      <c r="J10" s="28" t="b">
        <v>0</v>
      </c>
      <c r="K10" s="28" t="b">
        <v>0</v>
      </c>
      <c r="L10" s="28" t="b">
        <v>0</v>
      </c>
      <c r="M10" s="28" t="b">
        <v>0</v>
      </c>
      <c r="N10" s="28" t="b">
        <v>1</v>
      </c>
      <c r="O10" s="28" t="b">
        <v>0</v>
      </c>
    </row>
    <row r="11" spans="1:15" ht="15.95" customHeight="1" x14ac:dyDescent="0.25">
      <c r="A11" s="31">
        <v>43406.679305555554</v>
      </c>
      <c r="B11" s="28" t="s">
        <v>2603</v>
      </c>
      <c r="C11" s="28" t="s">
        <v>2547</v>
      </c>
      <c r="D11" s="28" t="s">
        <v>2604</v>
      </c>
      <c r="E11" s="28">
        <v>0</v>
      </c>
      <c r="F11" s="28">
        <v>3.19</v>
      </c>
      <c r="G11" s="28">
        <v>3.6</v>
      </c>
      <c r="H11" s="28">
        <v>3.6</v>
      </c>
      <c r="I11" s="28">
        <v>0</v>
      </c>
      <c r="J11" s="28" t="b">
        <v>0</v>
      </c>
      <c r="K11" s="28" t="b">
        <v>0</v>
      </c>
      <c r="L11" s="28" t="b">
        <v>0</v>
      </c>
      <c r="M11" s="28" t="b">
        <v>0</v>
      </c>
      <c r="N11" s="28" t="b">
        <v>1</v>
      </c>
      <c r="O11" s="28" t="b">
        <v>0</v>
      </c>
    </row>
    <row r="12" spans="1:15" ht="15.95" customHeight="1" x14ac:dyDescent="0.25">
      <c r="A12" s="31">
        <v>43444.388043981482</v>
      </c>
      <c r="B12" s="28" t="s">
        <v>2603</v>
      </c>
      <c r="C12" s="28" t="s">
        <v>2655</v>
      </c>
      <c r="D12" s="28" t="s">
        <v>2656</v>
      </c>
      <c r="E12" s="28" t="s">
        <v>2657</v>
      </c>
      <c r="F12" s="28">
        <v>3.2</v>
      </c>
      <c r="G12" s="28">
        <v>3.6</v>
      </c>
      <c r="H12" s="28">
        <v>3.6</v>
      </c>
      <c r="I12" s="28">
        <v>1</v>
      </c>
      <c r="J12" s="28" t="b">
        <v>0</v>
      </c>
      <c r="K12" s="28" t="b">
        <v>0</v>
      </c>
      <c r="L12" s="28" t="b">
        <v>0</v>
      </c>
      <c r="M12" s="28" t="b">
        <v>0</v>
      </c>
      <c r="N12" s="28" t="b">
        <v>1</v>
      </c>
      <c r="O12" s="28" t="b">
        <v>0</v>
      </c>
    </row>
    <row r="13" spans="1:15" ht="15.95" customHeight="1" x14ac:dyDescent="0.25">
      <c r="A13" s="31">
        <v>43444.388321759259</v>
      </c>
      <c r="B13" s="28" t="s">
        <v>2603</v>
      </c>
      <c r="C13" s="28" t="s">
        <v>2658</v>
      </c>
      <c r="D13" s="28"/>
      <c r="E13" s="28" t="s">
        <v>2657</v>
      </c>
      <c r="F13" s="28">
        <v>3.2</v>
      </c>
      <c r="G13" s="28">
        <v>3.6</v>
      </c>
      <c r="H13" s="28">
        <v>3.6</v>
      </c>
      <c r="I13" s="28">
        <v>1</v>
      </c>
      <c r="J13" s="28" t="b">
        <v>0</v>
      </c>
      <c r="K13" s="28" t="b">
        <v>0</v>
      </c>
      <c r="L13" s="28" t="b">
        <v>0</v>
      </c>
      <c r="M13" s="28" t="b">
        <v>0</v>
      </c>
      <c r="N13" s="28" t="b">
        <v>1</v>
      </c>
      <c r="O13" s="28" t="b">
        <v>0</v>
      </c>
    </row>
    <row r="14" spans="1:15" ht="15.95" customHeight="1" x14ac:dyDescent="0.25">
      <c r="A14" s="31">
        <v>43444.388449074075</v>
      </c>
      <c r="B14" s="28" t="s">
        <v>2603</v>
      </c>
      <c r="C14" s="28" t="s">
        <v>2659</v>
      </c>
      <c r="D14" s="28" t="s">
        <v>2660</v>
      </c>
      <c r="E14" s="28" t="s">
        <v>2657</v>
      </c>
      <c r="F14" s="28">
        <v>3.2</v>
      </c>
      <c r="G14" s="28">
        <v>3.6</v>
      </c>
      <c r="H14" s="28">
        <v>3.6</v>
      </c>
      <c r="I14" s="28">
        <v>1</v>
      </c>
      <c r="J14" s="28" t="b">
        <v>0</v>
      </c>
      <c r="K14" s="28" t="b">
        <v>0</v>
      </c>
      <c r="L14" s="28" t="b">
        <v>0</v>
      </c>
      <c r="M14" s="28" t="b">
        <v>0</v>
      </c>
      <c r="N14" s="28" t="b">
        <v>1</v>
      </c>
      <c r="O14" s="28" t="b">
        <v>0</v>
      </c>
    </row>
    <row r="15" spans="1:15" ht="15.95" customHeight="1" x14ac:dyDescent="0.25">
      <c r="A15" s="31">
        <v>43444.388622685183</v>
      </c>
      <c r="B15" s="28" t="s">
        <v>2603</v>
      </c>
      <c r="C15" s="28" t="s">
        <v>2659</v>
      </c>
      <c r="D15" s="28" t="s">
        <v>2660</v>
      </c>
      <c r="E15" s="28" t="s">
        <v>2657</v>
      </c>
      <c r="F15" s="28">
        <v>3.2</v>
      </c>
      <c r="G15" s="28">
        <v>3.6</v>
      </c>
      <c r="H15" s="28">
        <v>3.6</v>
      </c>
      <c r="I15" s="28">
        <v>1</v>
      </c>
      <c r="J15" s="28" t="b">
        <v>0</v>
      </c>
      <c r="K15" s="28" t="b">
        <v>0</v>
      </c>
      <c r="L15" s="28" t="b">
        <v>0</v>
      </c>
      <c r="M15" s="28" t="b">
        <v>0</v>
      </c>
      <c r="N15" s="28" t="b">
        <v>1</v>
      </c>
      <c r="O15" s="28" t="b">
        <v>0</v>
      </c>
    </row>
    <row r="16" spans="1:15" ht="15.95" customHeight="1" x14ac:dyDescent="0.25">
      <c r="A16" s="31">
        <v>43444.388761574075</v>
      </c>
      <c r="B16" s="28" t="s">
        <v>2603</v>
      </c>
      <c r="C16" s="28" t="s">
        <v>2659</v>
      </c>
      <c r="D16" s="28" t="s">
        <v>2660</v>
      </c>
      <c r="E16" s="28" t="s">
        <v>2657</v>
      </c>
      <c r="F16" s="28">
        <v>3.2</v>
      </c>
      <c r="G16" s="28">
        <v>3.6</v>
      </c>
      <c r="H16" s="28">
        <v>3.6</v>
      </c>
      <c r="I16" s="28">
        <v>1</v>
      </c>
      <c r="J16" s="28" t="b">
        <v>0</v>
      </c>
      <c r="K16" s="28" t="b">
        <v>0</v>
      </c>
      <c r="L16" s="28" t="b">
        <v>0</v>
      </c>
      <c r="M16" s="28" t="b">
        <v>0</v>
      </c>
      <c r="N16" s="28" t="b">
        <v>1</v>
      </c>
      <c r="O16" s="28" t="b">
        <v>0</v>
      </c>
    </row>
    <row r="17" spans="1:15" ht="15.95" customHeight="1" x14ac:dyDescent="0.25">
      <c r="A17" s="31">
        <v>43444.392407407409</v>
      </c>
      <c r="B17" s="28" t="s">
        <v>2603</v>
      </c>
      <c r="C17" s="28" t="s">
        <v>2658</v>
      </c>
      <c r="D17" s="28"/>
      <c r="E17" s="28" t="s">
        <v>2657</v>
      </c>
      <c r="F17" s="28">
        <v>3.2</v>
      </c>
      <c r="G17" s="28">
        <v>3.6</v>
      </c>
      <c r="H17" s="28">
        <v>3.6</v>
      </c>
      <c r="I17" s="28">
        <v>1</v>
      </c>
      <c r="J17" s="28" t="b">
        <v>0</v>
      </c>
      <c r="K17" s="28" t="b">
        <v>0</v>
      </c>
      <c r="L17" s="28" t="b">
        <v>0</v>
      </c>
      <c r="M17" s="28" t="b">
        <v>0</v>
      </c>
      <c r="N17" s="28" t="b">
        <v>1</v>
      </c>
      <c r="O17" s="28" t="b">
        <v>0</v>
      </c>
    </row>
    <row r="18" spans="1:15" ht="15.95" customHeight="1" x14ac:dyDescent="0.25">
      <c r="A18" s="31">
        <v>43444.392465277779</v>
      </c>
      <c r="B18" s="28" t="s">
        <v>2603</v>
      </c>
      <c r="C18" s="28" t="s">
        <v>2659</v>
      </c>
      <c r="D18" s="28" t="s">
        <v>2660</v>
      </c>
      <c r="E18" s="28" t="s">
        <v>2657</v>
      </c>
      <c r="F18" s="28">
        <v>3.2</v>
      </c>
      <c r="G18" s="28">
        <v>3.6</v>
      </c>
      <c r="H18" s="28">
        <v>3.6</v>
      </c>
      <c r="I18" s="28">
        <v>1</v>
      </c>
      <c r="J18" s="28" t="b">
        <v>0</v>
      </c>
      <c r="K18" s="28" t="b">
        <v>0</v>
      </c>
      <c r="L18" s="28" t="b">
        <v>0</v>
      </c>
      <c r="M18" s="28" t="b">
        <v>0</v>
      </c>
      <c r="N18" s="28" t="b">
        <v>1</v>
      </c>
      <c r="O18" s="28" t="b">
        <v>0</v>
      </c>
    </row>
    <row r="19" spans="1:15" ht="15.95" customHeight="1" x14ac:dyDescent="0.25">
      <c r="A19" s="31">
        <v>43444.392800925925</v>
      </c>
      <c r="B19" s="28" t="s">
        <v>2603</v>
      </c>
      <c r="C19" s="28" t="s">
        <v>2659</v>
      </c>
      <c r="D19" s="28" t="s">
        <v>2660</v>
      </c>
      <c r="E19" s="28" t="s">
        <v>2657</v>
      </c>
      <c r="F19" s="28">
        <v>3.2</v>
      </c>
      <c r="G19" s="28">
        <v>3.6</v>
      </c>
      <c r="H19" s="28">
        <v>3.6</v>
      </c>
      <c r="I19" s="28">
        <v>1</v>
      </c>
      <c r="J19" s="28" t="b">
        <v>0</v>
      </c>
      <c r="K19" s="28" t="b">
        <v>0</v>
      </c>
      <c r="L19" s="28" t="b">
        <v>0</v>
      </c>
      <c r="M19" s="28" t="b">
        <v>0</v>
      </c>
      <c r="N19" s="28" t="b">
        <v>1</v>
      </c>
      <c r="O19" s="28" t="b">
        <v>0</v>
      </c>
    </row>
    <row r="20" spans="1:15" ht="15.95" customHeight="1" x14ac:dyDescent="0.25">
      <c r="A20" s="31">
        <v>43453.486122685186</v>
      </c>
      <c r="B20" s="28" t="s">
        <v>2603</v>
      </c>
      <c r="C20" s="28" t="s">
        <v>2547</v>
      </c>
      <c r="D20" s="28" t="s">
        <v>2604</v>
      </c>
      <c r="E20" s="28">
        <v>0</v>
      </c>
      <c r="F20" s="28">
        <v>3.21</v>
      </c>
      <c r="G20" s="28">
        <v>3.6</v>
      </c>
      <c r="H20" s="28">
        <v>3.7</v>
      </c>
      <c r="I20" s="28">
        <v>0</v>
      </c>
      <c r="J20" s="28" t="b">
        <v>0</v>
      </c>
      <c r="K20" s="28" t="b">
        <v>0</v>
      </c>
      <c r="L20" s="28" t="b">
        <v>0</v>
      </c>
      <c r="M20" s="28" t="b">
        <v>0</v>
      </c>
      <c r="N20" s="28" t="b">
        <v>1</v>
      </c>
      <c r="O20" s="28" t="b">
        <v>0</v>
      </c>
    </row>
    <row r="21" spans="1:15" ht="15.95" customHeight="1" x14ac:dyDescent="0.25">
      <c r="A21" s="31">
        <v>43453.486157407409</v>
      </c>
      <c r="B21" s="28" t="s">
        <v>2603</v>
      </c>
      <c r="C21" s="28" t="s">
        <v>2547</v>
      </c>
      <c r="D21" s="28" t="s">
        <v>2604</v>
      </c>
      <c r="E21" s="28">
        <v>0</v>
      </c>
      <c r="F21" s="28">
        <v>3.21</v>
      </c>
      <c r="G21" s="28">
        <v>3.6</v>
      </c>
      <c r="H21" s="28">
        <v>3.7</v>
      </c>
      <c r="I21" s="28">
        <v>0</v>
      </c>
      <c r="J21" s="28" t="b">
        <v>0</v>
      </c>
      <c r="K21" s="28" t="b">
        <v>0</v>
      </c>
      <c r="L21" s="28" t="b">
        <v>0</v>
      </c>
      <c r="M21" s="28" t="b">
        <v>0</v>
      </c>
      <c r="N21" s="28" t="b">
        <v>1</v>
      </c>
      <c r="O21" s="28" t="b">
        <v>0</v>
      </c>
    </row>
    <row r="22" spans="1:15" ht="15.95" customHeight="1" x14ac:dyDescent="0.25">
      <c r="A22" s="31">
        <v>43453.486354166664</v>
      </c>
      <c r="B22" s="28" t="s">
        <v>2603</v>
      </c>
      <c r="C22" s="28" t="s">
        <v>2663</v>
      </c>
      <c r="D22" s="28" t="s">
        <v>2664</v>
      </c>
      <c r="E22" s="28">
        <v>0</v>
      </c>
      <c r="F22" s="28">
        <v>3.21</v>
      </c>
      <c r="G22" s="28">
        <v>3.6</v>
      </c>
      <c r="H22" s="28">
        <v>3.7</v>
      </c>
      <c r="I22" s="28">
        <v>1</v>
      </c>
      <c r="J22" s="28" t="b">
        <v>0</v>
      </c>
      <c r="K22" s="28" t="b">
        <v>0</v>
      </c>
      <c r="L22" s="28" t="b">
        <v>0</v>
      </c>
      <c r="M22" s="28" t="b">
        <v>0</v>
      </c>
      <c r="N22" s="28" t="b">
        <v>1</v>
      </c>
      <c r="O22" s="28" t="b">
        <v>0</v>
      </c>
    </row>
    <row r="23" spans="1:15" ht="15.95" customHeight="1" x14ac:dyDescent="0.25">
      <c r="A23" s="31">
        <v>43453.486354166664</v>
      </c>
      <c r="B23" s="28" t="s">
        <v>2603</v>
      </c>
      <c r="C23" s="28" t="s">
        <v>2665</v>
      </c>
      <c r="D23" s="28" t="s">
        <v>2666</v>
      </c>
      <c r="E23" s="28">
        <v>3</v>
      </c>
      <c r="F23" s="28">
        <v>3.21</v>
      </c>
      <c r="G23" s="28">
        <v>3.6</v>
      </c>
      <c r="H23" s="28">
        <v>3.7</v>
      </c>
      <c r="I23" s="28">
        <v>1</v>
      </c>
      <c r="J23" s="28" t="b">
        <v>0</v>
      </c>
      <c r="K23" s="28" t="b">
        <v>0</v>
      </c>
      <c r="L23" s="28" t="b">
        <v>0</v>
      </c>
      <c r="M23" s="28" t="b">
        <v>0</v>
      </c>
      <c r="N23" s="28" t="b">
        <v>1</v>
      </c>
      <c r="O23" s="28" t="b">
        <v>0</v>
      </c>
    </row>
    <row r="24" spans="1:15" ht="15.95" customHeight="1" x14ac:dyDescent="0.25">
      <c r="A24" s="31">
        <v>43453.486354166664</v>
      </c>
      <c r="B24" s="28" t="s">
        <v>2603</v>
      </c>
      <c r="C24" s="28" t="s">
        <v>2663</v>
      </c>
      <c r="D24" s="28" t="s">
        <v>2664</v>
      </c>
      <c r="E24" s="28">
        <v>0</v>
      </c>
      <c r="F24" s="28">
        <v>3.21</v>
      </c>
      <c r="G24" s="28">
        <v>3.6</v>
      </c>
      <c r="H24" s="28">
        <v>3.7</v>
      </c>
      <c r="I24" s="28">
        <v>1</v>
      </c>
      <c r="J24" s="28" t="b">
        <v>0</v>
      </c>
      <c r="K24" s="28" t="b">
        <v>0</v>
      </c>
      <c r="L24" s="28" t="b">
        <v>0</v>
      </c>
      <c r="M24" s="28" t="b">
        <v>0</v>
      </c>
      <c r="N24" s="28" t="b">
        <v>1</v>
      </c>
      <c r="O24" s="28" t="b">
        <v>0</v>
      </c>
    </row>
    <row r="25" spans="1:15" ht="15.95" customHeight="1" x14ac:dyDescent="0.25">
      <c r="A25" s="31">
        <v>43453.486354166664</v>
      </c>
      <c r="B25" s="28" t="s">
        <v>2603</v>
      </c>
      <c r="C25" s="28" t="s">
        <v>2665</v>
      </c>
      <c r="D25" s="28" t="s">
        <v>2666</v>
      </c>
      <c r="E25" s="28">
        <v>3</v>
      </c>
      <c r="F25" s="28">
        <v>3.21</v>
      </c>
      <c r="G25" s="28">
        <v>3.6</v>
      </c>
      <c r="H25" s="28">
        <v>3.7</v>
      </c>
      <c r="I25" s="28">
        <v>1</v>
      </c>
      <c r="J25" s="28" t="b">
        <v>0</v>
      </c>
      <c r="K25" s="28" t="b">
        <v>0</v>
      </c>
      <c r="L25" s="28" t="b">
        <v>0</v>
      </c>
      <c r="M25" s="28" t="b">
        <v>0</v>
      </c>
      <c r="N25" s="28" t="b">
        <v>1</v>
      </c>
      <c r="O25" s="28" t="b">
        <v>0</v>
      </c>
    </row>
    <row r="26" spans="1:15" ht="15.95" customHeight="1" x14ac:dyDescent="0.25">
      <c r="A26" s="31">
        <v>43453.486354166664</v>
      </c>
      <c r="B26" s="28" t="s">
        <v>2603</v>
      </c>
      <c r="C26" s="28" t="s">
        <v>2663</v>
      </c>
      <c r="D26" s="28" t="s">
        <v>2664</v>
      </c>
      <c r="E26" s="28">
        <v>0</v>
      </c>
      <c r="F26" s="28">
        <v>3.21</v>
      </c>
      <c r="G26" s="28">
        <v>3.6</v>
      </c>
      <c r="H26" s="28">
        <v>3.7</v>
      </c>
      <c r="I26" s="28">
        <v>1</v>
      </c>
      <c r="J26" s="28" t="b">
        <v>0</v>
      </c>
      <c r="K26" s="28" t="b">
        <v>0</v>
      </c>
      <c r="L26" s="28" t="b">
        <v>0</v>
      </c>
      <c r="M26" s="28" t="b">
        <v>0</v>
      </c>
      <c r="N26" s="28" t="b">
        <v>1</v>
      </c>
      <c r="O26" s="28" t="b">
        <v>0</v>
      </c>
    </row>
    <row r="27" spans="1:15" ht="15.95" customHeight="1" x14ac:dyDescent="0.25">
      <c r="A27" s="31">
        <v>43453.486354166664</v>
      </c>
      <c r="B27" s="28" t="s">
        <v>2603</v>
      </c>
      <c r="C27" s="28" t="s">
        <v>2665</v>
      </c>
      <c r="D27" s="28" t="s">
        <v>2666</v>
      </c>
      <c r="E27" s="28">
        <v>3</v>
      </c>
      <c r="F27" s="28">
        <v>3.21</v>
      </c>
      <c r="G27" s="28">
        <v>3.6</v>
      </c>
      <c r="H27" s="28">
        <v>3.7</v>
      </c>
      <c r="I27" s="28">
        <v>1</v>
      </c>
      <c r="J27" s="28" t="b">
        <v>0</v>
      </c>
      <c r="K27" s="28" t="b">
        <v>0</v>
      </c>
      <c r="L27" s="28" t="b">
        <v>0</v>
      </c>
      <c r="M27" s="28" t="b">
        <v>0</v>
      </c>
      <c r="N27" s="28" t="b">
        <v>1</v>
      </c>
      <c r="O27" s="28" t="b">
        <v>0</v>
      </c>
    </row>
    <row r="28" spans="1:15" ht="15.95" customHeight="1" x14ac:dyDescent="0.25">
      <c r="A28" s="31">
        <v>43453.486354166664</v>
      </c>
      <c r="B28" s="28" t="s">
        <v>2603</v>
      </c>
      <c r="C28" s="28" t="s">
        <v>2663</v>
      </c>
      <c r="D28" s="28" t="s">
        <v>2664</v>
      </c>
      <c r="E28" s="28">
        <v>0</v>
      </c>
      <c r="F28" s="28">
        <v>3.21</v>
      </c>
      <c r="G28" s="28">
        <v>3.6</v>
      </c>
      <c r="H28" s="28">
        <v>3.7</v>
      </c>
      <c r="I28" s="28">
        <v>1</v>
      </c>
      <c r="J28" s="28" t="b">
        <v>0</v>
      </c>
      <c r="K28" s="28" t="b">
        <v>0</v>
      </c>
      <c r="L28" s="28" t="b">
        <v>0</v>
      </c>
      <c r="M28" s="28" t="b">
        <v>0</v>
      </c>
      <c r="N28" s="28" t="b">
        <v>1</v>
      </c>
      <c r="O28" s="28" t="b">
        <v>0</v>
      </c>
    </row>
    <row r="29" spans="1:15" ht="15.95" customHeight="1" x14ac:dyDescent="0.25">
      <c r="A29" s="31">
        <v>43453.486354166664</v>
      </c>
      <c r="B29" s="28" t="s">
        <v>2603</v>
      </c>
      <c r="C29" s="28" t="s">
        <v>2665</v>
      </c>
      <c r="D29" s="28" t="s">
        <v>2666</v>
      </c>
      <c r="E29" s="28">
        <v>3</v>
      </c>
      <c r="F29" s="28">
        <v>3.21</v>
      </c>
      <c r="G29" s="28">
        <v>3.6</v>
      </c>
      <c r="H29" s="28">
        <v>3.7</v>
      </c>
      <c r="I29" s="28">
        <v>1</v>
      </c>
      <c r="J29" s="28" t="b">
        <v>0</v>
      </c>
      <c r="K29" s="28" t="b">
        <v>0</v>
      </c>
      <c r="L29" s="28" t="b">
        <v>0</v>
      </c>
      <c r="M29" s="28" t="b">
        <v>0</v>
      </c>
      <c r="N29" s="28" t="b">
        <v>1</v>
      </c>
      <c r="O29" s="28" t="b">
        <v>0</v>
      </c>
    </row>
    <row r="30" spans="1:15" ht="15.95" customHeight="1" x14ac:dyDescent="0.25">
      <c r="A30" s="31">
        <v>43453.486354166664</v>
      </c>
      <c r="B30" s="28" t="s">
        <v>2603</v>
      </c>
      <c r="C30" s="28" t="s">
        <v>2663</v>
      </c>
      <c r="D30" s="28" t="s">
        <v>2664</v>
      </c>
      <c r="E30" s="28">
        <v>0</v>
      </c>
      <c r="F30" s="28">
        <v>3.21</v>
      </c>
      <c r="G30" s="28">
        <v>3.6</v>
      </c>
      <c r="H30" s="28">
        <v>3.7</v>
      </c>
      <c r="I30" s="28">
        <v>1</v>
      </c>
      <c r="J30" s="28" t="b">
        <v>0</v>
      </c>
      <c r="K30" s="28" t="b">
        <v>0</v>
      </c>
      <c r="L30" s="28" t="b">
        <v>0</v>
      </c>
      <c r="M30" s="28" t="b">
        <v>0</v>
      </c>
      <c r="N30" s="28" t="b">
        <v>1</v>
      </c>
      <c r="O30" s="28" t="b">
        <v>0</v>
      </c>
    </row>
    <row r="31" spans="1:15" ht="15.95" customHeight="1" x14ac:dyDescent="0.25">
      <c r="A31" s="31">
        <v>43453.486354166664</v>
      </c>
      <c r="B31" s="28" t="s">
        <v>2603</v>
      </c>
      <c r="C31" s="28" t="s">
        <v>2665</v>
      </c>
      <c r="D31" s="28" t="s">
        <v>2666</v>
      </c>
      <c r="E31" s="28">
        <v>3</v>
      </c>
      <c r="F31" s="28">
        <v>3.21</v>
      </c>
      <c r="G31" s="28">
        <v>3.6</v>
      </c>
      <c r="H31" s="28">
        <v>3.7</v>
      </c>
      <c r="I31" s="28">
        <v>1</v>
      </c>
      <c r="J31" s="28" t="b">
        <v>0</v>
      </c>
      <c r="K31" s="28" t="b">
        <v>0</v>
      </c>
      <c r="L31" s="28" t="b">
        <v>0</v>
      </c>
      <c r="M31" s="28" t="b">
        <v>0</v>
      </c>
      <c r="N31" s="28" t="b">
        <v>1</v>
      </c>
      <c r="O31" s="28" t="b">
        <v>0</v>
      </c>
    </row>
    <row r="32" spans="1:15" ht="15.95" customHeight="1" x14ac:dyDescent="0.25">
      <c r="A32" s="31">
        <v>43453.486354166664</v>
      </c>
      <c r="B32" s="28" t="s">
        <v>2603</v>
      </c>
      <c r="C32" s="28" t="s">
        <v>2663</v>
      </c>
      <c r="D32" s="28" t="s">
        <v>2664</v>
      </c>
      <c r="E32" s="28">
        <v>0</v>
      </c>
      <c r="F32" s="28">
        <v>3.21</v>
      </c>
      <c r="G32" s="28">
        <v>3.6</v>
      </c>
      <c r="H32" s="28">
        <v>3.7</v>
      </c>
      <c r="I32" s="28">
        <v>1</v>
      </c>
      <c r="J32" s="28" t="b">
        <v>0</v>
      </c>
      <c r="K32" s="28" t="b">
        <v>0</v>
      </c>
      <c r="L32" s="28" t="b">
        <v>0</v>
      </c>
      <c r="M32" s="28" t="b">
        <v>0</v>
      </c>
      <c r="N32" s="28" t="b">
        <v>1</v>
      </c>
      <c r="O32" s="28" t="b">
        <v>0</v>
      </c>
    </row>
    <row r="33" spans="1:15" ht="15.95" customHeight="1" x14ac:dyDescent="0.25">
      <c r="A33" s="31">
        <v>43453.486354166664</v>
      </c>
      <c r="B33" s="28" t="s">
        <v>2603</v>
      </c>
      <c r="C33" s="28" t="s">
        <v>2665</v>
      </c>
      <c r="D33" s="28" t="s">
        <v>2666</v>
      </c>
      <c r="E33" s="28">
        <v>3</v>
      </c>
      <c r="F33" s="28">
        <v>3.21</v>
      </c>
      <c r="G33" s="28">
        <v>3.6</v>
      </c>
      <c r="H33" s="28">
        <v>3.7</v>
      </c>
      <c r="I33" s="28">
        <v>1</v>
      </c>
      <c r="J33" s="28" t="b">
        <v>0</v>
      </c>
      <c r="K33" s="28" t="b">
        <v>0</v>
      </c>
      <c r="L33" s="28" t="b">
        <v>0</v>
      </c>
      <c r="M33" s="28" t="b">
        <v>0</v>
      </c>
      <c r="N33" s="28" t="b">
        <v>1</v>
      </c>
      <c r="O33" s="28" t="b">
        <v>0</v>
      </c>
    </row>
    <row r="34" spans="1:15" ht="15.95" customHeight="1" x14ac:dyDescent="0.25">
      <c r="A34" s="31">
        <v>43453.486354166664</v>
      </c>
      <c r="B34" s="28" t="s">
        <v>2603</v>
      </c>
      <c r="C34" s="28" t="s">
        <v>2663</v>
      </c>
      <c r="D34" s="28" t="s">
        <v>2664</v>
      </c>
      <c r="E34" s="28">
        <v>0</v>
      </c>
      <c r="F34" s="28">
        <v>3.21</v>
      </c>
      <c r="G34" s="28">
        <v>3.6</v>
      </c>
      <c r="H34" s="28">
        <v>3.7</v>
      </c>
      <c r="I34" s="28">
        <v>1</v>
      </c>
      <c r="J34" s="28" t="b">
        <v>0</v>
      </c>
      <c r="K34" s="28" t="b">
        <v>0</v>
      </c>
      <c r="L34" s="28" t="b">
        <v>0</v>
      </c>
      <c r="M34" s="28" t="b">
        <v>0</v>
      </c>
      <c r="N34" s="28" t="b">
        <v>1</v>
      </c>
      <c r="O34" s="28" t="b">
        <v>0</v>
      </c>
    </row>
    <row r="35" spans="1:15" ht="15.95" customHeight="1" x14ac:dyDescent="0.25">
      <c r="A35" s="31">
        <v>43453.486354166664</v>
      </c>
      <c r="B35" s="28" t="s">
        <v>2603</v>
      </c>
      <c r="C35" s="28" t="s">
        <v>2665</v>
      </c>
      <c r="D35" s="28" t="s">
        <v>2666</v>
      </c>
      <c r="E35" s="28">
        <v>3</v>
      </c>
      <c r="F35" s="28">
        <v>3.21</v>
      </c>
      <c r="G35" s="28">
        <v>3.6</v>
      </c>
      <c r="H35" s="28">
        <v>3.7</v>
      </c>
      <c r="I35" s="28">
        <v>1</v>
      </c>
      <c r="J35" s="28" t="b">
        <v>0</v>
      </c>
      <c r="K35" s="28" t="b">
        <v>0</v>
      </c>
      <c r="L35" s="28" t="b">
        <v>0</v>
      </c>
      <c r="M35" s="28" t="b">
        <v>0</v>
      </c>
      <c r="N35" s="28" t="b">
        <v>1</v>
      </c>
      <c r="O35" s="28" t="b">
        <v>0</v>
      </c>
    </row>
    <row r="36" spans="1:15" ht="15.95" customHeight="1" x14ac:dyDescent="0.25">
      <c r="A36" s="31">
        <v>43453.486354166664</v>
      </c>
      <c r="B36" s="28" t="s">
        <v>2603</v>
      </c>
      <c r="C36" s="28" t="s">
        <v>2663</v>
      </c>
      <c r="D36" s="28" t="s">
        <v>2664</v>
      </c>
      <c r="E36" s="28">
        <v>0</v>
      </c>
      <c r="F36" s="28">
        <v>3.21</v>
      </c>
      <c r="G36" s="28">
        <v>3.6</v>
      </c>
      <c r="H36" s="28">
        <v>3.7</v>
      </c>
      <c r="I36" s="28">
        <v>1</v>
      </c>
      <c r="J36" s="28" t="b">
        <v>0</v>
      </c>
      <c r="K36" s="28" t="b">
        <v>0</v>
      </c>
      <c r="L36" s="28" t="b">
        <v>0</v>
      </c>
      <c r="M36" s="28" t="b">
        <v>0</v>
      </c>
      <c r="N36" s="28" t="b">
        <v>1</v>
      </c>
      <c r="O36" s="28" t="b">
        <v>0</v>
      </c>
    </row>
    <row r="37" spans="1:15" ht="15.95" customHeight="1" x14ac:dyDescent="0.25">
      <c r="A37" s="31">
        <v>43453.486354166664</v>
      </c>
      <c r="B37" s="28" t="s">
        <v>2603</v>
      </c>
      <c r="C37" s="28" t="s">
        <v>2665</v>
      </c>
      <c r="D37" s="28" t="s">
        <v>2666</v>
      </c>
      <c r="E37" s="28">
        <v>3</v>
      </c>
      <c r="F37" s="28">
        <v>3.21</v>
      </c>
      <c r="G37" s="28">
        <v>3.6</v>
      </c>
      <c r="H37" s="28">
        <v>3.7</v>
      </c>
      <c r="I37" s="28">
        <v>1</v>
      </c>
      <c r="J37" s="28" t="b">
        <v>0</v>
      </c>
      <c r="K37" s="28" t="b">
        <v>0</v>
      </c>
      <c r="L37" s="28" t="b">
        <v>0</v>
      </c>
      <c r="M37" s="28" t="b">
        <v>0</v>
      </c>
      <c r="N37" s="28" t="b">
        <v>1</v>
      </c>
      <c r="O37" s="28" t="b">
        <v>0</v>
      </c>
    </row>
    <row r="38" spans="1:15" ht="15.95" customHeight="1" x14ac:dyDescent="0.25">
      <c r="A38" s="31">
        <v>43453.486354166664</v>
      </c>
      <c r="B38" s="28" t="s">
        <v>2603</v>
      </c>
      <c r="C38" s="28" t="s">
        <v>2663</v>
      </c>
      <c r="D38" s="28" t="s">
        <v>2664</v>
      </c>
      <c r="E38" s="28">
        <v>0</v>
      </c>
      <c r="F38" s="28">
        <v>3.21</v>
      </c>
      <c r="G38" s="28">
        <v>3.6</v>
      </c>
      <c r="H38" s="28">
        <v>3.7</v>
      </c>
      <c r="I38" s="28">
        <v>1</v>
      </c>
      <c r="J38" s="28" t="b">
        <v>0</v>
      </c>
      <c r="K38" s="28" t="b">
        <v>0</v>
      </c>
      <c r="L38" s="28" t="b">
        <v>0</v>
      </c>
      <c r="M38" s="28" t="b">
        <v>0</v>
      </c>
      <c r="N38" s="28" t="b">
        <v>1</v>
      </c>
      <c r="O38" s="28" t="b">
        <v>0</v>
      </c>
    </row>
    <row r="39" spans="1:15" ht="15.95" customHeight="1" x14ac:dyDescent="0.25">
      <c r="A39" s="31">
        <v>43453.486354166664</v>
      </c>
      <c r="B39" s="28" t="s">
        <v>2603</v>
      </c>
      <c r="C39" s="28" t="s">
        <v>2665</v>
      </c>
      <c r="D39" s="28" t="s">
        <v>2666</v>
      </c>
      <c r="E39" s="28">
        <v>3</v>
      </c>
      <c r="F39" s="28">
        <v>3.21</v>
      </c>
      <c r="G39" s="28">
        <v>3.6</v>
      </c>
      <c r="H39" s="28">
        <v>3.7</v>
      </c>
      <c r="I39" s="28">
        <v>1</v>
      </c>
      <c r="J39" s="28" t="b">
        <v>0</v>
      </c>
      <c r="K39" s="28" t="b">
        <v>0</v>
      </c>
      <c r="L39" s="28" t="b">
        <v>0</v>
      </c>
      <c r="M39" s="28" t="b">
        <v>0</v>
      </c>
      <c r="N39" s="28" t="b">
        <v>1</v>
      </c>
      <c r="O39" s="28" t="b">
        <v>0</v>
      </c>
    </row>
    <row r="40" spans="1:15" ht="15.95" customHeight="1" x14ac:dyDescent="0.25">
      <c r="A40" s="31">
        <v>43453.486354166664</v>
      </c>
      <c r="B40" s="28" t="s">
        <v>2603</v>
      </c>
      <c r="C40" s="28" t="s">
        <v>2663</v>
      </c>
      <c r="D40" s="28" t="s">
        <v>2664</v>
      </c>
      <c r="E40" s="28">
        <v>0</v>
      </c>
      <c r="F40" s="28">
        <v>3.21</v>
      </c>
      <c r="G40" s="28">
        <v>3.6</v>
      </c>
      <c r="H40" s="28">
        <v>3.7</v>
      </c>
      <c r="I40" s="28">
        <v>1</v>
      </c>
      <c r="J40" s="28" t="b">
        <v>0</v>
      </c>
      <c r="K40" s="28" t="b">
        <v>0</v>
      </c>
      <c r="L40" s="28" t="b">
        <v>0</v>
      </c>
      <c r="M40" s="28" t="b">
        <v>0</v>
      </c>
      <c r="N40" s="28" t="b">
        <v>1</v>
      </c>
      <c r="O40" s="28" t="b">
        <v>0</v>
      </c>
    </row>
    <row r="41" spans="1:15" ht="15.95" customHeight="1" x14ac:dyDescent="0.25">
      <c r="A41" s="31">
        <v>43453.486354166664</v>
      </c>
      <c r="B41" s="28" t="s">
        <v>2603</v>
      </c>
      <c r="C41" s="28" t="s">
        <v>2665</v>
      </c>
      <c r="D41" s="28" t="s">
        <v>2666</v>
      </c>
      <c r="E41" s="28">
        <v>3</v>
      </c>
      <c r="F41" s="28">
        <v>3.21</v>
      </c>
      <c r="G41" s="28">
        <v>3.6</v>
      </c>
      <c r="H41" s="28">
        <v>3.7</v>
      </c>
      <c r="I41" s="28">
        <v>1</v>
      </c>
      <c r="J41" s="28" t="b">
        <v>0</v>
      </c>
      <c r="K41" s="28" t="b">
        <v>0</v>
      </c>
      <c r="L41" s="28" t="b">
        <v>0</v>
      </c>
      <c r="M41" s="28" t="b">
        <v>0</v>
      </c>
      <c r="N41" s="28" t="b">
        <v>1</v>
      </c>
      <c r="O41" s="28" t="b">
        <v>0</v>
      </c>
    </row>
    <row r="42" spans="1:15" ht="15.95" customHeight="1" x14ac:dyDescent="0.25">
      <c r="A42" s="31">
        <v>43453.486354166664</v>
      </c>
      <c r="B42" s="28" t="s">
        <v>2603</v>
      </c>
      <c r="C42" s="28" t="s">
        <v>2663</v>
      </c>
      <c r="D42" s="28" t="s">
        <v>2664</v>
      </c>
      <c r="E42" s="28">
        <v>0</v>
      </c>
      <c r="F42" s="28">
        <v>3.21</v>
      </c>
      <c r="G42" s="28">
        <v>3.6</v>
      </c>
      <c r="H42" s="28">
        <v>3.7</v>
      </c>
      <c r="I42" s="28">
        <v>1</v>
      </c>
      <c r="J42" s="28" t="b">
        <v>0</v>
      </c>
      <c r="K42" s="28" t="b">
        <v>0</v>
      </c>
      <c r="L42" s="28" t="b">
        <v>0</v>
      </c>
      <c r="M42" s="28" t="b">
        <v>0</v>
      </c>
      <c r="N42" s="28" t="b">
        <v>1</v>
      </c>
      <c r="O42" s="28" t="b">
        <v>0</v>
      </c>
    </row>
    <row r="43" spans="1:15" ht="15.95" customHeight="1" x14ac:dyDescent="0.25">
      <c r="A43" s="31">
        <v>43453.486354166664</v>
      </c>
      <c r="B43" s="28" t="s">
        <v>2603</v>
      </c>
      <c r="C43" s="28" t="s">
        <v>2665</v>
      </c>
      <c r="D43" s="28" t="s">
        <v>2666</v>
      </c>
      <c r="E43" s="28">
        <v>3</v>
      </c>
      <c r="F43" s="28">
        <v>3.21</v>
      </c>
      <c r="G43" s="28">
        <v>3.6</v>
      </c>
      <c r="H43" s="28">
        <v>3.7</v>
      </c>
      <c r="I43" s="28">
        <v>1</v>
      </c>
      <c r="J43" s="28" t="b">
        <v>0</v>
      </c>
      <c r="K43" s="28" t="b">
        <v>0</v>
      </c>
      <c r="L43" s="28" t="b">
        <v>0</v>
      </c>
      <c r="M43" s="28" t="b">
        <v>0</v>
      </c>
      <c r="N43" s="28" t="b">
        <v>1</v>
      </c>
      <c r="O43" s="28" t="b">
        <v>0</v>
      </c>
    </row>
    <row r="44" spans="1:15" ht="15.95" customHeight="1" x14ac:dyDescent="0.25">
      <c r="A44" s="31">
        <v>43453.486354166664</v>
      </c>
      <c r="B44" s="28" t="s">
        <v>2603</v>
      </c>
      <c r="C44" s="28" t="s">
        <v>2663</v>
      </c>
      <c r="D44" s="28" t="s">
        <v>2664</v>
      </c>
      <c r="E44" s="28">
        <v>0</v>
      </c>
      <c r="F44" s="28">
        <v>3.21</v>
      </c>
      <c r="G44" s="28">
        <v>3.6</v>
      </c>
      <c r="H44" s="28">
        <v>3.7</v>
      </c>
      <c r="I44" s="28">
        <v>1</v>
      </c>
      <c r="J44" s="28" t="b">
        <v>0</v>
      </c>
      <c r="K44" s="28" t="b">
        <v>0</v>
      </c>
      <c r="L44" s="28" t="b">
        <v>0</v>
      </c>
      <c r="M44" s="28" t="b">
        <v>0</v>
      </c>
      <c r="N44" s="28" t="b">
        <v>1</v>
      </c>
      <c r="O44" s="28" t="b">
        <v>0</v>
      </c>
    </row>
    <row r="45" spans="1:15" ht="15.95" customHeight="1" x14ac:dyDescent="0.25">
      <c r="A45" s="31">
        <v>43453.486354166664</v>
      </c>
      <c r="B45" s="28" t="s">
        <v>2603</v>
      </c>
      <c r="C45" s="28" t="s">
        <v>2665</v>
      </c>
      <c r="D45" s="28" t="s">
        <v>2666</v>
      </c>
      <c r="E45" s="28">
        <v>3</v>
      </c>
      <c r="F45" s="28">
        <v>3.21</v>
      </c>
      <c r="G45" s="28">
        <v>3.6</v>
      </c>
      <c r="H45" s="28">
        <v>3.7</v>
      </c>
      <c r="I45" s="28">
        <v>1</v>
      </c>
      <c r="J45" s="28" t="b">
        <v>0</v>
      </c>
      <c r="K45" s="28" t="b">
        <v>0</v>
      </c>
      <c r="L45" s="28" t="b">
        <v>0</v>
      </c>
      <c r="M45" s="28" t="b">
        <v>0</v>
      </c>
      <c r="N45" s="28" t="b">
        <v>1</v>
      </c>
      <c r="O45" s="28" t="b">
        <v>0</v>
      </c>
    </row>
    <row r="46" spans="1:15" ht="15.95" customHeight="1" x14ac:dyDescent="0.25">
      <c r="A46" s="31">
        <v>43453.486354166664</v>
      </c>
      <c r="B46" s="28" t="s">
        <v>2603</v>
      </c>
      <c r="C46" s="28" t="s">
        <v>2667</v>
      </c>
      <c r="D46" s="28" t="s">
        <v>2664</v>
      </c>
      <c r="E46" s="28" t="s">
        <v>2668</v>
      </c>
      <c r="F46" s="28">
        <v>3.21</v>
      </c>
      <c r="G46" s="28">
        <v>3.6</v>
      </c>
      <c r="H46" s="28">
        <v>3.7</v>
      </c>
      <c r="I46" s="28">
        <v>1</v>
      </c>
      <c r="J46" s="28" t="b">
        <v>0</v>
      </c>
      <c r="K46" s="28" t="b">
        <v>0</v>
      </c>
      <c r="L46" s="28" t="b">
        <v>0</v>
      </c>
      <c r="M46" s="28" t="b">
        <v>0</v>
      </c>
      <c r="N46" s="28" t="b">
        <v>1</v>
      </c>
      <c r="O46" s="28" t="b">
        <v>0</v>
      </c>
    </row>
    <row r="47" spans="1:15" ht="15.95" customHeight="1" x14ac:dyDescent="0.25">
      <c r="A47" s="31">
        <v>43453.486354166664</v>
      </c>
      <c r="B47" s="28" t="s">
        <v>2603</v>
      </c>
      <c r="C47" s="28" t="s">
        <v>2669</v>
      </c>
      <c r="D47" s="28" t="s">
        <v>2664</v>
      </c>
      <c r="E47" s="28">
        <v>0</v>
      </c>
      <c r="F47" s="28">
        <v>3.21</v>
      </c>
      <c r="G47" s="28">
        <v>3.6</v>
      </c>
      <c r="H47" s="28">
        <v>3.7</v>
      </c>
      <c r="I47" s="28">
        <v>1</v>
      </c>
      <c r="J47" s="28" t="b">
        <v>0</v>
      </c>
      <c r="K47" s="28" t="b">
        <v>0</v>
      </c>
      <c r="L47" s="28" t="b">
        <v>0</v>
      </c>
      <c r="M47" s="28" t="b">
        <v>0</v>
      </c>
      <c r="N47" s="28" t="b">
        <v>1</v>
      </c>
      <c r="O47" s="28" t="b">
        <v>0</v>
      </c>
    </row>
    <row r="48" spans="1:15" ht="15.95" customHeight="1" x14ac:dyDescent="0.25">
      <c r="A48" s="31">
        <v>43453.486354166664</v>
      </c>
      <c r="B48" s="28" t="s">
        <v>2603</v>
      </c>
      <c r="C48" s="28" t="s">
        <v>2665</v>
      </c>
      <c r="D48" s="28" t="s">
        <v>2666</v>
      </c>
      <c r="E48" s="28">
        <v>202</v>
      </c>
      <c r="F48" s="28">
        <v>3.21</v>
      </c>
      <c r="G48" s="28">
        <v>3.6</v>
      </c>
      <c r="H48" s="28">
        <v>3.7</v>
      </c>
      <c r="I48" s="28">
        <v>1</v>
      </c>
      <c r="J48" s="28" t="b">
        <v>0</v>
      </c>
      <c r="K48" s="28" t="b">
        <v>0</v>
      </c>
      <c r="L48" s="28" t="b">
        <v>0</v>
      </c>
      <c r="M48" s="28" t="b">
        <v>0</v>
      </c>
      <c r="N48" s="28" t="b">
        <v>1</v>
      </c>
      <c r="O48" s="28" t="b">
        <v>0</v>
      </c>
    </row>
    <row r="49" spans="1:15" ht="15.95" customHeight="1" x14ac:dyDescent="0.25">
      <c r="A49" s="31">
        <v>43453.486388888887</v>
      </c>
      <c r="B49" s="28" t="s">
        <v>2603</v>
      </c>
      <c r="C49" s="28" t="s">
        <v>2670</v>
      </c>
      <c r="D49" s="28" t="s">
        <v>2671</v>
      </c>
      <c r="E49" s="28">
        <v>0</v>
      </c>
      <c r="F49" s="28">
        <v>3.21</v>
      </c>
      <c r="G49" s="28">
        <v>3.6</v>
      </c>
      <c r="H49" s="28">
        <v>3.7</v>
      </c>
      <c r="I49" s="28">
        <v>1</v>
      </c>
      <c r="J49" s="28" t="b">
        <v>0</v>
      </c>
      <c r="K49" s="28" t="b">
        <v>0</v>
      </c>
      <c r="L49" s="28" t="b">
        <v>0</v>
      </c>
      <c r="M49" s="28" t="b">
        <v>0</v>
      </c>
      <c r="N49" s="28" t="b">
        <v>1</v>
      </c>
      <c r="O49" s="28" t="b">
        <v>0</v>
      </c>
    </row>
    <row r="50" spans="1:15" ht="15.95" customHeight="1" x14ac:dyDescent="0.25">
      <c r="A50" s="31">
        <v>43453.486388888887</v>
      </c>
      <c r="B50" s="28" t="s">
        <v>2603</v>
      </c>
      <c r="C50" s="28" t="s">
        <v>2413</v>
      </c>
      <c r="D50" s="28"/>
      <c r="E50" s="28" t="s">
        <v>2657</v>
      </c>
      <c r="F50" s="28">
        <v>3.21</v>
      </c>
      <c r="G50" s="28">
        <v>3.6</v>
      </c>
      <c r="H50" s="28">
        <v>3.7</v>
      </c>
      <c r="I50" s="28">
        <v>1</v>
      </c>
      <c r="J50" s="28" t="b">
        <v>0</v>
      </c>
      <c r="K50" s="28" t="b">
        <v>0</v>
      </c>
      <c r="L50" s="28" t="b">
        <v>0</v>
      </c>
      <c r="M50" s="28" t="b">
        <v>0</v>
      </c>
      <c r="N50" s="28" t="b">
        <v>1</v>
      </c>
      <c r="O50" s="28" t="b">
        <v>0</v>
      </c>
    </row>
    <row r="51" spans="1:15" ht="15.95" customHeight="1" x14ac:dyDescent="0.25">
      <c r="A51" s="31">
        <v>43453.486527777779</v>
      </c>
      <c r="B51" s="28" t="s">
        <v>2603</v>
      </c>
      <c r="C51" s="28" t="s">
        <v>2547</v>
      </c>
      <c r="D51" s="28" t="s">
        <v>2604</v>
      </c>
      <c r="E51" s="28">
        <v>0</v>
      </c>
      <c r="F51" s="28">
        <v>3.21</v>
      </c>
      <c r="G51" s="28">
        <v>3.6</v>
      </c>
      <c r="H51" s="28">
        <v>3.7</v>
      </c>
      <c r="I51" s="28">
        <v>1</v>
      </c>
      <c r="J51" s="28" t="b">
        <v>0</v>
      </c>
      <c r="K51" s="28" t="b">
        <v>0</v>
      </c>
      <c r="L51" s="28" t="b">
        <v>0</v>
      </c>
      <c r="M51" s="28" t="b">
        <v>0</v>
      </c>
      <c r="N51" s="28" t="b">
        <v>1</v>
      </c>
      <c r="O51" s="28" t="b">
        <v>0</v>
      </c>
    </row>
    <row r="52" spans="1:15" ht="15.95" customHeight="1" x14ac:dyDescent="0.25">
      <c r="A52" s="31">
        <v>43453.486712962964</v>
      </c>
      <c r="B52" s="28" t="s">
        <v>2603</v>
      </c>
      <c r="C52" s="28" t="s">
        <v>2502</v>
      </c>
      <c r="D52" s="28"/>
      <c r="E52" s="28" t="s">
        <v>2657</v>
      </c>
      <c r="F52" s="28">
        <v>3.21</v>
      </c>
      <c r="G52" s="28">
        <v>3.6</v>
      </c>
      <c r="H52" s="28">
        <v>3.7</v>
      </c>
      <c r="I52" s="28">
        <v>1</v>
      </c>
      <c r="J52" s="28" t="b">
        <v>1</v>
      </c>
      <c r="K52" s="28" t="b">
        <v>1</v>
      </c>
      <c r="L52" s="28" t="b">
        <v>0</v>
      </c>
      <c r="M52" s="28" t="b">
        <v>1</v>
      </c>
      <c r="N52" s="28" t="b">
        <v>1</v>
      </c>
      <c r="O52" s="28" t="b">
        <v>0</v>
      </c>
    </row>
    <row r="53" spans="1:15" ht="15.95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</row>
    <row r="54" spans="1:15" ht="15.95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</row>
    <row r="55" spans="1:15" ht="15.95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</row>
    <row r="56" spans="1:15" ht="15.95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1:15" ht="15.95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</row>
    <row r="58" spans="1:15" ht="15.95" customHeight="1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</row>
    <row r="59" spans="1:15" ht="15.95" customHeight="1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</row>
    <row r="60" spans="1:15" ht="15.95" customHeight="1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</row>
    <row r="61" spans="1:15" ht="15.95" customHeight="1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</row>
    <row r="62" spans="1:15" ht="15.95" customHeight="1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1:15" ht="15.95" customHeight="1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1:15" ht="15.95" customHeight="1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1:15" ht="15.95" customHeight="1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1:15" ht="15.95" customHeight="1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</row>
    <row r="67" spans="1:15" ht="15.95" customHeight="1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</row>
    <row r="68" spans="1:15" ht="15.95" customHeight="1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</row>
    <row r="69" spans="1:15" ht="15.95" customHeight="1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</row>
    <row r="70" spans="1:15" ht="15.95" customHeight="1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</row>
    <row r="71" spans="1:15" ht="15.95" customHeight="1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</row>
    <row r="72" spans="1:15" ht="15.95" customHeight="1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</row>
    <row r="73" spans="1:15" ht="15.95" customHeight="1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</row>
    <row r="74" spans="1:15" ht="15.95" customHeight="1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</row>
    <row r="75" spans="1:15" ht="15.95" customHeight="1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</row>
    <row r="76" spans="1:15" ht="15.95" customHeight="1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</row>
    <row r="77" spans="1:15" ht="15.95" customHeight="1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</row>
    <row r="78" spans="1:15" ht="15.95" customHeight="1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</row>
    <row r="79" spans="1:15" ht="15.95" customHeight="1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</row>
    <row r="80" spans="1:15" ht="15.95" customHeight="1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</row>
    <row r="81" spans="1:15" ht="15.95" customHeight="1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</row>
    <row r="82" spans="1:15" ht="15.95" customHeight="1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</row>
    <row r="83" spans="1:15" ht="15.95" customHeight="1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</row>
    <row r="84" spans="1:15" ht="15.95" customHeight="1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</row>
    <row r="85" spans="1:15" ht="15.95" customHeight="1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</row>
    <row r="86" spans="1:15" ht="15.95" customHeight="1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</row>
    <row r="87" spans="1:15" ht="15.95" customHeight="1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</row>
    <row r="88" spans="1:15" ht="15.95" customHeight="1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</row>
    <row r="89" spans="1:15" ht="15.95" customHeight="1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</row>
    <row r="90" spans="1:15" ht="15.95" customHeight="1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</row>
    <row r="91" spans="1:15" ht="15.95" customHeight="1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</row>
    <row r="92" spans="1:15" ht="15.95" customHeight="1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</row>
    <row r="93" spans="1:15" ht="15.95" customHeight="1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</row>
    <row r="94" spans="1:15" ht="15.95" customHeight="1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</row>
    <row r="95" spans="1:15" ht="15.95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</row>
    <row r="96" spans="1:15" ht="15.95" customHeight="1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</row>
    <row r="97" spans="1:15" ht="15.95" customHeight="1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</row>
    <row r="98" spans="1:15" ht="15.95" customHeight="1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</row>
    <row r="99" spans="1:15" ht="15.95" customHeight="1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</row>
    <row r="100" spans="1:15" ht="15.95" customHeight="1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</row>
    <row r="101" spans="1:15" ht="15.95" customHeight="1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</row>
    <row r="102" spans="1:15" ht="15.95" customHeight="1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</row>
    <row r="103" spans="1:15" ht="15.9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</row>
    <row r="104" spans="1:15" ht="15.95" customHeight="1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</row>
    <row r="105" spans="1:15" ht="15.95" customHeight="1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</row>
    <row r="106" spans="1:15" ht="15.95" customHeight="1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</row>
    <row r="107" spans="1:15" ht="15.95" customHeight="1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</row>
    <row r="108" spans="1:15" ht="15.95" customHeight="1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</row>
    <row r="109" spans="1:15" ht="15.95" customHeight="1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</row>
    <row r="110" spans="1:15" ht="15.95" customHeight="1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</row>
    <row r="111" spans="1:15" ht="15.95" customHeight="1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</row>
    <row r="112" spans="1:15" ht="15.95" customHeight="1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</row>
    <row r="113" spans="1:15" ht="15.95" customHeight="1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</row>
    <row r="114" spans="1:15" ht="15.95" customHeight="1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</row>
    <row r="115" spans="1:15" ht="15.95" customHeight="1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</row>
    <row r="116" spans="1:15" ht="15.95" customHeight="1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</row>
    <row r="117" spans="1:15" ht="15.95" customHeight="1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</row>
    <row r="118" spans="1:15" ht="15.95" customHeight="1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</row>
    <row r="119" spans="1:15" ht="15.95" customHeight="1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</row>
    <row r="120" spans="1:15" ht="15.95" customHeight="1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</row>
    <row r="121" spans="1:15" ht="15.95" customHeight="1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</row>
    <row r="122" spans="1:15" ht="15.95" customHeight="1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</row>
    <row r="123" spans="1:15" ht="15.95" customHeight="1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</row>
    <row r="124" spans="1:15" ht="15.95" customHeight="1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</row>
    <row r="125" spans="1:15" ht="15.95" customHeight="1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</row>
    <row r="126" spans="1:15" ht="15.95" customHeight="1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</row>
    <row r="127" spans="1:15" ht="15.95" customHeight="1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</row>
    <row r="128" spans="1:15" ht="15.95" customHeight="1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</row>
    <row r="129" spans="1:15" ht="15.95" customHeight="1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</row>
    <row r="130" spans="1:15" ht="15.95" customHeight="1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</row>
    <row r="131" spans="1:15" ht="15.95" customHeight="1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</row>
    <row r="132" spans="1:15" ht="15.95" customHeight="1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</row>
    <row r="133" spans="1:15" ht="15.95" customHeight="1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</row>
    <row r="134" spans="1:15" ht="15.95" customHeight="1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</row>
    <row r="135" spans="1:15" ht="15.95" customHeight="1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</row>
    <row r="136" spans="1:15" ht="15.95" customHeight="1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</row>
    <row r="137" spans="1:15" ht="15.95" customHeight="1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</row>
    <row r="138" spans="1:15" ht="15.95" customHeight="1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</row>
    <row r="139" spans="1:15" ht="15.95" customHeight="1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</row>
    <row r="140" spans="1:15" ht="15.95" customHeight="1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</row>
    <row r="141" spans="1:15" ht="15.95" customHeight="1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</row>
    <row r="142" spans="1:15" ht="15.95" customHeight="1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</row>
    <row r="143" spans="1:15" ht="15.95" customHeight="1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</row>
    <row r="144" spans="1:15" ht="15.95" customHeight="1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</row>
    <row r="145" spans="1:15" ht="15.95" customHeight="1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</row>
    <row r="146" spans="1:15" ht="15.95" customHeight="1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</row>
    <row r="147" spans="1:15" ht="15.95" customHeight="1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</row>
    <row r="148" spans="1:15" ht="15.95" customHeight="1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</row>
    <row r="149" spans="1:15" ht="15.95" customHeight="1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</row>
    <row r="150" spans="1:15" ht="15.95" customHeight="1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</row>
    <row r="151" spans="1:15" ht="15.95" customHeight="1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</row>
    <row r="152" spans="1:15" ht="15.95" customHeight="1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</row>
    <row r="153" spans="1:15" ht="15.95" customHeight="1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</row>
    <row r="154" spans="1:15" ht="15.95" customHeight="1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</row>
    <row r="155" spans="1:15" ht="15.95" customHeight="1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</row>
    <row r="156" spans="1:15" ht="15.95" customHeight="1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</row>
    <row r="157" spans="1:15" ht="15.95" customHeight="1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</row>
    <row r="158" spans="1:15" ht="15.95" customHeight="1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</row>
    <row r="159" spans="1:15" ht="15.95" customHeight="1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</row>
    <row r="160" spans="1:15" ht="15.95" customHeight="1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</row>
    <row r="161" spans="1:15" ht="15.95" customHeight="1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</row>
    <row r="162" spans="1:15" ht="15.95" customHeight="1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</row>
    <row r="163" spans="1:15" ht="15.95" customHeight="1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</row>
    <row r="164" spans="1:15" ht="15.95" customHeight="1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</row>
    <row r="165" spans="1:15" ht="15.95" customHeight="1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</row>
    <row r="166" spans="1:15" ht="15.95" customHeight="1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</row>
    <row r="167" spans="1:15" ht="15.95" customHeight="1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</row>
    <row r="168" spans="1:15" ht="15.95" customHeight="1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</row>
    <row r="169" spans="1:15" ht="15.95" customHeight="1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</row>
    <row r="170" spans="1:15" ht="15.95" customHeight="1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</row>
    <row r="171" spans="1:15" ht="15.95" customHeight="1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</row>
    <row r="172" spans="1:15" ht="15.95" customHeight="1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</row>
    <row r="173" spans="1:15" ht="15.95" customHeight="1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</row>
    <row r="174" spans="1:15" ht="15.95" customHeight="1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</row>
    <row r="175" spans="1:15" ht="15.95" customHeight="1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</row>
    <row r="176" spans="1:15" ht="15.95" customHeight="1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</row>
    <row r="177" spans="1:15" ht="15.95" customHeight="1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</row>
    <row r="178" spans="1:15" ht="15.95" customHeight="1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</row>
    <row r="179" spans="1:15" ht="15.95" customHeight="1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</row>
    <row r="180" spans="1:15" ht="15.95" customHeight="1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</row>
    <row r="181" spans="1:15" ht="15.95" customHeight="1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</row>
    <row r="182" spans="1:15" ht="15.95" customHeight="1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</row>
    <row r="183" spans="1:15" ht="15.95" customHeight="1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</row>
    <row r="184" spans="1:15" ht="15.95" customHeight="1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</row>
    <row r="185" spans="1:15" ht="15.95" customHeight="1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</row>
    <row r="186" spans="1:15" ht="15.95" customHeight="1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</row>
    <row r="187" spans="1:15" ht="15.95" customHeight="1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</row>
    <row r="188" spans="1:15" ht="15.95" customHeight="1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</row>
    <row r="189" spans="1:15" ht="15.95" customHeight="1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</row>
    <row r="190" spans="1:15" ht="15.95" customHeight="1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</row>
    <row r="191" spans="1:15" ht="15.95" customHeight="1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</row>
    <row r="192" spans="1:15" ht="15.95" customHeight="1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</row>
    <row r="193" spans="1:15" ht="15.95" customHeight="1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</row>
    <row r="194" spans="1:15" ht="15.95" customHeight="1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</row>
    <row r="195" spans="1:15" ht="15.95" customHeight="1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</row>
    <row r="196" spans="1:15" ht="15.95" customHeight="1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</row>
    <row r="197" spans="1:15" ht="15.95" customHeight="1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</row>
    <row r="198" spans="1:15" ht="15.95" customHeight="1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</row>
    <row r="199" spans="1:15" ht="15.95" customHeight="1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</row>
    <row r="200" spans="1:15" ht="15.95" customHeight="1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</row>
    <row r="201" spans="1:15" ht="15.95" customHeight="1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</row>
    <row r="202" spans="1:15" ht="15.95" customHeight="1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</row>
    <row r="203" spans="1:15" ht="15.95" customHeight="1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</row>
    <row r="204" spans="1:15" ht="15.95" customHeight="1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</row>
    <row r="205" spans="1:15" ht="15.95" customHeight="1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</row>
    <row r="206" spans="1:15" ht="15.95" customHeight="1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</row>
    <row r="207" spans="1:15" ht="15.95" customHeight="1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</row>
    <row r="208" spans="1:15" ht="15.95" customHeight="1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</row>
    <row r="209" spans="1:15" ht="15.95" customHeight="1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</row>
    <row r="210" spans="1:15" ht="15.95" customHeight="1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</row>
    <row r="211" spans="1:15" ht="15.95" customHeight="1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</row>
    <row r="212" spans="1:15" ht="15.95" customHeight="1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</row>
    <row r="213" spans="1:15" ht="15.95" customHeight="1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</row>
    <row r="214" spans="1:15" ht="15.95" customHeight="1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</row>
    <row r="215" spans="1:15" ht="15.95" customHeight="1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</row>
    <row r="216" spans="1:15" ht="15.95" customHeight="1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</row>
    <row r="217" spans="1:15" ht="15.95" customHeight="1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</row>
    <row r="218" spans="1:15" ht="15.95" customHeight="1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</row>
    <row r="219" spans="1:15" ht="15.95" customHeight="1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</row>
    <row r="220" spans="1:15" ht="15.95" customHeight="1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</row>
    <row r="221" spans="1:15" ht="15.95" customHeight="1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</row>
    <row r="222" spans="1:15" ht="15.95" customHeight="1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</row>
    <row r="223" spans="1:15" ht="15.95" customHeight="1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</row>
    <row r="224" spans="1:15" ht="15.95" customHeight="1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</row>
    <row r="225" spans="1:15" ht="15.95" customHeight="1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</row>
    <row r="226" spans="1:15" ht="15.95" customHeight="1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</row>
    <row r="227" spans="1:15" ht="15.95" customHeight="1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</row>
    <row r="228" spans="1:15" ht="15.95" customHeight="1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</row>
    <row r="229" spans="1:15" ht="15.95" customHeight="1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</row>
    <row r="230" spans="1:15" ht="15.95" customHeight="1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</row>
    <row r="231" spans="1:15" ht="15.95" customHeight="1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</row>
    <row r="232" spans="1:15" ht="15.95" customHeight="1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</row>
    <row r="233" spans="1:15" ht="15.95" customHeight="1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</row>
    <row r="234" spans="1:15" ht="15.95" customHeight="1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</row>
    <row r="235" spans="1:15" ht="15.95" customHeight="1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</row>
    <row r="236" spans="1:15" ht="15.95" customHeight="1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</row>
    <row r="237" spans="1:15" ht="15.95" customHeight="1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</row>
    <row r="238" spans="1:15" ht="15.95" customHeight="1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</row>
    <row r="239" spans="1:15" ht="15.95" customHeight="1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</row>
    <row r="240" spans="1:15" ht="15.95" customHeight="1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</row>
    <row r="241" spans="1:15" ht="15.95" customHeight="1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</row>
    <row r="242" spans="1:15" ht="15.95" customHeight="1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</row>
    <row r="243" spans="1:15" ht="15.95" customHeight="1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</row>
    <row r="244" spans="1:15" ht="15.95" customHeight="1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</row>
    <row r="245" spans="1:15" ht="15.95" customHeight="1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</row>
    <row r="246" spans="1:15" ht="15.95" customHeight="1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</row>
    <row r="247" spans="1:15" ht="15.95" customHeight="1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</row>
    <row r="248" spans="1:15" ht="15.95" customHeight="1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</row>
    <row r="249" spans="1:15" ht="15.95" customHeight="1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</row>
    <row r="250" spans="1:15" ht="15.95" customHeight="1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</row>
    <row r="251" spans="1:15" ht="15.95" customHeight="1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</row>
    <row r="252" spans="1:15" ht="15.95" customHeight="1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</row>
    <row r="253" spans="1:15" ht="15.95" customHeight="1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</row>
    <row r="254" spans="1:15" ht="15.95" customHeight="1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</row>
    <row r="255" spans="1:15" ht="15.95" customHeight="1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</row>
    <row r="256" spans="1:15" ht="15.95" customHeight="1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</row>
    <row r="257" spans="1:15" ht="15.95" customHeight="1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</row>
    <row r="258" spans="1:15" ht="15.95" customHeight="1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</row>
    <row r="259" spans="1:15" ht="15.95" customHeight="1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</row>
    <row r="260" spans="1:15" ht="15.95" customHeight="1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</row>
    <row r="261" spans="1:15" ht="15.95" customHeight="1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</row>
    <row r="262" spans="1:15" ht="15.95" customHeight="1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</row>
    <row r="263" spans="1:15" ht="15.95" customHeight="1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</row>
    <row r="264" spans="1:15" ht="15.95" customHeight="1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</row>
    <row r="265" spans="1:15" ht="15.95" customHeight="1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</row>
    <row r="266" spans="1:15" ht="15.95" customHeight="1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</row>
    <row r="267" spans="1:15" ht="15.95" customHeight="1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</row>
    <row r="268" spans="1:15" ht="15.95" customHeight="1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</row>
    <row r="269" spans="1:15" ht="15.95" customHeight="1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</row>
    <row r="270" spans="1:15" ht="15.95" customHeight="1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</row>
    <row r="271" spans="1:15" ht="15.95" customHeight="1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</row>
    <row r="272" spans="1:15" ht="15.95" customHeight="1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</row>
    <row r="273" spans="1:15" ht="15.95" customHeight="1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</row>
    <row r="274" spans="1:15" ht="15.95" customHeight="1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</row>
    <row r="275" spans="1:15" ht="15.95" customHeight="1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</row>
    <row r="276" spans="1:15" ht="15.95" customHeight="1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</row>
    <row r="277" spans="1:15" ht="15.95" customHeight="1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</row>
    <row r="278" spans="1:15" ht="15.95" customHeight="1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</row>
    <row r="279" spans="1:15" ht="15.95" customHeight="1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</row>
    <row r="280" spans="1:15" ht="15.95" customHeight="1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</row>
    <row r="281" spans="1:15" ht="15.95" customHeight="1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</row>
    <row r="282" spans="1:15" ht="15.95" customHeight="1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</row>
    <row r="283" spans="1:15" ht="15.95" customHeight="1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</row>
    <row r="284" spans="1:15" ht="15.95" customHeight="1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</row>
    <row r="285" spans="1:15" ht="15.95" customHeight="1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</row>
    <row r="286" spans="1:15" ht="15.95" customHeight="1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</row>
    <row r="287" spans="1:15" ht="15.95" customHeight="1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</row>
    <row r="288" spans="1:15" ht="15.95" customHeight="1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</row>
    <row r="289" spans="1:15" ht="15.95" customHeight="1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</row>
    <row r="290" spans="1:15" ht="15.95" customHeight="1" x14ac:dyDescent="0.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</row>
    <row r="291" spans="1:15" ht="15.95" customHeight="1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</row>
    <row r="292" spans="1:15" ht="15.95" customHeight="1" x14ac:dyDescent="0.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</row>
    <row r="293" spans="1:15" ht="15.95" customHeight="1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</row>
    <row r="294" spans="1:15" ht="15.95" customHeight="1" x14ac:dyDescent="0.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</row>
    <row r="295" spans="1:15" ht="15.95" customHeight="1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</row>
    <row r="296" spans="1:15" ht="15.95" customHeight="1" x14ac:dyDescent="0.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</row>
    <row r="297" spans="1:15" ht="15.95" customHeight="1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</row>
    <row r="298" spans="1:15" ht="15.95" customHeight="1" x14ac:dyDescent="0.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</row>
    <row r="299" spans="1:15" ht="15.95" customHeight="1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</row>
    <row r="300" spans="1:15" ht="15.95" customHeight="1" x14ac:dyDescent="0.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</row>
    <row r="301" spans="1:15" ht="15.95" customHeight="1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</row>
    <row r="302" spans="1:15" ht="15.95" customHeight="1" x14ac:dyDescent="0.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</row>
    <row r="303" spans="1:15" ht="15.95" customHeight="1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</row>
    <row r="304" spans="1:15" ht="15.95" customHeight="1" x14ac:dyDescent="0.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</row>
    <row r="305" spans="1:15" ht="15.95" customHeight="1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</row>
    <row r="306" spans="1:15" ht="15.95" customHeight="1" x14ac:dyDescent="0.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</row>
    <row r="307" spans="1:15" ht="15.95" customHeight="1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</row>
    <row r="308" spans="1:15" ht="15.95" customHeight="1" x14ac:dyDescent="0.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</row>
    <row r="309" spans="1:15" ht="15.95" customHeight="1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</row>
    <row r="310" spans="1:15" ht="15.95" customHeight="1" x14ac:dyDescent="0.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</row>
    <row r="311" spans="1:15" ht="15.95" customHeight="1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</row>
    <row r="312" spans="1:15" ht="15.95" customHeight="1" x14ac:dyDescent="0.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</row>
    <row r="313" spans="1:15" ht="15.95" customHeight="1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</row>
    <row r="314" spans="1:15" ht="15.95" customHeight="1" x14ac:dyDescent="0.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</row>
    <row r="315" spans="1:15" ht="15.95" customHeight="1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</row>
    <row r="316" spans="1:15" ht="15.95" customHeight="1" x14ac:dyDescent="0.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</row>
    <row r="317" spans="1:15" ht="15.95" customHeight="1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</row>
    <row r="318" spans="1:15" ht="15.95" customHeight="1" x14ac:dyDescent="0.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</row>
    <row r="319" spans="1:15" ht="15.95" customHeight="1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</row>
    <row r="320" spans="1:15" ht="15.95" customHeight="1" x14ac:dyDescent="0.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</row>
    <row r="321" spans="1:15" ht="15.95" customHeight="1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</row>
    <row r="322" spans="1:15" ht="15.95" customHeight="1" x14ac:dyDescent="0.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</row>
    <row r="323" spans="1:15" ht="15.95" customHeight="1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</row>
    <row r="324" spans="1:15" ht="15.95" customHeight="1" x14ac:dyDescent="0.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</row>
    <row r="325" spans="1:15" ht="15.95" customHeight="1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</row>
    <row r="326" spans="1:15" ht="15.95" customHeight="1" x14ac:dyDescent="0.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</row>
    <row r="327" spans="1:15" ht="15.95" customHeight="1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</row>
    <row r="328" spans="1:15" ht="15.95" customHeight="1" x14ac:dyDescent="0.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</row>
    <row r="329" spans="1:15" ht="15.95" customHeight="1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</row>
    <row r="330" spans="1:15" ht="15.95" customHeight="1" x14ac:dyDescent="0.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</row>
    <row r="331" spans="1:15" ht="15.95" customHeight="1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</row>
    <row r="332" spans="1:15" ht="15.95" customHeight="1" x14ac:dyDescent="0.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</row>
    <row r="333" spans="1:15" ht="15.95" customHeight="1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</row>
    <row r="334" spans="1:15" ht="15.95" customHeight="1" x14ac:dyDescent="0.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</row>
    <row r="335" spans="1:15" ht="15.95" customHeight="1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</row>
    <row r="336" spans="1:15" ht="15.95" customHeight="1" x14ac:dyDescent="0.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</row>
    <row r="337" spans="1:15" ht="15.95" customHeight="1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</row>
    <row r="338" spans="1:15" ht="15.95" customHeight="1" x14ac:dyDescent="0.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</row>
    <row r="339" spans="1:15" ht="15.95" customHeight="1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</row>
    <row r="340" spans="1:15" ht="15.95" customHeight="1" x14ac:dyDescent="0.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</row>
    <row r="341" spans="1:15" ht="15.95" customHeight="1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</row>
    <row r="342" spans="1:15" ht="15.95" customHeight="1" x14ac:dyDescent="0.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</row>
    <row r="343" spans="1:15" ht="15.95" customHeight="1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</row>
    <row r="344" spans="1:15" ht="15.95" customHeight="1" x14ac:dyDescent="0.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</row>
    <row r="345" spans="1:15" ht="15.95" customHeight="1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</row>
    <row r="346" spans="1:15" ht="15.95" customHeight="1" x14ac:dyDescent="0.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</row>
    <row r="347" spans="1:15" ht="15.95" customHeight="1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</row>
    <row r="348" spans="1:15" ht="15.95" customHeight="1" x14ac:dyDescent="0.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</row>
    <row r="349" spans="1:15" ht="15.95" customHeight="1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</row>
    <row r="350" spans="1:15" ht="15.95" customHeight="1" x14ac:dyDescent="0.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</row>
    <row r="351" spans="1:15" ht="15.95" customHeight="1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</row>
    <row r="352" spans="1:15" ht="15.95" customHeight="1" x14ac:dyDescent="0.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</row>
    <row r="353" spans="1:15" ht="15.95" customHeight="1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</row>
    <row r="354" spans="1:15" ht="15.95" customHeight="1" x14ac:dyDescent="0.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</row>
    <row r="355" spans="1:15" ht="15.95" customHeight="1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</row>
    <row r="356" spans="1:15" ht="15.95" customHeight="1" x14ac:dyDescent="0.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</row>
    <row r="357" spans="1:15" ht="15.95" customHeight="1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</row>
    <row r="358" spans="1:15" ht="15.95" customHeight="1" x14ac:dyDescent="0.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</row>
    <row r="359" spans="1:15" ht="15.95" customHeight="1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</row>
    <row r="360" spans="1:15" ht="15.95" customHeight="1" x14ac:dyDescent="0.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</row>
    <row r="361" spans="1:15" ht="15.95" customHeight="1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</row>
    <row r="362" spans="1:15" ht="15.95" customHeight="1" x14ac:dyDescent="0.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</row>
    <row r="363" spans="1:15" ht="15.95" customHeight="1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</row>
    <row r="364" spans="1:15" ht="15.95" customHeight="1" x14ac:dyDescent="0.2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</row>
    <row r="365" spans="1:15" ht="15.95" customHeight="1" x14ac:dyDescent="0.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</row>
    <row r="366" spans="1:15" ht="15.95" customHeight="1" x14ac:dyDescent="0.2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</row>
    <row r="367" spans="1:15" ht="15.95" customHeight="1" x14ac:dyDescent="0.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</row>
    <row r="368" spans="1:15" ht="15.95" customHeight="1" x14ac:dyDescent="0.2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</row>
    <row r="369" spans="1:15" ht="15.95" customHeight="1" x14ac:dyDescent="0.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</row>
    <row r="370" spans="1:15" ht="15.95" customHeight="1" x14ac:dyDescent="0.2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</row>
    <row r="371" spans="1:15" ht="15.95" customHeight="1" x14ac:dyDescent="0.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</row>
    <row r="372" spans="1:15" ht="15.95" customHeight="1" x14ac:dyDescent="0.2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</row>
    <row r="373" spans="1:15" ht="15.95" customHeight="1" x14ac:dyDescent="0.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</row>
    <row r="374" spans="1:15" ht="15.95" customHeight="1" x14ac:dyDescent="0.2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</row>
    <row r="375" spans="1:15" ht="15.95" customHeight="1" x14ac:dyDescent="0.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</row>
    <row r="376" spans="1:15" ht="15.95" customHeight="1" x14ac:dyDescent="0.2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</row>
    <row r="377" spans="1:15" ht="15.95" customHeight="1" x14ac:dyDescent="0.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</row>
    <row r="378" spans="1:15" ht="15.95" customHeight="1" x14ac:dyDescent="0.2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</row>
    <row r="379" spans="1:15" ht="15.95" customHeight="1" x14ac:dyDescent="0.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</row>
    <row r="380" spans="1:15" ht="15.95" customHeight="1" x14ac:dyDescent="0.2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</row>
    <row r="381" spans="1:15" ht="15.95" customHeight="1" x14ac:dyDescent="0.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</row>
    <row r="382" spans="1:15" ht="15.95" customHeight="1" x14ac:dyDescent="0.2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</row>
    <row r="383" spans="1:15" ht="15.95" customHeight="1" x14ac:dyDescent="0.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</row>
    <row r="384" spans="1:15" ht="15.95" customHeight="1" x14ac:dyDescent="0.2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</row>
    <row r="385" spans="1:15" ht="15.95" customHeight="1" x14ac:dyDescent="0.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</row>
    <row r="386" spans="1:15" ht="15.95" customHeight="1" x14ac:dyDescent="0.2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</row>
    <row r="387" spans="1:15" ht="15.95" customHeight="1" x14ac:dyDescent="0.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</row>
    <row r="388" spans="1:15" ht="15.95" customHeight="1" x14ac:dyDescent="0.2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</row>
    <row r="389" spans="1:15" ht="15.95" customHeight="1" x14ac:dyDescent="0.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</row>
    <row r="390" spans="1:15" ht="15.95" customHeight="1" x14ac:dyDescent="0.2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</row>
    <row r="391" spans="1:15" ht="15.95" customHeight="1" x14ac:dyDescent="0.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</row>
    <row r="392" spans="1:15" ht="15.95" customHeight="1" x14ac:dyDescent="0.2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</row>
    <row r="393" spans="1:15" ht="15.95" customHeight="1" x14ac:dyDescent="0.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</row>
    <row r="394" spans="1:15" ht="15.95" customHeight="1" x14ac:dyDescent="0.2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</row>
    <row r="395" spans="1:15" ht="15.95" customHeight="1" x14ac:dyDescent="0.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</row>
    <row r="396" spans="1:15" ht="15.95" customHeight="1" x14ac:dyDescent="0.2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</row>
    <row r="397" spans="1:15" ht="15.95" customHeight="1" x14ac:dyDescent="0.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</row>
    <row r="398" spans="1:15" ht="15.95" customHeight="1" x14ac:dyDescent="0.2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</row>
    <row r="399" spans="1:15" ht="15.95" customHeight="1" x14ac:dyDescent="0.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</row>
    <row r="400" spans="1:15" ht="15.95" customHeight="1" x14ac:dyDescent="0.2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</row>
    <row r="401" spans="1:15" ht="15.95" customHeight="1" x14ac:dyDescent="0.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</row>
    <row r="402" spans="1:15" ht="15.95" customHeight="1" x14ac:dyDescent="0.2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</row>
    <row r="403" spans="1:15" ht="15.95" customHeight="1" x14ac:dyDescent="0.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</row>
    <row r="404" spans="1:15" ht="15.95" customHeight="1" x14ac:dyDescent="0.2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</row>
    <row r="405" spans="1:15" ht="15.95" customHeight="1" x14ac:dyDescent="0.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</row>
    <row r="406" spans="1:15" ht="15.95" customHeight="1" x14ac:dyDescent="0.2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</row>
    <row r="407" spans="1:15" ht="15.95" customHeight="1" x14ac:dyDescent="0.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</row>
    <row r="408" spans="1:15" ht="15.95" customHeight="1" x14ac:dyDescent="0.2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</row>
    <row r="409" spans="1:15" ht="15.95" customHeight="1" x14ac:dyDescent="0.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</row>
    <row r="410" spans="1:15" ht="15.95" customHeight="1" x14ac:dyDescent="0.2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</row>
    <row r="411" spans="1:15" ht="15.95" customHeight="1" x14ac:dyDescent="0.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</row>
    <row r="412" spans="1:15" ht="15.95" customHeight="1" x14ac:dyDescent="0.2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</row>
    <row r="413" spans="1:15" ht="15.95" customHeight="1" x14ac:dyDescent="0.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</row>
    <row r="414" spans="1:15" ht="15.95" customHeight="1" x14ac:dyDescent="0.2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</row>
    <row r="415" spans="1:15" ht="15.95" customHeight="1" x14ac:dyDescent="0.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</row>
    <row r="416" spans="1:15" ht="15.95" customHeight="1" x14ac:dyDescent="0.2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</row>
    <row r="417" spans="1:15" ht="15.95" customHeight="1" x14ac:dyDescent="0.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</row>
    <row r="418" spans="1:15" ht="15.95" customHeight="1" x14ac:dyDescent="0.2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</row>
    <row r="419" spans="1:15" ht="15.95" customHeight="1" x14ac:dyDescent="0.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</row>
    <row r="420" spans="1:15" ht="15.95" customHeight="1" x14ac:dyDescent="0.2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</row>
    <row r="421" spans="1:15" ht="15.95" customHeight="1" x14ac:dyDescent="0.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</row>
    <row r="422" spans="1:15" ht="15.95" customHeight="1" x14ac:dyDescent="0.2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</row>
    <row r="423" spans="1:15" ht="15.95" customHeight="1" x14ac:dyDescent="0.2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</row>
    <row r="424" spans="1:15" ht="15.95" customHeight="1" x14ac:dyDescent="0.2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</row>
    <row r="425" spans="1:15" ht="15.95" customHeight="1" x14ac:dyDescent="0.2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</row>
    <row r="426" spans="1:15" ht="15.95" customHeight="1" x14ac:dyDescent="0.2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</row>
    <row r="427" spans="1:15" ht="15.95" customHeight="1" x14ac:dyDescent="0.2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</row>
    <row r="428" spans="1:15" ht="15.95" customHeight="1" x14ac:dyDescent="0.2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</row>
    <row r="429" spans="1:15" ht="15.95" customHeight="1" x14ac:dyDescent="0.2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</row>
    <row r="430" spans="1:15" ht="15.95" customHeight="1" x14ac:dyDescent="0.2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</row>
    <row r="431" spans="1:15" ht="15.95" customHeight="1" x14ac:dyDescent="0.2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</row>
    <row r="432" spans="1:15" ht="15.95" customHeight="1" x14ac:dyDescent="0.2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</row>
    <row r="433" spans="1:15" ht="15.95" customHeight="1" x14ac:dyDescent="0.2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</row>
    <row r="434" spans="1:15" ht="15.95" customHeight="1" x14ac:dyDescent="0.2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</row>
    <row r="435" spans="1:15" ht="15.95" customHeight="1" x14ac:dyDescent="0.2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</row>
    <row r="436" spans="1:15" ht="15.95" customHeight="1" x14ac:dyDescent="0.2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</row>
    <row r="437" spans="1:15" ht="15.95" customHeight="1" x14ac:dyDescent="0.2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</row>
    <row r="438" spans="1:15" ht="15.95" customHeight="1" x14ac:dyDescent="0.2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</row>
    <row r="439" spans="1:15" ht="15.95" customHeight="1" x14ac:dyDescent="0.2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</row>
    <row r="440" spans="1:15" ht="15.95" customHeight="1" x14ac:dyDescent="0.2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</row>
    <row r="441" spans="1:15" ht="15.95" customHeight="1" x14ac:dyDescent="0.2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</row>
    <row r="442" spans="1:15" ht="15.95" customHeight="1" x14ac:dyDescent="0.2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</row>
    <row r="443" spans="1:15" ht="15.95" customHeight="1" x14ac:dyDescent="0.2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</row>
    <row r="444" spans="1:15" ht="15.95" customHeight="1" x14ac:dyDescent="0.2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</row>
    <row r="445" spans="1:15" ht="15.95" customHeight="1" x14ac:dyDescent="0.2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</row>
    <row r="446" spans="1:15" ht="15.95" customHeight="1" x14ac:dyDescent="0.25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</row>
    <row r="447" spans="1:15" ht="15.95" customHeight="1" x14ac:dyDescent="0.2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</row>
    <row r="448" spans="1:15" ht="15.95" customHeight="1" x14ac:dyDescent="0.25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</row>
    <row r="449" spans="1:15" ht="15.95" customHeight="1" x14ac:dyDescent="0.2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</row>
    <row r="450" spans="1:15" ht="15.95" customHeight="1" x14ac:dyDescent="0.25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</row>
    <row r="451" spans="1:15" ht="15.95" customHeight="1" x14ac:dyDescent="0.2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</row>
    <row r="452" spans="1:15" ht="15.95" customHeight="1" x14ac:dyDescent="0.25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</row>
    <row r="453" spans="1:15" ht="15.95" customHeight="1" x14ac:dyDescent="0.2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</row>
    <row r="454" spans="1:15" ht="15.95" customHeight="1" x14ac:dyDescent="0.25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</row>
    <row r="455" spans="1:15" ht="15.95" customHeight="1" x14ac:dyDescent="0.2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</row>
    <row r="456" spans="1:15" ht="15.95" customHeight="1" x14ac:dyDescent="0.25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</row>
    <row r="457" spans="1:15" ht="15.95" customHeight="1" x14ac:dyDescent="0.25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</row>
    <row r="458" spans="1:15" ht="15.95" customHeight="1" x14ac:dyDescent="0.25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</row>
    <row r="459" spans="1:15" ht="15.95" customHeight="1" x14ac:dyDescent="0.25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</row>
    <row r="460" spans="1:15" ht="15.95" customHeight="1" x14ac:dyDescent="0.25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</row>
    <row r="461" spans="1:15" ht="15.95" customHeight="1" x14ac:dyDescent="0.25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</row>
    <row r="462" spans="1:15" ht="15.95" customHeight="1" x14ac:dyDescent="0.25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</row>
    <row r="463" spans="1:15" ht="15.95" customHeight="1" x14ac:dyDescent="0.25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</row>
    <row r="464" spans="1:15" ht="15.95" customHeight="1" x14ac:dyDescent="0.25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</row>
    <row r="465" spans="1:15" ht="15.95" customHeight="1" x14ac:dyDescent="0.25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</row>
    <row r="466" spans="1:15" ht="15.95" customHeight="1" x14ac:dyDescent="0.25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</row>
    <row r="467" spans="1:15" ht="15.95" customHeight="1" x14ac:dyDescent="0.25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</row>
    <row r="468" spans="1:15" ht="15.95" customHeight="1" x14ac:dyDescent="0.25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</row>
    <row r="469" spans="1:15" ht="15.95" customHeight="1" x14ac:dyDescent="0.25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</row>
    <row r="470" spans="1:15" ht="15.95" customHeight="1" x14ac:dyDescent="0.25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</row>
    <row r="471" spans="1:15" ht="15.95" customHeight="1" x14ac:dyDescent="0.25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</row>
    <row r="472" spans="1:15" ht="15.95" customHeight="1" x14ac:dyDescent="0.25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</row>
    <row r="473" spans="1:15" ht="15.95" customHeight="1" x14ac:dyDescent="0.25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</row>
    <row r="474" spans="1:15" ht="15.95" customHeight="1" x14ac:dyDescent="0.25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</row>
    <row r="475" spans="1:15" ht="15.95" customHeight="1" x14ac:dyDescent="0.25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</row>
    <row r="476" spans="1:15" ht="15.95" customHeight="1" x14ac:dyDescent="0.25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</row>
    <row r="477" spans="1:15" ht="15.95" customHeight="1" x14ac:dyDescent="0.25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</row>
    <row r="478" spans="1:15" ht="15.95" customHeight="1" x14ac:dyDescent="0.25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</row>
    <row r="479" spans="1:15" ht="15.95" customHeight="1" x14ac:dyDescent="0.25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</row>
    <row r="480" spans="1:15" ht="15.95" customHeight="1" x14ac:dyDescent="0.25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</row>
    <row r="481" spans="1:15" ht="15.95" customHeight="1" x14ac:dyDescent="0.25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</row>
    <row r="482" spans="1:15" ht="15.95" customHeight="1" x14ac:dyDescent="0.25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</row>
    <row r="483" spans="1:15" ht="15.95" customHeight="1" x14ac:dyDescent="0.25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</row>
    <row r="484" spans="1:15" ht="15.95" customHeight="1" x14ac:dyDescent="0.25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</row>
    <row r="485" spans="1:15" ht="15.95" customHeight="1" x14ac:dyDescent="0.25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</row>
    <row r="486" spans="1:15" ht="15.95" customHeight="1" x14ac:dyDescent="0.25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</row>
    <row r="487" spans="1:15" ht="15.95" customHeight="1" x14ac:dyDescent="0.25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</row>
    <row r="488" spans="1:15" ht="15.95" customHeight="1" x14ac:dyDescent="0.25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</row>
    <row r="489" spans="1:15" ht="15.95" customHeight="1" x14ac:dyDescent="0.25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</row>
    <row r="490" spans="1:15" ht="15.95" customHeight="1" x14ac:dyDescent="0.25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</row>
    <row r="491" spans="1:15" ht="15.95" customHeight="1" x14ac:dyDescent="0.25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</row>
    <row r="492" spans="1:15" ht="15.95" customHeight="1" x14ac:dyDescent="0.25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</row>
    <row r="493" spans="1:15" ht="15.95" customHeight="1" x14ac:dyDescent="0.25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</row>
    <row r="494" spans="1:15" ht="15.95" customHeight="1" x14ac:dyDescent="0.25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</row>
    <row r="495" spans="1:15" ht="15.95" customHeight="1" x14ac:dyDescent="0.25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</row>
    <row r="496" spans="1:15" ht="15.95" customHeight="1" x14ac:dyDescent="0.25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</row>
    <row r="497" spans="1:15" ht="15.95" customHeight="1" x14ac:dyDescent="0.25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</row>
    <row r="498" spans="1:15" ht="15.95" customHeight="1" x14ac:dyDescent="0.25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</row>
    <row r="499" spans="1:15" ht="15.95" customHeight="1" x14ac:dyDescent="0.25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</row>
    <row r="500" spans="1:15" ht="15.95" customHeight="1" x14ac:dyDescent="0.25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</row>
    <row r="501" spans="1:15" ht="15.95" customHeight="1" x14ac:dyDescent="0.25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</row>
    <row r="502" spans="1:15" ht="15.95" customHeight="1" x14ac:dyDescent="0.25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</row>
    <row r="503" spans="1:15" ht="15.95" customHeight="1" x14ac:dyDescent="0.25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</row>
    <row r="504" spans="1:15" ht="15.95" customHeight="1" x14ac:dyDescent="0.25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</row>
    <row r="505" spans="1:15" ht="15.95" customHeight="1" x14ac:dyDescent="0.25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</row>
    <row r="506" spans="1:15" ht="15.95" customHeight="1" x14ac:dyDescent="0.25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</row>
    <row r="507" spans="1:15" ht="15.95" customHeight="1" x14ac:dyDescent="0.25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</row>
    <row r="508" spans="1:15" ht="15.95" customHeight="1" x14ac:dyDescent="0.25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</row>
    <row r="509" spans="1:15" ht="15.95" customHeight="1" x14ac:dyDescent="0.25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</row>
    <row r="510" spans="1:15" ht="15.95" customHeight="1" x14ac:dyDescent="0.25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</row>
    <row r="511" spans="1:15" ht="15.95" customHeight="1" x14ac:dyDescent="0.25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</row>
    <row r="512" spans="1:15" ht="15.95" customHeight="1" x14ac:dyDescent="0.25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</row>
    <row r="513" spans="1:15" ht="15.95" customHeight="1" x14ac:dyDescent="0.25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</row>
    <row r="514" spans="1:15" ht="15.95" customHeight="1" x14ac:dyDescent="0.25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</row>
    <row r="515" spans="1:15" ht="15.95" customHeight="1" x14ac:dyDescent="0.25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</row>
    <row r="516" spans="1:15" ht="15.95" customHeight="1" x14ac:dyDescent="0.25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</row>
    <row r="517" spans="1:15" ht="15.95" customHeight="1" x14ac:dyDescent="0.25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</row>
    <row r="518" spans="1:15" ht="15.95" customHeight="1" x14ac:dyDescent="0.25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</row>
    <row r="519" spans="1:15" ht="15.95" customHeight="1" x14ac:dyDescent="0.25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</row>
    <row r="520" spans="1:15" ht="15.95" customHeight="1" x14ac:dyDescent="0.25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</row>
    <row r="521" spans="1:15" ht="15.95" customHeight="1" x14ac:dyDescent="0.25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</row>
    <row r="522" spans="1:15" ht="15.95" customHeight="1" x14ac:dyDescent="0.25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</row>
    <row r="523" spans="1:15" ht="15.95" customHeight="1" x14ac:dyDescent="0.25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</row>
    <row r="524" spans="1:15" ht="15.95" customHeight="1" x14ac:dyDescent="0.25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</row>
    <row r="525" spans="1:15" ht="15.95" customHeight="1" x14ac:dyDescent="0.25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</row>
    <row r="526" spans="1:15" ht="15.95" customHeight="1" x14ac:dyDescent="0.25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</row>
    <row r="527" spans="1:15" ht="15.95" customHeight="1" x14ac:dyDescent="0.25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</row>
    <row r="528" spans="1:15" ht="15.95" customHeight="1" x14ac:dyDescent="0.25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</row>
    <row r="529" spans="1:15" ht="15.95" customHeight="1" x14ac:dyDescent="0.25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</row>
    <row r="530" spans="1:15" ht="15.95" customHeight="1" x14ac:dyDescent="0.25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</row>
    <row r="531" spans="1:15" ht="15.95" customHeight="1" x14ac:dyDescent="0.25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</row>
    <row r="532" spans="1:15" ht="15.95" customHeight="1" x14ac:dyDescent="0.25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</row>
    <row r="533" spans="1:15" ht="15.95" customHeight="1" x14ac:dyDescent="0.25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</row>
    <row r="534" spans="1:15" ht="15.95" customHeight="1" x14ac:dyDescent="0.25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</row>
    <row r="535" spans="1:15" ht="15.95" customHeight="1" x14ac:dyDescent="0.25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</row>
    <row r="536" spans="1:15" ht="15.95" customHeight="1" x14ac:dyDescent="0.25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</row>
    <row r="537" spans="1:15" ht="15.95" customHeight="1" x14ac:dyDescent="0.25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</row>
    <row r="538" spans="1:15" ht="15.95" customHeight="1" x14ac:dyDescent="0.25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</row>
    <row r="539" spans="1:15" ht="15.95" customHeight="1" x14ac:dyDescent="0.25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</row>
    <row r="540" spans="1:15" ht="15.95" customHeight="1" x14ac:dyDescent="0.25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</row>
    <row r="541" spans="1:15" ht="15.95" customHeight="1" x14ac:dyDescent="0.25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</row>
    <row r="542" spans="1:15" ht="15.95" customHeight="1" x14ac:dyDescent="0.25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</row>
    <row r="543" spans="1:15" ht="15.95" customHeight="1" x14ac:dyDescent="0.25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</row>
    <row r="544" spans="1:15" ht="15.95" customHeight="1" x14ac:dyDescent="0.25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</row>
    <row r="545" spans="1:15" ht="15.95" customHeight="1" x14ac:dyDescent="0.25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</row>
    <row r="546" spans="1:15" ht="15.95" customHeight="1" x14ac:dyDescent="0.25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</row>
    <row r="547" spans="1:15" ht="15.95" customHeight="1" x14ac:dyDescent="0.25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</row>
    <row r="548" spans="1:15" ht="15.95" customHeight="1" x14ac:dyDescent="0.25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</row>
    <row r="549" spans="1:15" ht="15.95" customHeight="1" x14ac:dyDescent="0.25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</row>
    <row r="550" spans="1:15" ht="15.95" customHeight="1" x14ac:dyDescent="0.25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</row>
    <row r="551" spans="1:15" ht="15.95" customHeight="1" x14ac:dyDescent="0.25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</row>
    <row r="552" spans="1:15" ht="15.95" customHeight="1" x14ac:dyDescent="0.25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</row>
    <row r="553" spans="1:15" ht="15.95" customHeight="1" x14ac:dyDescent="0.25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</row>
    <row r="554" spans="1:15" ht="15.95" customHeight="1" x14ac:dyDescent="0.25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</row>
    <row r="555" spans="1:15" ht="15.95" customHeight="1" x14ac:dyDescent="0.25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</row>
    <row r="556" spans="1:15" ht="15.95" customHeight="1" x14ac:dyDescent="0.25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</row>
    <row r="557" spans="1:15" ht="15.95" customHeight="1" x14ac:dyDescent="0.25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</row>
    <row r="558" spans="1:15" ht="15.95" customHeight="1" x14ac:dyDescent="0.25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</row>
    <row r="559" spans="1:15" ht="15.95" customHeight="1" x14ac:dyDescent="0.25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</row>
    <row r="560" spans="1:15" ht="15.95" customHeight="1" x14ac:dyDescent="0.25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</row>
    <row r="561" spans="1:15" ht="15.95" customHeight="1" x14ac:dyDescent="0.25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</row>
    <row r="562" spans="1:15" ht="15.95" customHeight="1" x14ac:dyDescent="0.25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</row>
    <row r="563" spans="1:15" ht="15.95" customHeight="1" x14ac:dyDescent="0.25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</row>
    <row r="564" spans="1:15" ht="15.95" customHeight="1" x14ac:dyDescent="0.25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</row>
    <row r="565" spans="1:15" ht="15.95" customHeight="1" x14ac:dyDescent="0.25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</row>
    <row r="566" spans="1:15" ht="15.95" customHeight="1" x14ac:dyDescent="0.25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</row>
    <row r="567" spans="1:15" ht="15.95" customHeight="1" x14ac:dyDescent="0.25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</row>
    <row r="568" spans="1:15" ht="15.95" customHeight="1" x14ac:dyDescent="0.25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</row>
    <row r="569" spans="1:15" ht="15.95" customHeight="1" x14ac:dyDescent="0.25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</row>
    <row r="570" spans="1:15" ht="15.95" customHeight="1" x14ac:dyDescent="0.25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</row>
    <row r="571" spans="1:15" ht="15.95" customHeight="1" x14ac:dyDescent="0.25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</row>
    <row r="572" spans="1:15" ht="15.95" customHeight="1" x14ac:dyDescent="0.25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</row>
    <row r="573" spans="1:15" ht="15.95" customHeight="1" x14ac:dyDescent="0.25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</row>
    <row r="574" spans="1:15" ht="15.95" customHeight="1" x14ac:dyDescent="0.25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</row>
    <row r="575" spans="1:15" ht="15.95" customHeight="1" x14ac:dyDescent="0.25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</row>
    <row r="576" spans="1:15" ht="15.95" customHeight="1" x14ac:dyDescent="0.25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</row>
    <row r="577" spans="1:15" ht="15.95" customHeight="1" x14ac:dyDescent="0.25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</row>
    <row r="578" spans="1:15" ht="15.95" customHeight="1" x14ac:dyDescent="0.25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</row>
    <row r="579" spans="1:15" ht="15.95" customHeight="1" x14ac:dyDescent="0.25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</row>
    <row r="580" spans="1:15" ht="15.95" customHeight="1" x14ac:dyDescent="0.25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</row>
    <row r="581" spans="1:15" ht="15.95" customHeight="1" x14ac:dyDescent="0.25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</row>
    <row r="582" spans="1:15" ht="15.95" customHeight="1" x14ac:dyDescent="0.25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</row>
    <row r="583" spans="1:15" ht="15.95" customHeight="1" x14ac:dyDescent="0.25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</row>
    <row r="584" spans="1:15" ht="15.95" customHeight="1" x14ac:dyDescent="0.25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</row>
    <row r="585" spans="1:15" ht="15.95" customHeight="1" x14ac:dyDescent="0.25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</row>
    <row r="586" spans="1:15" ht="15.95" customHeight="1" x14ac:dyDescent="0.25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</row>
    <row r="587" spans="1:15" ht="15.95" customHeight="1" x14ac:dyDescent="0.25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</row>
    <row r="588" spans="1:15" ht="15.95" customHeight="1" x14ac:dyDescent="0.25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</row>
    <row r="589" spans="1:15" ht="15.95" customHeight="1" x14ac:dyDescent="0.25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</row>
    <row r="590" spans="1:15" ht="15.95" customHeight="1" x14ac:dyDescent="0.25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</row>
    <row r="591" spans="1:15" ht="15.95" customHeight="1" x14ac:dyDescent="0.25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</row>
    <row r="592" spans="1:15" ht="15.95" customHeight="1" x14ac:dyDescent="0.25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</row>
    <row r="593" spans="1:15" ht="15.95" customHeight="1" x14ac:dyDescent="0.25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</row>
    <row r="594" spans="1:15" ht="15.95" customHeight="1" x14ac:dyDescent="0.25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</row>
    <row r="595" spans="1:15" ht="15.95" customHeight="1" x14ac:dyDescent="0.25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</row>
    <row r="596" spans="1:15" ht="15.95" customHeight="1" x14ac:dyDescent="0.25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</row>
    <row r="597" spans="1:15" ht="15.95" customHeight="1" x14ac:dyDescent="0.25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</row>
    <row r="598" spans="1:15" ht="15.95" customHeight="1" x14ac:dyDescent="0.25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</row>
    <row r="599" spans="1:15" ht="15.95" customHeight="1" x14ac:dyDescent="0.25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</row>
    <row r="600" spans="1:15" ht="15.95" customHeight="1" x14ac:dyDescent="0.25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</row>
    <row r="601" spans="1:15" ht="15.95" customHeight="1" x14ac:dyDescent="0.25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</row>
    <row r="602" spans="1:15" ht="15.95" customHeight="1" x14ac:dyDescent="0.25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</row>
    <row r="603" spans="1:15" ht="15.95" customHeight="1" x14ac:dyDescent="0.25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</row>
    <row r="604" spans="1:15" ht="15.95" customHeight="1" x14ac:dyDescent="0.25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</row>
    <row r="605" spans="1:15" ht="15.95" customHeight="1" x14ac:dyDescent="0.25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</row>
    <row r="606" spans="1:15" ht="15.95" customHeight="1" x14ac:dyDescent="0.25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</row>
    <row r="607" spans="1:15" ht="15.95" customHeight="1" x14ac:dyDescent="0.25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</row>
    <row r="608" spans="1:15" ht="15.95" customHeight="1" x14ac:dyDescent="0.25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</row>
    <row r="609" spans="1:15" ht="15.95" customHeight="1" x14ac:dyDescent="0.25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</row>
    <row r="610" spans="1:15" ht="15.95" customHeight="1" x14ac:dyDescent="0.25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</row>
    <row r="611" spans="1:15" ht="15.95" customHeight="1" x14ac:dyDescent="0.25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</row>
    <row r="612" spans="1:15" ht="15.95" customHeight="1" x14ac:dyDescent="0.25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</row>
    <row r="613" spans="1:15" ht="15.95" customHeight="1" x14ac:dyDescent="0.25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</row>
    <row r="614" spans="1:15" ht="15.95" customHeight="1" x14ac:dyDescent="0.25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</row>
    <row r="615" spans="1:15" ht="15.95" customHeight="1" x14ac:dyDescent="0.25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</row>
    <row r="616" spans="1:15" ht="15.95" customHeight="1" x14ac:dyDescent="0.25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</row>
    <row r="617" spans="1:15" ht="15.95" customHeight="1" x14ac:dyDescent="0.25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</row>
    <row r="618" spans="1:15" ht="15.95" customHeight="1" x14ac:dyDescent="0.25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</row>
    <row r="619" spans="1:15" ht="15.95" customHeight="1" x14ac:dyDescent="0.25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</row>
    <row r="620" spans="1:15" ht="15.95" customHeight="1" x14ac:dyDescent="0.25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</row>
    <row r="621" spans="1:15" ht="15.95" customHeight="1" x14ac:dyDescent="0.25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</row>
    <row r="622" spans="1:15" ht="15.95" customHeight="1" x14ac:dyDescent="0.25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</row>
    <row r="623" spans="1:15" ht="15.95" customHeight="1" x14ac:dyDescent="0.25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</row>
    <row r="624" spans="1:15" ht="15.95" customHeight="1" x14ac:dyDescent="0.25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</row>
    <row r="625" spans="1:15" ht="15.95" customHeight="1" x14ac:dyDescent="0.25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</row>
    <row r="626" spans="1:15" ht="15.95" customHeight="1" x14ac:dyDescent="0.25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</row>
    <row r="627" spans="1:15" ht="15.95" customHeight="1" x14ac:dyDescent="0.25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</row>
    <row r="628" spans="1:15" ht="15.95" customHeight="1" x14ac:dyDescent="0.25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</row>
    <row r="629" spans="1:15" ht="15.95" customHeight="1" x14ac:dyDescent="0.25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</row>
    <row r="630" spans="1:15" ht="15.95" customHeight="1" x14ac:dyDescent="0.25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</row>
    <row r="631" spans="1:15" ht="15.95" customHeight="1" x14ac:dyDescent="0.25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</row>
    <row r="632" spans="1:15" ht="15.95" customHeight="1" x14ac:dyDescent="0.25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</row>
    <row r="633" spans="1:15" ht="15.95" customHeight="1" x14ac:dyDescent="0.25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</row>
    <row r="634" spans="1:15" ht="15.95" customHeight="1" x14ac:dyDescent="0.25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</row>
    <row r="635" spans="1:15" ht="15.95" customHeight="1" x14ac:dyDescent="0.25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</row>
    <row r="636" spans="1:15" ht="15.95" customHeight="1" x14ac:dyDescent="0.25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</row>
    <row r="637" spans="1:15" ht="15.95" customHeight="1" x14ac:dyDescent="0.25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</row>
    <row r="638" spans="1:15" ht="15.95" customHeight="1" x14ac:dyDescent="0.25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</row>
    <row r="639" spans="1:15" ht="15.95" customHeight="1" x14ac:dyDescent="0.25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</row>
    <row r="640" spans="1:15" ht="15.95" customHeight="1" x14ac:dyDescent="0.25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</row>
    <row r="641" spans="1:15" ht="15.95" customHeight="1" x14ac:dyDescent="0.25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</row>
    <row r="642" spans="1:15" ht="15.95" customHeight="1" x14ac:dyDescent="0.25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</row>
    <row r="643" spans="1:15" ht="15.95" customHeight="1" x14ac:dyDescent="0.25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</row>
    <row r="644" spans="1:15" ht="15.95" customHeight="1" x14ac:dyDescent="0.25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</row>
    <row r="645" spans="1:15" ht="15.95" customHeight="1" x14ac:dyDescent="0.25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</row>
    <row r="646" spans="1:15" ht="15.95" customHeight="1" x14ac:dyDescent="0.25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</row>
    <row r="647" spans="1:15" ht="15.95" customHeight="1" x14ac:dyDescent="0.25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</row>
    <row r="648" spans="1:15" ht="15.95" customHeight="1" x14ac:dyDescent="0.25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</row>
    <row r="649" spans="1:15" ht="15.95" customHeight="1" x14ac:dyDescent="0.25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</row>
    <row r="650" spans="1:15" ht="15.95" customHeight="1" x14ac:dyDescent="0.25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</row>
    <row r="651" spans="1:15" ht="15.95" customHeight="1" x14ac:dyDescent="0.25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</row>
    <row r="652" spans="1:15" ht="15.95" customHeight="1" x14ac:dyDescent="0.25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</row>
    <row r="653" spans="1:15" ht="15.95" customHeight="1" x14ac:dyDescent="0.25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</row>
    <row r="654" spans="1:15" ht="15.95" customHeight="1" x14ac:dyDescent="0.25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</row>
    <row r="655" spans="1:15" ht="15.95" customHeight="1" x14ac:dyDescent="0.25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</row>
    <row r="656" spans="1:15" ht="15.95" customHeight="1" x14ac:dyDescent="0.25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</row>
    <row r="657" spans="1:15" ht="15.95" customHeight="1" x14ac:dyDescent="0.25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</row>
    <row r="658" spans="1:15" ht="15.95" customHeight="1" x14ac:dyDescent="0.25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</row>
    <row r="659" spans="1:15" ht="15.95" customHeight="1" x14ac:dyDescent="0.25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</row>
    <row r="660" spans="1:15" ht="15.95" customHeight="1" x14ac:dyDescent="0.25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</row>
    <row r="661" spans="1:15" ht="15.95" customHeight="1" x14ac:dyDescent="0.25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</row>
    <row r="662" spans="1:15" ht="15.95" customHeight="1" x14ac:dyDescent="0.25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</row>
    <row r="663" spans="1:15" ht="15.95" customHeight="1" x14ac:dyDescent="0.25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</row>
    <row r="664" spans="1:15" ht="15.95" customHeight="1" x14ac:dyDescent="0.25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</row>
    <row r="665" spans="1:15" ht="15.95" customHeight="1" x14ac:dyDescent="0.25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</row>
    <row r="666" spans="1:15" ht="15.95" customHeight="1" x14ac:dyDescent="0.25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</row>
    <row r="667" spans="1:15" ht="15.95" customHeight="1" x14ac:dyDescent="0.25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</row>
    <row r="668" spans="1:15" ht="15.95" customHeight="1" x14ac:dyDescent="0.25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</row>
    <row r="669" spans="1:15" ht="15.95" customHeight="1" x14ac:dyDescent="0.25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</row>
    <row r="670" spans="1:15" ht="15.95" customHeight="1" x14ac:dyDescent="0.25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</row>
    <row r="671" spans="1:15" ht="15.95" customHeight="1" x14ac:dyDescent="0.25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</row>
    <row r="672" spans="1:15" ht="15.95" customHeight="1" x14ac:dyDescent="0.25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</row>
    <row r="673" spans="1:15" ht="15.95" customHeight="1" x14ac:dyDescent="0.25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</row>
    <row r="674" spans="1:15" ht="15.95" customHeight="1" x14ac:dyDescent="0.25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</row>
    <row r="675" spans="1:15" ht="15.95" customHeight="1" x14ac:dyDescent="0.25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</row>
    <row r="676" spans="1:15" ht="15.95" customHeight="1" x14ac:dyDescent="0.25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</row>
    <row r="677" spans="1:15" ht="15.95" customHeight="1" x14ac:dyDescent="0.25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</row>
    <row r="678" spans="1:15" ht="15.95" customHeight="1" x14ac:dyDescent="0.25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</row>
    <row r="679" spans="1:15" ht="15.95" customHeight="1" x14ac:dyDescent="0.25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</row>
    <row r="680" spans="1:15" ht="15.95" customHeight="1" x14ac:dyDescent="0.25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</row>
    <row r="681" spans="1:15" ht="15.95" customHeight="1" x14ac:dyDescent="0.25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</row>
    <row r="682" spans="1:15" ht="15.95" customHeight="1" x14ac:dyDescent="0.25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</row>
    <row r="683" spans="1:15" ht="15.95" customHeight="1" x14ac:dyDescent="0.25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</row>
    <row r="684" spans="1:15" ht="15.95" customHeight="1" x14ac:dyDescent="0.25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</row>
    <row r="685" spans="1:15" ht="15.95" customHeight="1" x14ac:dyDescent="0.25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</row>
    <row r="686" spans="1:15" ht="15.95" customHeight="1" x14ac:dyDescent="0.25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</row>
    <row r="687" spans="1:15" ht="15.95" customHeight="1" x14ac:dyDescent="0.25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</row>
    <row r="688" spans="1:15" ht="15.95" customHeight="1" x14ac:dyDescent="0.25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</row>
    <row r="689" spans="1:15" ht="15.95" customHeight="1" x14ac:dyDescent="0.25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</row>
    <row r="690" spans="1:15" ht="15.95" customHeight="1" x14ac:dyDescent="0.25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</row>
    <row r="691" spans="1:15" ht="15.95" customHeight="1" x14ac:dyDescent="0.25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</row>
    <row r="692" spans="1:15" ht="15.95" customHeight="1" x14ac:dyDescent="0.25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</row>
    <row r="693" spans="1:15" ht="15.95" customHeight="1" x14ac:dyDescent="0.25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</row>
    <row r="694" spans="1:15" ht="15.95" customHeight="1" x14ac:dyDescent="0.25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</row>
    <row r="695" spans="1:15" ht="15.95" customHeight="1" x14ac:dyDescent="0.25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</row>
    <row r="696" spans="1:15" ht="15.95" customHeight="1" x14ac:dyDescent="0.25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</row>
    <row r="697" spans="1:15" ht="15.95" customHeight="1" x14ac:dyDescent="0.25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</row>
    <row r="698" spans="1:15" ht="15.95" customHeight="1" x14ac:dyDescent="0.25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</row>
    <row r="699" spans="1:15" ht="15.95" customHeight="1" x14ac:dyDescent="0.25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</row>
    <row r="700" spans="1:15" ht="15.95" customHeight="1" x14ac:dyDescent="0.25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</row>
    <row r="701" spans="1:15" ht="15.95" customHeight="1" x14ac:dyDescent="0.25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</row>
    <row r="702" spans="1:15" ht="15.95" customHeight="1" x14ac:dyDescent="0.25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</row>
    <row r="703" spans="1:15" ht="15.95" customHeight="1" x14ac:dyDescent="0.25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</row>
    <row r="704" spans="1:15" ht="15.95" customHeight="1" x14ac:dyDescent="0.25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</row>
    <row r="705" spans="1:15" ht="15.95" customHeight="1" x14ac:dyDescent="0.25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</row>
    <row r="706" spans="1:15" ht="15.95" customHeight="1" x14ac:dyDescent="0.25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</row>
    <row r="707" spans="1:15" ht="15.95" customHeight="1" x14ac:dyDescent="0.25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</row>
    <row r="708" spans="1:15" ht="15.95" customHeight="1" x14ac:dyDescent="0.25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</row>
    <row r="709" spans="1:15" ht="15.95" customHeight="1" x14ac:dyDescent="0.25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</row>
    <row r="710" spans="1:15" ht="15.95" customHeight="1" x14ac:dyDescent="0.25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</row>
    <row r="711" spans="1:15" ht="15.95" customHeight="1" x14ac:dyDescent="0.25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</row>
    <row r="712" spans="1:15" ht="15.95" customHeight="1" x14ac:dyDescent="0.25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</row>
    <row r="713" spans="1:15" ht="15.95" customHeight="1" x14ac:dyDescent="0.25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</row>
    <row r="714" spans="1:15" ht="15.95" customHeight="1" x14ac:dyDescent="0.25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</row>
    <row r="715" spans="1:15" ht="15.95" customHeight="1" x14ac:dyDescent="0.25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</row>
    <row r="716" spans="1:15" ht="15.95" customHeight="1" x14ac:dyDescent="0.25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</row>
    <row r="717" spans="1:15" ht="15.95" customHeight="1" x14ac:dyDescent="0.25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</row>
    <row r="718" spans="1:15" ht="15.95" customHeight="1" x14ac:dyDescent="0.25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</row>
    <row r="719" spans="1:15" ht="15.95" customHeight="1" x14ac:dyDescent="0.25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</row>
    <row r="720" spans="1:15" ht="15.95" customHeight="1" x14ac:dyDescent="0.25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</row>
    <row r="721" spans="1:15" ht="15.95" customHeight="1" x14ac:dyDescent="0.25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</row>
    <row r="722" spans="1:15" ht="15.95" customHeight="1" x14ac:dyDescent="0.25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</row>
    <row r="723" spans="1:15" ht="15.95" customHeight="1" x14ac:dyDescent="0.25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</row>
    <row r="724" spans="1:15" ht="15.95" customHeight="1" x14ac:dyDescent="0.25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</row>
    <row r="725" spans="1:15" ht="15.95" customHeight="1" x14ac:dyDescent="0.25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</row>
    <row r="726" spans="1:15" ht="15.95" customHeight="1" x14ac:dyDescent="0.25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</row>
    <row r="727" spans="1:15" ht="15.95" customHeight="1" x14ac:dyDescent="0.25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</row>
    <row r="728" spans="1:15" ht="15.95" customHeight="1" x14ac:dyDescent="0.25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</row>
    <row r="729" spans="1:15" ht="15.95" customHeight="1" x14ac:dyDescent="0.25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</row>
    <row r="730" spans="1:15" ht="15.95" customHeight="1" x14ac:dyDescent="0.25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</row>
    <row r="731" spans="1:15" ht="15.95" customHeight="1" x14ac:dyDescent="0.25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</row>
    <row r="732" spans="1:15" ht="15.95" customHeight="1" x14ac:dyDescent="0.25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</row>
    <row r="733" spans="1:15" ht="15.95" customHeight="1" x14ac:dyDescent="0.25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</row>
    <row r="734" spans="1:15" ht="15.95" customHeight="1" x14ac:dyDescent="0.25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</row>
    <row r="735" spans="1:15" ht="15.95" customHeight="1" x14ac:dyDescent="0.25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</row>
    <row r="736" spans="1:15" ht="15.95" customHeight="1" x14ac:dyDescent="0.25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</row>
    <row r="737" spans="1:15" ht="15.95" customHeight="1" x14ac:dyDescent="0.25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</row>
    <row r="738" spans="1:15" ht="15.95" customHeight="1" x14ac:dyDescent="0.25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</row>
    <row r="739" spans="1:15" ht="15.95" customHeight="1" x14ac:dyDescent="0.25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</row>
    <row r="740" spans="1:15" ht="15.95" customHeight="1" x14ac:dyDescent="0.25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</row>
    <row r="741" spans="1:15" ht="15.95" customHeight="1" x14ac:dyDescent="0.25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</row>
    <row r="742" spans="1:15" ht="15.95" customHeight="1" x14ac:dyDescent="0.25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</row>
    <row r="743" spans="1:15" ht="15.95" customHeight="1" x14ac:dyDescent="0.25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</row>
    <row r="744" spans="1:15" ht="15.95" customHeight="1" x14ac:dyDescent="0.25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</row>
    <row r="745" spans="1:15" ht="15.95" customHeight="1" x14ac:dyDescent="0.25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</row>
    <row r="746" spans="1:15" ht="15.95" customHeight="1" x14ac:dyDescent="0.25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</row>
    <row r="747" spans="1:15" ht="15.95" customHeight="1" x14ac:dyDescent="0.25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</row>
    <row r="748" spans="1:15" ht="15.95" customHeight="1" x14ac:dyDescent="0.25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</row>
    <row r="749" spans="1:15" ht="15.95" customHeight="1" x14ac:dyDescent="0.25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</row>
    <row r="750" spans="1:15" ht="15.95" customHeight="1" x14ac:dyDescent="0.25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</row>
    <row r="751" spans="1:15" ht="15.95" customHeight="1" x14ac:dyDescent="0.25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</row>
    <row r="752" spans="1:15" ht="15.95" customHeight="1" x14ac:dyDescent="0.25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</row>
    <row r="753" spans="1:15" ht="15.95" customHeight="1" x14ac:dyDescent="0.25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</row>
    <row r="754" spans="1:15" ht="15.95" customHeight="1" x14ac:dyDescent="0.25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</row>
    <row r="755" spans="1:15" ht="15.95" customHeight="1" x14ac:dyDescent="0.25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</row>
    <row r="756" spans="1:15" ht="15.95" customHeight="1" x14ac:dyDescent="0.25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</row>
    <row r="757" spans="1:15" ht="15.95" customHeight="1" x14ac:dyDescent="0.25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</row>
    <row r="758" spans="1:15" ht="15.95" customHeight="1" x14ac:dyDescent="0.25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</row>
    <row r="759" spans="1:15" ht="15.95" customHeight="1" x14ac:dyDescent="0.25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</row>
    <row r="760" spans="1:15" ht="15.95" customHeight="1" x14ac:dyDescent="0.25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</row>
    <row r="761" spans="1:15" ht="15.95" customHeight="1" x14ac:dyDescent="0.25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</row>
    <row r="762" spans="1:15" ht="15.95" customHeight="1" x14ac:dyDescent="0.25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</row>
    <row r="763" spans="1:15" ht="15.95" customHeight="1" x14ac:dyDescent="0.25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</row>
    <row r="764" spans="1:15" ht="15.95" customHeight="1" x14ac:dyDescent="0.25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</row>
    <row r="765" spans="1:15" ht="15.95" customHeight="1" x14ac:dyDescent="0.25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</row>
    <row r="766" spans="1:15" ht="15.95" customHeight="1" x14ac:dyDescent="0.25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</row>
    <row r="767" spans="1:15" ht="15.95" customHeight="1" x14ac:dyDescent="0.25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</row>
    <row r="768" spans="1:15" ht="15.95" customHeight="1" x14ac:dyDescent="0.25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</row>
    <row r="769" spans="1:15" ht="15.95" customHeight="1" x14ac:dyDescent="0.25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</row>
    <row r="770" spans="1:15" ht="15.95" customHeight="1" x14ac:dyDescent="0.25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</row>
    <row r="771" spans="1:15" ht="15.95" customHeight="1" x14ac:dyDescent="0.25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</row>
    <row r="772" spans="1:15" ht="15.95" customHeight="1" x14ac:dyDescent="0.25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</row>
    <row r="773" spans="1:15" ht="15.95" customHeight="1" x14ac:dyDescent="0.25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</row>
    <row r="774" spans="1:15" ht="15.95" customHeight="1" x14ac:dyDescent="0.25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</row>
    <row r="775" spans="1:15" ht="15.95" customHeight="1" x14ac:dyDescent="0.25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</row>
    <row r="776" spans="1:15" ht="15.95" customHeight="1" x14ac:dyDescent="0.25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</row>
    <row r="777" spans="1:15" ht="15.95" customHeight="1" x14ac:dyDescent="0.25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</row>
    <row r="778" spans="1:15" ht="15.95" customHeight="1" x14ac:dyDescent="0.25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</row>
    <row r="779" spans="1:15" ht="15.95" customHeight="1" x14ac:dyDescent="0.25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</row>
    <row r="780" spans="1:15" ht="15.95" customHeight="1" x14ac:dyDescent="0.25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</row>
    <row r="781" spans="1:15" ht="15.95" customHeight="1" x14ac:dyDescent="0.25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</row>
    <row r="782" spans="1:15" ht="15.95" customHeight="1" x14ac:dyDescent="0.25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</row>
    <row r="783" spans="1:15" ht="15.95" customHeight="1" x14ac:dyDescent="0.25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</row>
    <row r="784" spans="1:15" ht="15.95" customHeight="1" x14ac:dyDescent="0.25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</row>
    <row r="785" spans="1:15" ht="15.95" customHeight="1" x14ac:dyDescent="0.25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</row>
    <row r="786" spans="1:15" ht="15.95" customHeight="1" x14ac:dyDescent="0.25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</row>
    <row r="787" spans="1:15" ht="15.95" customHeight="1" x14ac:dyDescent="0.25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</row>
    <row r="788" spans="1:15" ht="15.95" customHeight="1" x14ac:dyDescent="0.25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</row>
    <row r="789" spans="1:15" ht="15.95" customHeight="1" x14ac:dyDescent="0.25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</row>
    <row r="790" spans="1:15" ht="15.95" customHeight="1" x14ac:dyDescent="0.25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</row>
    <row r="791" spans="1:15" ht="15.95" customHeight="1" x14ac:dyDescent="0.25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</row>
    <row r="792" spans="1:15" ht="15.95" customHeight="1" x14ac:dyDescent="0.25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</row>
    <row r="793" spans="1:15" ht="15.95" customHeight="1" x14ac:dyDescent="0.25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</row>
    <row r="794" spans="1:15" ht="15.95" customHeight="1" x14ac:dyDescent="0.25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</row>
    <row r="795" spans="1:15" ht="15.95" customHeight="1" x14ac:dyDescent="0.25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</row>
    <row r="796" spans="1:15" ht="15.95" customHeight="1" x14ac:dyDescent="0.25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</row>
    <row r="797" spans="1:15" ht="15.95" customHeight="1" x14ac:dyDescent="0.25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</row>
    <row r="798" spans="1:15" ht="15.95" customHeight="1" x14ac:dyDescent="0.25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</row>
    <row r="799" spans="1:15" ht="15.95" customHeight="1" x14ac:dyDescent="0.25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</row>
    <row r="800" spans="1:15" ht="15.95" customHeight="1" x14ac:dyDescent="0.25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</row>
    <row r="801" spans="1:15" ht="15.95" customHeight="1" x14ac:dyDescent="0.25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</row>
    <row r="802" spans="1:15" ht="15.95" customHeight="1" x14ac:dyDescent="0.25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</row>
    <row r="803" spans="1:15" ht="15.95" customHeight="1" x14ac:dyDescent="0.25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</row>
    <row r="804" spans="1:15" ht="15.95" customHeight="1" x14ac:dyDescent="0.25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</row>
    <row r="805" spans="1:15" ht="15.95" customHeight="1" x14ac:dyDescent="0.25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</row>
    <row r="806" spans="1:15" ht="15.95" customHeight="1" x14ac:dyDescent="0.25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</row>
    <row r="807" spans="1:15" ht="15.95" customHeight="1" x14ac:dyDescent="0.25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</row>
    <row r="808" spans="1:15" ht="15.95" customHeight="1" x14ac:dyDescent="0.25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</row>
    <row r="809" spans="1:15" ht="15.95" customHeight="1" x14ac:dyDescent="0.25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</row>
    <row r="810" spans="1:15" ht="15.95" customHeight="1" x14ac:dyDescent="0.25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</row>
    <row r="811" spans="1:15" ht="15.95" customHeight="1" x14ac:dyDescent="0.25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</row>
    <row r="812" spans="1:15" ht="15.95" customHeight="1" x14ac:dyDescent="0.25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</row>
    <row r="813" spans="1:15" ht="15.95" customHeight="1" x14ac:dyDescent="0.25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</row>
    <row r="814" spans="1:15" ht="15.95" customHeight="1" x14ac:dyDescent="0.25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</row>
    <row r="815" spans="1:15" ht="15.95" customHeight="1" x14ac:dyDescent="0.25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</row>
    <row r="816" spans="1:15" ht="15.95" customHeight="1" x14ac:dyDescent="0.25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</row>
    <row r="817" spans="1:15" ht="15.95" customHeight="1" x14ac:dyDescent="0.25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</row>
    <row r="818" spans="1:15" ht="15.95" customHeight="1" x14ac:dyDescent="0.25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</row>
    <row r="819" spans="1:15" ht="15.95" customHeight="1" x14ac:dyDescent="0.25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</row>
    <row r="820" spans="1:15" ht="15.95" customHeight="1" x14ac:dyDescent="0.25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</row>
    <row r="821" spans="1:15" ht="15.95" customHeight="1" x14ac:dyDescent="0.25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</row>
    <row r="822" spans="1:15" ht="15.95" customHeight="1" x14ac:dyDescent="0.25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</row>
    <row r="823" spans="1:15" ht="15.95" customHeight="1" x14ac:dyDescent="0.25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</row>
    <row r="824" spans="1:15" ht="15.95" customHeight="1" x14ac:dyDescent="0.25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</row>
    <row r="825" spans="1:15" ht="15.95" customHeight="1" x14ac:dyDescent="0.25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</row>
    <row r="826" spans="1:15" ht="15.95" customHeight="1" x14ac:dyDescent="0.25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</row>
    <row r="827" spans="1:15" ht="15.95" customHeight="1" x14ac:dyDescent="0.25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</row>
    <row r="828" spans="1:15" ht="15.95" customHeight="1" x14ac:dyDescent="0.25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</row>
    <row r="829" spans="1:15" ht="15.95" customHeight="1" x14ac:dyDescent="0.25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</row>
    <row r="830" spans="1:15" ht="15.95" customHeight="1" x14ac:dyDescent="0.25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</row>
    <row r="831" spans="1:15" ht="15.95" customHeight="1" x14ac:dyDescent="0.25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</row>
    <row r="832" spans="1:15" ht="15.95" customHeight="1" x14ac:dyDescent="0.25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</row>
    <row r="833" spans="1:15" ht="15.95" customHeight="1" x14ac:dyDescent="0.25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</row>
    <row r="834" spans="1:15" ht="15.95" customHeight="1" x14ac:dyDescent="0.25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</row>
    <row r="835" spans="1:15" ht="15.95" customHeight="1" x14ac:dyDescent="0.25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</row>
    <row r="836" spans="1:15" ht="15.95" customHeight="1" x14ac:dyDescent="0.25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</row>
    <row r="837" spans="1:15" ht="15.95" customHeight="1" x14ac:dyDescent="0.25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</row>
    <row r="838" spans="1:15" ht="15.95" customHeight="1" x14ac:dyDescent="0.25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</row>
    <row r="839" spans="1:15" ht="15.95" customHeight="1" x14ac:dyDescent="0.25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</row>
    <row r="840" spans="1:15" ht="15.95" customHeight="1" x14ac:dyDescent="0.25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</row>
    <row r="841" spans="1:15" ht="15.95" customHeight="1" x14ac:dyDescent="0.25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</row>
    <row r="842" spans="1:15" ht="15.95" customHeight="1" x14ac:dyDescent="0.25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</row>
    <row r="843" spans="1:15" ht="15.95" customHeight="1" x14ac:dyDescent="0.25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</row>
    <row r="844" spans="1:15" ht="15.95" customHeight="1" x14ac:dyDescent="0.25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</row>
    <row r="845" spans="1:15" ht="15.95" customHeight="1" x14ac:dyDescent="0.25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</row>
    <row r="846" spans="1:15" ht="15.95" customHeight="1" x14ac:dyDescent="0.25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</row>
    <row r="847" spans="1:15" ht="15.95" customHeight="1" x14ac:dyDescent="0.25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</row>
    <row r="848" spans="1:15" ht="15.95" customHeight="1" x14ac:dyDescent="0.25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</row>
    <row r="849" spans="1:15" ht="15.95" customHeight="1" x14ac:dyDescent="0.25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</row>
    <row r="850" spans="1:15" ht="15.95" customHeight="1" x14ac:dyDescent="0.25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</row>
    <row r="851" spans="1:15" ht="15.95" customHeight="1" x14ac:dyDescent="0.25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</row>
    <row r="852" spans="1:15" ht="15.95" customHeight="1" x14ac:dyDescent="0.25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</row>
    <row r="853" spans="1:15" ht="15.95" customHeight="1" x14ac:dyDescent="0.25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</row>
    <row r="854" spans="1:15" ht="15.95" customHeight="1" x14ac:dyDescent="0.25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</row>
    <row r="855" spans="1:15" ht="15.95" customHeight="1" x14ac:dyDescent="0.25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</row>
    <row r="856" spans="1:15" ht="15.95" customHeight="1" x14ac:dyDescent="0.25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</row>
    <row r="857" spans="1:15" ht="15.95" customHeight="1" x14ac:dyDescent="0.25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</row>
    <row r="858" spans="1:15" ht="15.95" customHeight="1" x14ac:dyDescent="0.25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</row>
    <row r="859" spans="1:15" ht="15.95" customHeight="1" x14ac:dyDescent="0.25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</row>
    <row r="860" spans="1:15" ht="15.95" customHeight="1" x14ac:dyDescent="0.25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</row>
    <row r="861" spans="1:15" ht="15.95" customHeight="1" x14ac:dyDescent="0.25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</row>
    <row r="862" spans="1:15" ht="15.95" customHeight="1" x14ac:dyDescent="0.25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</row>
    <row r="863" spans="1:15" ht="15.95" customHeight="1" x14ac:dyDescent="0.25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</row>
    <row r="864" spans="1:15" ht="15.95" customHeight="1" x14ac:dyDescent="0.25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</row>
    <row r="865" spans="1:15" ht="15.95" customHeight="1" x14ac:dyDescent="0.25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</row>
    <row r="866" spans="1:15" ht="15.95" customHeight="1" x14ac:dyDescent="0.25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</row>
    <row r="867" spans="1:15" ht="15.95" customHeight="1" x14ac:dyDescent="0.25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</row>
    <row r="868" spans="1:15" ht="15.95" customHeight="1" x14ac:dyDescent="0.25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</row>
    <row r="869" spans="1:15" ht="15.95" customHeight="1" x14ac:dyDescent="0.25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</row>
    <row r="870" spans="1:15" ht="15.95" customHeight="1" x14ac:dyDescent="0.25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</row>
    <row r="871" spans="1:15" ht="15.95" customHeight="1" x14ac:dyDescent="0.25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</row>
    <row r="872" spans="1:15" ht="15.95" customHeight="1" x14ac:dyDescent="0.25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</row>
    <row r="873" spans="1:15" ht="15.95" customHeight="1" x14ac:dyDescent="0.25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</row>
    <row r="874" spans="1:15" ht="15.95" customHeight="1" x14ac:dyDescent="0.25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</row>
    <row r="875" spans="1:15" ht="15.95" customHeight="1" x14ac:dyDescent="0.25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</row>
    <row r="876" spans="1:15" ht="15.95" customHeight="1" x14ac:dyDescent="0.25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</row>
    <row r="877" spans="1:15" ht="15.95" customHeight="1" x14ac:dyDescent="0.25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</row>
    <row r="878" spans="1:15" ht="15.95" customHeight="1" x14ac:dyDescent="0.25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</row>
    <row r="879" spans="1:15" ht="15.95" customHeight="1" x14ac:dyDescent="0.25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</row>
    <row r="880" spans="1:15" ht="15.95" customHeight="1" x14ac:dyDescent="0.25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</row>
    <row r="881" spans="1:15" ht="15.95" customHeight="1" x14ac:dyDescent="0.25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</row>
    <row r="882" spans="1:15" ht="15.95" customHeight="1" x14ac:dyDescent="0.25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</row>
    <row r="883" spans="1:15" ht="15.95" customHeight="1" x14ac:dyDescent="0.25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</row>
    <row r="884" spans="1:15" ht="15.95" customHeight="1" x14ac:dyDescent="0.25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</row>
    <row r="885" spans="1:15" ht="15.95" customHeight="1" x14ac:dyDescent="0.25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</row>
    <row r="886" spans="1:15" ht="15.95" customHeight="1" x14ac:dyDescent="0.25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</row>
    <row r="887" spans="1:15" ht="15.95" customHeight="1" x14ac:dyDescent="0.25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</row>
    <row r="888" spans="1:15" ht="15.95" customHeight="1" x14ac:dyDescent="0.25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</row>
    <row r="889" spans="1:15" ht="15.95" customHeight="1" x14ac:dyDescent="0.25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</row>
    <row r="890" spans="1:15" ht="15.95" customHeight="1" x14ac:dyDescent="0.25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</row>
    <row r="891" spans="1:15" ht="15.95" customHeight="1" x14ac:dyDescent="0.25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</row>
    <row r="892" spans="1:15" ht="15.95" customHeight="1" x14ac:dyDescent="0.25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</row>
    <row r="893" spans="1:15" ht="15.95" customHeight="1" x14ac:dyDescent="0.25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</row>
    <row r="894" spans="1:15" ht="15.95" customHeight="1" x14ac:dyDescent="0.25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</row>
    <row r="895" spans="1:15" ht="15.95" customHeight="1" x14ac:dyDescent="0.25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</row>
    <row r="896" spans="1:15" ht="15.95" customHeight="1" x14ac:dyDescent="0.25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</row>
    <row r="897" spans="1:15" ht="15.95" customHeight="1" x14ac:dyDescent="0.25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</row>
    <row r="898" spans="1:15" ht="15.95" customHeight="1" x14ac:dyDescent="0.25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</row>
    <row r="899" spans="1:15" ht="15.95" customHeight="1" x14ac:dyDescent="0.25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</row>
    <row r="900" spans="1:15" ht="15.95" customHeight="1" x14ac:dyDescent="0.25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</row>
    <row r="901" spans="1:15" ht="15.95" customHeight="1" x14ac:dyDescent="0.25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</row>
    <row r="902" spans="1:15" ht="15.95" customHeight="1" x14ac:dyDescent="0.25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</row>
    <row r="903" spans="1:15" ht="15.95" customHeight="1" x14ac:dyDescent="0.25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</row>
    <row r="904" spans="1:15" ht="15.95" customHeight="1" x14ac:dyDescent="0.25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</row>
    <row r="905" spans="1:15" ht="15.95" customHeight="1" x14ac:dyDescent="0.25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</row>
    <row r="906" spans="1:15" ht="15.95" customHeight="1" x14ac:dyDescent="0.25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</row>
    <row r="907" spans="1:15" ht="15.95" customHeight="1" x14ac:dyDescent="0.25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</row>
    <row r="908" spans="1:15" ht="15.95" customHeight="1" x14ac:dyDescent="0.25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</row>
    <row r="909" spans="1:15" ht="15.95" customHeight="1" x14ac:dyDescent="0.2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</row>
    <row r="910" spans="1:15" ht="15.95" customHeight="1" x14ac:dyDescent="0.25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</row>
    <row r="911" spans="1:15" ht="15.95" customHeight="1" x14ac:dyDescent="0.25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</row>
    <row r="912" spans="1:15" ht="15.95" customHeight="1" x14ac:dyDescent="0.25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</row>
    <row r="913" spans="1:15" ht="15.95" customHeight="1" x14ac:dyDescent="0.25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</row>
    <row r="914" spans="1:15" ht="15.95" customHeight="1" x14ac:dyDescent="0.25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</row>
    <row r="915" spans="1:15" ht="15.95" customHeight="1" x14ac:dyDescent="0.25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</row>
    <row r="916" spans="1:15" ht="15.95" customHeight="1" x14ac:dyDescent="0.25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</row>
    <row r="917" spans="1:15" ht="15.95" customHeight="1" x14ac:dyDescent="0.25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</row>
    <row r="918" spans="1:15" ht="15.95" customHeight="1" x14ac:dyDescent="0.25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</row>
    <row r="919" spans="1:15" ht="15.95" customHeight="1" x14ac:dyDescent="0.25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</row>
    <row r="920" spans="1:15" ht="15.95" customHeight="1" x14ac:dyDescent="0.25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</row>
    <row r="921" spans="1:15" ht="15.95" customHeight="1" x14ac:dyDescent="0.25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</row>
    <row r="922" spans="1:15" ht="15.95" customHeight="1" x14ac:dyDescent="0.25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</row>
    <row r="923" spans="1:15" ht="15.95" customHeight="1" x14ac:dyDescent="0.25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</row>
    <row r="924" spans="1:15" ht="15.95" customHeight="1" x14ac:dyDescent="0.25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</row>
    <row r="925" spans="1:15" ht="15.95" customHeight="1" x14ac:dyDescent="0.25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</row>
    <row r="926" spans="1:15" ht="15.95" customHeight="1" x14ac:dyDescent="0.25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</row>
    <row r="927" spans="1:15" ht="15.95" customHeight="1" x14ac:dyDescent="0.25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</row>
    <row r="928" spans="1:15" ht="15.95" customHeight="1" x14ac:dyDescent="0.25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</row>
    <row r="929" spans="1:15" ht="15.95" customHeight="1" x14ac:dyDescent="0.25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</row>
    <row r="930" spans="1:15" ht="15.95" customHeight="1" x14ac:dyDescent="0.25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</row>
    <row r="931" spans="1:15" ht="15.95" customHeight="1" x14ac:dyDescent="0.25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</row>
    <row r="932" spans="1:15" ht="15.95" customHeight="1" x14ac:dyDescent="0.25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</row>
    <row r="933" spans="1:15" ht="15.95" customHeight="1" x14ac:dyDescent="0.25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</row>
    <row r="934" spans="1:15" ht="15.95" customHeight="1" x14ac:dyDescent="0.25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</row>
    <row r="935" spans="1:15" ht="15.95" customHeight="1" x14ac:dyDescent="0.25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</row>
    <row r="936" spans="1:15" ht="15.95" customHeight="1" x14ac:dyDescent="0.25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</row>
    <row r="937" spans="1:15" ht="15.95" customHeight="1" x14ac:dyDescent="0.25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</row>
    <row r="938" spans="1:15" ht="15.95" customHeight="1" x14ac:dyDescent="0.25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</row>
    <row r="939" spans="1:15" ht="15.95" customHeight="1" x14ac:dyDescent="0.25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</row>
    <row r="940" spans="1:15" ht="15.95" customHeight="1" x14ac:dyDescent="0.25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</row>
    <row r="941" spans="1:15" ht="15.95" customHeight="1" x14ac:dyDescent="0.25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</row>
    <row r="942" spans="1:15" ht="15.95" customHeight="1" x14ac:dyDescent="0.25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</row>
    <row r="943" spans="1:15" ht="15.95" customHeight="1" x14ac:dyDescent="0.25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</row>
    <row r="944" spans="1:15" ht="15.95" customHeight="1" x14ac:dyDescent="0.25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</row>
    <row r="945" spans="1:15" ht="15.95" customHeight="1" x14ac:dyDescent="0.25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</row>
    <row r="946" spans="1:15" ht="15.95" customHeight="1" x14ac:dyDescent="0.25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</row>
    <row r="947" spans="1:15" ht="15.95" customHeight="1" x14ac:dyDescent="0.25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</row>
    <row r="948" spans="1:15" ht="15.95" customHeight="1" x14ac:dyDescent="0.25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</row>
    <row r="949" spans="1:15" ht="15.95" customHeight="1" x14ac:dyDescent="0.25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</row>
    <row r="950" spans="1:15" ht="15.95" customHeight="1" x14ac:dyDescent="0.25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</row>
    <row r="951" spans="1:15" ht="15.95" customHeight="1" x14ac:dyDescent="0.25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</row>
    <row r="952" spans="1:15" ht="15.95" customHeight="1" x14ac:dyDescent="0.25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</row>
    <row r="953" spans="1:15" ht="15.95" customHeight="1" x14ac:dyDescent="0.25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</row>
    <row r="954" spans="1:15" ht="15.95" customHeight="1" x14ac:dyDescent="0.25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</row>
    <row r="955" spans="1:15" ht="15.95" customHeight="1" x14ac:dyDescent="0.25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</row>
    <row r="956" spans="1:15" ht="15.95" customHeight="1" x14ac:dyDescent="0.25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</row>
    <row r="957" spans="1:15" ht="15.95" customHeight="1" x14ac:dyDescent="0.25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</row>
    <row r="958" spans="1:15" ht="15.95" customHeight="1" x14ac:dyDescent="0.25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</row>
    <row r="959" spans="1:15" ht="15.95" customHeight="1" x14ac:dyDescent="0.25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</row>
    <row r="960" spans="1:15" ht="15.95" customHeight="1" x14ac:dyDescent="0.25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</row>
    <row r="961" spans="1:15" ht="15.95" customHeight="1" x14ac:dyDescent="0.25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</row>
    <row r="962" spans="1:15" ht="15.95" customHeight="1" x14ac:dyDescent="0.25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</row>
    <row r="963" spans="1:15" ht="15.95" customHeight="1" x14ac:dyDescent="0.25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</row>
    <row r="964" spans="1:15" ht="15.95" customHeight="1" x14ac:dyDescent="0.25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</row>
    <row r="965" spans="1:15" ht="15.95" customHeight="1" x14ac:dyDescent="0.25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</row>
    <row r="966" spans="1:15" ht="15.95" customHeight="1" x14ac:dyDescent="0.25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</row>
    <row r="967" spans="1:15" ht="15.95" customHeight="1" x14ac:dyDescent="0.25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</row>
    <row r="968" spans="1:15" ht="15.95" customHeight="1" x14ac:dyDescent="0.25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</row>
    <row r="969" spans="1:15" ht="15.95" customHeight="1" x14ac:dyDescent="0.25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</row>
    <row r="970" spans="1:15" ht="15.95" customHeight="1" x14ac:dyDescent="0.25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</row>
    <row r="971" spans="1:15" ht="15.95" customHeight="1" x14ac:dyDescent="0.25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</row>
    <row r="972" spans="1:15" ht="15.95" customHeight="1" x14ac:dyDescent="0.25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</row>
    <row r="973" spans="1:15" ht="15.95" customHeight="1" x14ac:dyDescent="0.25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</row>
    <row r="974" spans="1:15" ht="15.95" customHeight="1" x14ac:dyDescent="0.25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</row>
    <row r="975" spans="1:15" ht="15.95" customHeight="1" x14ac:dyDescent="0.25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</row>
    <row r="976" spans="1:15" ht="15.95" customHeight="1" x14ac:dyDescent="0.25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</row>
    <row r="977" spans="1:15" ht="15.95" customHeight="1" x14ac:dyDescent="0.25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</row>
    <row r="978" spans="1:15" ht="15.95" customHeight="1" x14ac:dyDescent="0.25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</row>
    <row r="979" spans="1:15" ht="15.95" customHeight="1" x14ac:dyDescent="0.25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</row>
    <row r="980" spans="1:15" ht="15.95" customHeight="1" x14ac:dyDescent="0.25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</row>
    <row r="981" spans="1:15" ht="15.95" customHeight="1" x14ac:dyDescent="0.25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</row>
    <row r="982" spans="1:15" ht="15.95" customHeight="1" x14ac:dyDescent="0.25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</row>
    <row r="983" spans="1:15" ht="15.95" customHeight="1" x14ac:dyDescent="0.25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</row>
    <row r="984" spans="1:15" ht="15.95" customHeight="1" x14ac:dyDescent="0.25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</row>
    <row r="985" spans="1:15" ht="15.95" customHeight="1" x14ac:dyDescent="0.25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</row>
    <row r="986" spans="1:15" ht="15.95" customHeight="1" x14ac:dyDescent="0.25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</row>
    <row r="987" spans="1:15" ht="15.95" customHeight="1" x14ac:dyDescent="0.25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</row>
    <row r="988" spans="1:15" ht="15.95" customHeight="1" x14ac:dyDescent="0.25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</row>
    <row r="989" spans="1:15" ht="15.95" customHeight="1" x14ac:dyDescent="0.25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</row>
    <row r="990" spans="1:15" ht="15.95" customHeight="1" x14ac:dyDescent="0.25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</row>
    <row r="991" spans="1:15" ht="15.95" customHeight="1" x14ac:dyDescent="0.25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</row>
    <row r="992" spans="1:15" ht="15.95" customHeight="1" x14ac:dyDescent="0.25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</row>
    <row r="993" spans="1:15" ht="15.95" customHeight="1" x14ac:dyDescent="0.25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</row>
    <row r="994" spans="1:15" ht="15.95" customHeight="1" x14ac:dyDescent="0.25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</row>
    <row r="995" spans="1:15" ht="15.95" customHeight="1" x14ac:dyDescent="0.25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</row>
    <row r="996" spans="1:15" ht="15.95" customHeight="1" x14ac:dyDescent="0.25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</row>
    <row r="997" spans="1:15" ht="15.95" customHeight="1" x14ac:dyDescent="0.25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</row>
    <row r="998" spans="1:15" ht="15.95" customHeight="1" x14ac:dyDescent="0.25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</row>
    <row r="999" spans="1:15" ht="15.95" customHeight="1" x14ac:dyDescent="0.25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</row>
    <row r="1000" spans="1:15" ht="15.95" customHeight="1" x14ac:dyDescent="0.25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7" tint="0.39997558519241921"/>
  </sheetPr>
  <dimension ref="A1:AR26"/>
  <sheetViews>
    <sheetView zoomScale="85" zoomScaleNormal="85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6.5" x14ac:dyDescent="0.25">
      <c r="A1" s="78" t="s">
        <v>2527</v>
      </c>
      <c r="B1" s="72" t="s">
        <v>2432</v>
      </c>
      <c r="C1" s="72" t="s">
        <v>2433</v>
      </c>
      <c r="D1" s="72" t="s">
        <v>2434</v>
      </c>
      <c r="E1" s="72" t="s">
        <v>2528</v>
      </c>
      <c r="F1" s="72" t="s">
        <v>2529</v>
      </c>
      <c r="G1" s="72" t="s">
        <v>2530</v>
      </c>
      <c r="H1" s="74" t="s">
        <v>2532</v>
      </c>
      <c r="I1" s="75"/>
      <c r="J1" s="76"/>
      <c r="K1" s="74" t="s">
        <v>2467</v>
      </c>
      <c r="L1" s="75"/>
      <c r="M1" s="75"/>
      <c r="N1" s="75"/>
      <c r="O1" s="75"/>
      <c r="P1" s="75"/>
      <c r="Q1" s="76"/>
      <c r="R1" s="72" t="s">
        <v>2531</v>
      </c>
      <c r="S1" s="74" t="s">
        <v>2543</v>
      </c>
      <c r="T1" s="75"/>
      <c r="U1" s="77"/>
    </row>
    <row r="2" spans="1:44" ht="66" x14ac:dyDescent="0.25">
      <c r="A2" s="79"/>
      <c r="B2" s="73"/>
      <c r="C2" s="73"/>
      <c r="D2" s="73"/>
      <c r="E2" s="73"/>
      <c r="F2" s="73"/>
      <c r="G2" s="73"/>
      <c r="H2" s="64" t="s">
        <v>2533</v>
      </c>
      <c r="I2" s="64" t="s">
        <v>2534</v>
      </c>
      <c r="J2" s="64" t="s">
        <v>2535</v>
      </c>
      <c r="K2" s="64" t="s">
        <v>2536</v>
      </c>
      <c r="L2" s="64" t="s">
        <v>2537</v>
      </c>
      <c r="M2" s="64" t="s">
        <v>2538</v>
      </c>
      <c r="N2" s="64" t="s">
        <v>2539</v>
      </c>
      <c r="O2" s="64" t="s">
        <v>2540</v>
      </c>
      <c r="P2" s="64" t="s">
        <v>2541</v>
      </c>
      <c r="Q2" s="64" t="s">
        <v>2542</v>
      </c>
      <c r="R2" s="73"/>
      <c r="S2" s="64" t="s">
        <v>2544</v>
      </c>
      <c r="T2" s="64" t="s">
        <v>2545</v>
      </c>
      <c r="U2" s="65" t="s">
        <v>2546</v>
      </c>
    </row>
    <row r="3" spans="1:44" ht="16.5" x14ac:dyDescent="0.25">
      <c r="A3" s="34" t="str">
        <f>A6</f>
        <v>Пс6.1.1</v>
      </c>
      <c r="B3" s="35" t="s">
        <v>2548</v>
      </c>
      <c r="C3" s="35" t="s">
        <v>2549</v>
      </c>
      <c r="D3" s="35" t="s">
        <v>2605</v>
      </c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6"/>
    </row>
    <row r="4" spans="1:44" ht="16.5" x14ac:dyDescent="0.25">
      <c r="A4" s="34" t="str">
        <f>A6</f>
        <v>Пс6.1.1</v>
      </c>
      <c r="B4" s="35" t="s">
        <v>2548</v>
      </c>
      <c r="C4" s="35" t="s">
        <v>2550</v>
      </c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6"/>
    </row>
    <row r="5" spans="1:44" ht="16.5" x14ac:dyDescent="0.25">
      <c r="A5" s="34" t="s">
        <v>2548</v>
      </c>
      <c r="B5" s="35" t="s">
        <v>2548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6"/>
    </row>
    <row r="6" spans="1:44" ht="33" x14ac:dyDescent="0.25">
      <c r="A6" s="37" t="s">
        <v>2551</v>
      </c>
      <c r="B6" s="38" t="s">
        <v>2551</v>
      </c>
      <c r="C6" s="38"/>
      <c r="D6" s="38" t="s">
        <v>2552</v>
      </c>
      <c r="E6" s="38">
        <v>1</v>
      </c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9"/>
    </row>
    <row r="7" spans="1:44" ht="16.5" x14ac:dyDescent="0.25">
      <c r="A7" s="63" t="s">
        <v>2551</v>
      </c>
      <c r="B7" s="64">
        <v>1</v>
      </c>
      <c r="C7" s="64" t="s">
        <v>2438</v>
      </c>
      <c r="D7" s="64" t="s">
        <v>2591</v>
      </c>
      <c r="E7" s="64">
        <v>1</v>
      </c>
      <c r="F7" s="35">
        <v>0.88800000000000001</v>
      </c>
      <c r="G7" s="64" t="s">
        <v>2361</v>
      </c>
      <c r="H7" s="64">
        <v>815860</v>
      </c>
      <c r="I7" s="64">
        <v>12</v>
      </c>
      <c r="J7" s="64" t="s">
        <v>2</v>
      </c>
      <c r="K7" s="64"/>
      <c r="L7" s="64"/>
      <c r="M7" s="64"/>
      <c r="N7" s="64"/>
      <c r="O7" s="64"/>
      <c r="P7" s="64"/>
      <c r="Q7" s="64"/>
      <c r="R7" s="64"/>
      <c r="S7" s="64">
        <v>570</v>
      </c>
      <c r="T7" s="64">
        <v>680</v>
      </c>
      <c r="U7" s="65">
        <v>30</v>
      </c>
      <c r="AP7">
        <v>650</v>
      </c>
      <c r="AQ7">
        <v>780</v>
      </c>
      <c r="AR7">
        <v>30</v>
      </c>
    </row>
    <row r="8" spans="1:44" ht="16.5" x14ac:dyDescent="0.25">
      <c r="A8" s="63" t="s">
        <v>2551</v>
      </c>
      <c r="B8" s="64">
        <v>2</v>
      </c>
      <c r="C8" s="64" t="s">
        <v>2438</v>
      </c>
      <c r="D8" s="64" t="s">
        <v>2592</v>
      </c>
      <c r="E8" s="64">
        <v>126</v>
      </c>
      <c r="F8" s="35">
        <v>1.998</v>
      </c>
      <c r="G8" s="64" t="s">
        <v>0</v>
      </c>
      <c r="H8" s="64">
        <v>2610</v>
      </c>
      <c r="I8" s="64">
        <v>18</v>
      </c>
      <c r="J8" s="64" t="s">
        <v>2</v>
      </c>
      <c r="K8" s="64"/>
      <c r="L8" s="64"/>
      <c r="M8" s="64"/>
      <c r="N8" s="64"/>
      <c r="O8" s="64"/>
      <c r="P8" s="64"/>
      <c r="Q8" s="64"/>
      <c r="R8" s="64"/>
      <c r="S8" s="64">
        <v>850</v>
      </c>
      <c r="T8" s="64">
        <v>1020</v>
      </c>
      <c r="U8" s="65">
        <v>45</v>
      </c>
      <c r="AP8">
        <v>970</v>
      </c>
      <c r="AQ8">
        <v>1165</v>
      </c>
      <c r="AR8">
        <v>45</v>
      </c>
    </row>
    <row r="9" spans="1:44" ht="16.5" x14ac:dyDescent="0.25">
      <c r="A9" s="63" t="s">
        <v>2551</v>
      </c>
      <c r="B9" s="64">
        <v>3</v>
      </c>
      <c r="C9" s="64" t="s">
        <v>2438</v>
      </c>
      <c r="D9" s="64" t="s">
        <v>2593</v>
      </c>
      <c r="E9" s="64">
        <v>56</v>
      </c>
      <c r="F9" s="35">
        <v>0.88800000000000001</v>
      </c>
      <c r="G9" s="64" t="s">
        <v>0</v>
      </c>
      <c r="H9" s="64">
        <v>1850</v>
      </c>
      <c r="I9" s="64">
        <v>12</v>
      </c>
      <c r="J9" s="64" t="s">
        <v>2</v>
      </c>
      <c r="K9" s="64"/>
      <c r="L9" s="64"/>
      <c r="M9" s="64"/>
      <c r="N9" s="64"/>
      <c r="O9" s="64"/>
      <c r="P9" s="64"/>
      <c r="Q9" s="64"/>
      <c r="R9" s="64"/>
      <c r="S9" s="64">
        <v>570</v>
      </c>
      <c r="T9" s="64">
        <v>680</v>
      </c>
      <c r="U9" s="65">
        <v>30</v>
      </c>
      <c r="AP9">
        <v>650</v>
      </c>
      <c r="AQ9">
        <v>780</v>
      </c>
      <c r="AR9">
        <v>30</v>
      </c>
    </row>
    <row r="10" spans="1:44" ht="16.5" x14ac:dyDescent="0.25">
      <c r="A10" s="63" t="s">
        <v>2551</v>
      </c>
      <c r="B10" s="64">
        <v>4</v>
      </c>
      <c r="C10" s="64" t="s">
        <v>2438</v>
      </c>
      <c r="D10" s="64" t="s">
        <v>2594</v>
      </c>
      <c r="E10" s="64">
        <v>252</v>
      </c>
      <c r="F10" s="35">
        <v>1.998</v>
      </c>
      <c r="G10" s="64"/>
      <c r="H10" s="64">
        <v>5575</v>
      </c>
      <c r="I10" s="64">
        <v>18</v>
      </c>
      <c r="J10" s="64" t="s">
        <v>2</v>
      </c>
      <c r="K10" s="64"/>
      <c r="L10" s="64"/>
      <c r="M10" s="64"/>
      <c r="N10" s="64"/>
      <c r="O10" s="64"/>
      <c r="P10" s="64"/>
      <c r="Q10" s="64"/>
      <c r="R10" s="64"/>
      <c r="S10" s="64">
        <v>850</v>
      </c>
      <c r="T10" s="64">
        <v>1020</v>
      </c>
      <c r="U10" s="65">
        <v>45</v>
      </c>
      <c r="AP10">
        <v>970</v>
      </c>
      <c r="AQ10">
        <v>1165</v>
      </c>
      <c r="AR10">
        <v>45</v>
      </c>
    </row>
    <row r="11" spans="1:44" ht="16.5" x14ac:dyDescent="0.25">
      <c r="A11" s="63" t="s">
        <v>2551</v>
      </c>
      <c r="B11" s="64">
        <v>5</v>
      </c>
      <c r="C11" s="64" t="s">
        <v>2442</v>
      </c>
      <c r="D11" s="64" t="s">
        <v>2595</v>
      </c>
      <c r="E11" s="64">
        <v>493</v>
      </c>
      <c r="F11" s="35">
        <v>0.222</v>
      </c>
      <c r="G11" s="64" t="s">
        <v>0</v>
      </c>
      <c r="H11" s="64">
        <v>470</v>
      </c>
      <c r="I11" s="64">
        <v>6</v>
      </c>
      <c r="J11" s="64" t="s">
        <v>1</v>
      </c>
      <c r="K11" s="64"/>
      <c r="L11" s="64"/>
      <c r="M11" s="64"/>
      <c r="N11" s="64"/>
      <c r="O11" s="64"/>
      <c r="P11" s="64"/>
      <c r="Q11" s="64"/>
      <c r="R11" s="64"/>
      <c r="S11" s="64">
        <v>200</v>
      </c>
      <c r="T11" s="64">
        <v>250</v>
      </c>
      <c r="U11" s="65">
        <v>7.5</v>
      </c>
      <c r="AP11">
        <v>200</v>
      </c>
      <c r="AQ11">
        <v>250</v>
      </c>
      <c r="AR11">
        <v>7.5</v>
      </c>
    </row>
    <row r="12" spans="1:44" ht="16.5" x14ac:dyDescent="0.25">
      <c r="A12" s="63" t="s">
        <v>2551</v>
      </c>
      <c r="B12" s="64">
        <v>6</v>
      </c>
      <c r="C12" s="64" t="s">
        <v>2438</v>
      </c>
      <c r="D12" s="64" t="s">
        <v>2596</v>
      </c>
      <c r="E12" s="64">
        <v>252</v>
      </c>
      <c r="F12" s="35">
        <v>1.998</v>
      </c>
      <c r="G12" s="64"/>
      <c r="H12" s="64">
        <v>5550</v>
      </c>
      <c r="I12" s="64">
        <v>18</v>
      </c>
      <c r="J12" s="64" t="s">
        <v>2</v>
      </c>
      <c r="K12" s="64"/>
      <c r="L12" s="64"/>
      <c r="M12" s="64"/>
      <c r="N12" s="64"/>
      <c r="O12" s="64"/>
      <c r="P12" s="64"/>
      <c r="Q12" s="64"/>
      <c r="R12" s="64"/>
      <c r="S12" s="64">
        <v>850</v>
      </c>
      <c r="T12" s="64">
        <v>1020</v>
      </c>
      <c r="U12" s="65">
        <v>45</v>
      </c>
      <c r="AP12">
        <v>970</v>
      </c>
      <c r="AQ12">
        <v>1165</v>
      </c>
      <c r="AR12">
        <v>45</v>
      </c>
    </row>
    <row r="13" spans="1:44" ht="16.5" x14ac:dyDescent="0.25">
      <c r="A13" s="63" t="s">
        <v>2551</v>
      </c>
      <c r="B13" s="64">
        <v>7</v>
      </c>
      <c r="C13" s="64" t="s">
        <v>2438</v>
      </c>
      <c r="D13" s="64" t="s">
        <v>2597</v>
      </c>
      <c r="E13" s="64">
        <v>1</v>
      </c>
      <c r="F13" s="35">
        <v>1.5780000000000001</v>
      </c>
      <c r="G13" s="64" t="s">
        <v>2361</v>
      </c>
      <c r="H13" s="64">
        <v>423490</v>
      </c>
      <c r="I13" s="64">
        <v>16</v>
      </c>
      <c r="J13" s="64" t="s">
        <v>2</v>
      </c>
      <c r="K13" s="64"/>
      <c r="L13" s="64"/>
      <c r="M13" s="64"/>
      <c r="N13" s="64"/>
      <c r="O13" s="64"/>
      <c r="P13" s="64"/>
      <c r="Q13" s="64"/>
      <c r="R13" s="64"/>
      <c r="S13" s="64">
        <v>755</v>
      </c>
      <c r="T13" s="64">
        <v>905</v>
      </c>
      <c r="U13" s="65">
        <v>40</v>
      </c>
      <c r="AP13">
        <v>865</v>
      </c>
      <c r="AQ13">
        <v>1035</v>
      </c>
      <c r="AR13">
        <v>40</v>
      </c>
    </row>
    <row r="14" spans="1:44" ht="16.5" x14ac:dyDescent="0.25">
      <c r="A14" s="63" t="s">
        <v>2551</v>
      </c>
      <c r="B14" s="64">
        <v>8</v>
      </c>
      <c r="C14" s="64" t="s">
        <v>2438</v>
      </c>
      <c r="D14" s="64" t="s">
        <v>2598</v>
      </c>
      <c r="E14" s="64">
        <v>252</v>
      </c>
      <c r="F14" s="35">
        <v>1.998</v>
      </c>
      <c r="G14" s="64" t="s">
        <v>0</v>
      </c>
      <c r="H14" s="64">
        <v>2660</v>
      </c>
      <c r="I14" s="64">
        <v>18</v>
      </c>
      <c r="J14" s="64" t="s">
        <v>2</v>
      </c>
      <c r="K14" s="64"/>
      <c r="L14" s="64"/>
      <c r="M14" s="64"/>
      <c r="N14" s="64"/>
      <c r="O14" s="64"/>
      <c r="P14" s="64"/>
      <c r="Q14" s="64"/>
      <c r="R14" s="64"/>
      <c r="S14" s="64">
        <v>850</v>
      </c>
      <c r="T14" s="64">
        <v>1020</v>
      </c>
      <c r="U14" s="65">
        <v>45</v>
      </c>
      <c r="AP14">
        <v>970</v>
      </c>
      <c r="AQ14">
        <v>1165</v>
      </c>
      <c r="AR14">
        <v>45</v>
      </c>
    </row>
    <row r="15" spans="1:44" ht="16.5" x14ac:dyDescent="0.25">
      <c r="A15" s="63" t="s">
        <v>2551</v>
      </c>
      <c r="B15" s="64">
        <v>9</v>
      </c>
      <c r="C15" s="64" t="s">
        <v>2438</v>
      </c>
      <c r="D15" s="64" t="s">
        <v>2599</v>
      </c>
      <c r="E15" s="64">
        <v>56</v>
      </c>
      <c r="F15" s="35">
        <v>1.5780000000000001</v>
      </c>
      <c r="G15" s="64" t="s">
        <v>0</v>
      </c>
      <c r="H15" s="64">
        <v>2400</v>
      </c>
      <c r="I15" s="64">
        <v>16</v>
      </c>
      <c r="J15" s="64" t="s">
        <v>2</v>
      </c>
      <c r="K15" s="64"/>
      <c r="L15" s="64"/>
      <c r="M15" s="64"/>
      <c r="N15" s="64"/>
      <c r="O15" s="64"/>
      <c r="P15" s="64"/>
      <c r="Q15" s="64"/>
      <c r="R15" s="64"/>
      <c r="S15" s="64">
        <v>755</v>
      </c>
      <c r="T15" s="64">
        <v>905</v>
      </c>
      <c r="U15" s="65">
        <v>40</v>
      </c>
      <c r="AP15">
        <v>865</v>
      </c>
      <c r="AQ15">
        <v>1035</v>
      </c>
      <c r="AR15">
        <v>40</v>
      </c>
    </row>
    <row r="16" spans="1:44" ht="33" x14ac:dyDescent="0.25">
      <c r="A16" s="63" t="s">
        <v>2551</v>
      </c>
      <c r="B16" s="64">
        <v>10</v>
      </c>
      <c r="C16" s="64" t="s">
        <v>2438</v>
      </c>
      <c r="D16" s="64" t="s">
        <v>2600</v>
      </c>
      <c r="E16" s="64">
        <v>126</v>
      </c>
      <c r="F16" s="35">
        <v>1.998</v>
      </c>
      <c r="G16" s="64" t="s">
        <v>0</v>
      </c>
      <c r="H16" s="64">
        <v>3300</v>
      </c>
      <c r="I16" s="64">
        <v>18</v>
      </c>
      <c r="J16" s="64" t="s">
        <v>2</v>
      </c>
      <c r="K16" s="64"/>
      <c r="L16" s="64"/>
      <c r="M16" s="64"/>
      <c r="N16" s="64"/>
      <c r="O16" s="64"/>
      <c r="P16" s="64"/>
      <c r="Q16" s="64"/>
      <c r="R16" s="64"/>
      <c r="S16" s="64">
        <v>850</v>
      </c>
      <c r="T16" s="64">
        <v>1020</v>
      </c>
      <c r="U16" s="65">
        <v>45</v>
      </c>
      <c r="AP16">
        <v>970</v>
      </c>
      <c r="AQ16">
        <v>1165</v>
      </c>
      <c r="AR16">
        <v>45</v>
      </c>
    </row>
    <row r="17" spans="1:44" ht="33" x14ac:dyDescent="0.25">
      <c r="A17" s="63" t="s">
        <v>2551</v>
      </c>
      <c r="B17" s="64">
        <v>11</v>
      </c>
      <c r="C17" s="64" t="s">
        <v>2438</v>
      </c>
      <c r="D17" s="64" t="s">
        <v>2601</v>
      </c>
      <c r="E17" s="64">
        <v>126</v>
      </c>
      <c r="F17" s="35">
        <v>1.998</v>
      </c>
      <c r="G17" s="64" t="s">
        <v>0</v>
      </c>
      <c r="H17" s="64">
        <v>2140</v>
      </c>
      <c r="I17" s="64">
        <v>18</v>
      </c>
      <c r="J17" s="64" t="s">
        <v>2</v>
      </c>
      <c r="K17" s="64"/>
      <c r="L17" s="64"/>
      <c r="M17" s="64"/>
      <c r="N17" s="64"/>
      <c r="O17" s="64"/>
      <c r="P17" s="64"/>
      <c r="Q17" s="64"/>
      <c r="R17" s="64"/>
      <c r="S17" s="64">
        <v>850</v>
      </c>
      <c r="T17" s="64">
        <v>1020</v>
      </c>
      <c r="U17" s="65">
        <v>45</v>
      </c>
      <c r="AP17">
        <v>970</v>
      </c>
      <c r="AQ17">
        <v>1165</v>
      </c>
      <c r="AR17">
        <v>45</v>
      </c>
    </row>
    <row r="18" spans="1:44" ht="16.5" x14ac:dyDescent="0.25">
      <c r="A18" s="63" t="s">
        <v>2551</v>
      </c>
      <c r="B18" s="64">
        <v>12</v>
      </c>
      <c r="C18" s="64" t="s">
        <v>2438</v>
      </c>
      <c r="D18" s="64" t="s">
        <v>2602</v>
      </c>
      <c r="E18" s="64">
        <v>56</v>
      </c>
      <c r="F18" s="35">
        <v>0.88800000000000001</v>
      </c>
      <c r="G18" s="64" t="s">
        <v>0</v>
      </c>
      <c r="H18" s="64">
        <v>1560</v>
      </c>
      <c r="I18" s="64">
        <v>12</v>
      </c>
      <c r="J18" s="64" t="s">
        <v>2</v>
      </c>
      <c r="K18" s="64"/>
      <c r="L18" s="64"/>
      <c r="M18" s="64"/>
      <c r="N18" s="64"/>
      <c r="O18" s="64"/>
      <c r="P18" s="64"/>
      <c r="Q18" s="64"/>
      <c r="R18" s="64"/>
      <c r="S18" s="64">
        <v>570</v>
      </c>
      <c r="T18" s="64">
        <v>680</v>
      </c>
      <c r="U18" s="65">
        <v>30</v>
      </c>
      <c r="AP18">
        <v>650</v>
      </c>
      <c r="AQ18">
        <v>780</v>
      </c>
      <c r="AR18">
        <v>30</v>
      </c>
    </row>
    <row r="19" spans="1:44" ht="33" x14ac:dyDescent="0.25">
      <c r="A19" s="63" t="s">
        <v>2551</v>
      </c>
      <c r="B19" s="64" t="s">
        <v>2556</v>
      </c>
      <c r="C19" s="64"/>
      <c r="D19" s="64" t="s">
        <v>2557</v>
      </c>
      <c r="E19" s="64">
        <v>79</v>
      </c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5"/>
    </row>
    <row r="20" spans="1:44" ht="16.5" x14ac:dyDescent="0.25">
      <c r="A20" s="63" t="s">
        <v>2551</v>
      </c>
      <c r="B20" s="64"/>
      <c r="C20" s="40" t="s">
        <v>2554</v>
      </c>
      <c r="D20" s="40" t="s">
        <v>2555</v>
      </c>
      <c r="E20" s="40">
        <v>59.9</v>
      </c>
      <c r="F20" s="40" t="s">
        <v>4</v>
      </c>
      <c r="G20" s="40" t="s">
        <v>3</v>
      </c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5"/>
    </row>
    <row r="21" spans="1:44" ht="16.5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</row>
    <row r="22" spans="1:44" ht="16.5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</row>
    <row r="23" spans="1:44" ht="16.5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</row>
    <row r="24" spans="1:44" ht="33" x14ac:dyDescent="0.25">
      <c r="A24" s="42" t="s">
        <v>2556</v>
      </c>
      <c r="B24" s="43" t="str">
        <f>A24</f>
        <v>Кр1</v>
      </c>
      <c r="C24" s="43" t="s">
        <v>2504</v>
      </c>
      <c r="D24" s="43" t="s">
        <v>2557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4"/>
    </row>
    <row r="25" spans="1:44" ht="33" x14ac:dyDescent="0.25">
      <c r="A25" s="63" t="str">
        <f>A24</f>
        <v>Кр1</v>
      </c>
      <c r="B25" s="64">
        <v>1</v>
      </c>
      <c r="C25" s="64" t="s">
        <v>2442</v>
      </c>
      <c r="D25" s="64" t="s">
        <v>2558</v>
      </c>
      <c r="E25" s="64">
        <v>9</v>
      </c>
      <c r="F25" s="35">
        <v>0.39500000000000002</v>
      </c>
      <c r="G25" s="64"/>
      <c r="H25" s="64">
        <v>395</v>
      </c>
      <c r="I25" s="64">
        <v>8</v>
      </c>
      <c r="J25" s="64" t="s">
        <v>1</v>
      </c>
      <c r="K25" s="64"/>
      <c r="L25" s="64"/>
      <c r="M25" s="64"/>
      <c r="N25" s="64"/>
      <c r="O25" s="64"/>
      <c r="P25" s="64"/>
      <c r="Q25" s="64"/>
      <c r="R25" s="64"/>
      <c r="S25" s="64" t="s">
        <v>2553</v>
      </c>
      <c r="T25" s="64" t="s">
        <v>2553</v>
      </c>
      <c r="U25" s="65">
        <v>10</v>
      </c>
    </row>
    <row r="26" spans="1:44" ht="33.75" thickBot="1" x14ac:dyDescent="0.3">
      <c r="A26" s="66" t="str">
        <f>A25</f>
        <v>Кр1</v>
      </c>
      <c r="B26" s="67">
        <v>2</v>
      </c>
      <c r="C26" s="67" t="s">
        <v>2442</v>
      </c>
      <c r="D26" s="67" t="s">
        <v>2559</v>
      </c>
      <c r="E26" s="67">
        <v>2</v>
      </c>
      <c r="F26" s="45">
        <v>0.39500000000000002</v>
      </c>
      <c r="G26" s="67"/>
      <c r="H26" s="67">
        <v>1280</v>
      </c>
      <c r="I26" s="67">
        <v>8</v>
      </c>
      <c r="J26" s="67" t="s">
        <v>1</v>
      </c>
      <c r="K26" s="67"/>
      <c r="L26" s="67"/>
      <c r="M26" s="67"/>
      <c r="N26" s="67"/>
      <c r="O26" s="67"/>
      <c r="P26" s="67"/>
      <c r="Q26" s="67"/>
      <c r="R26" s="67"/>
      <c r="S26" s="67" t="s">
        <v>2553</v>
      </c>
      <c r="T26" s="67" t="s">
        <v>2553</v>
      </c>
      <c r="U26" s="68">
        <v>10</v>
      </c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26 H2:Q2 K1 R1:S1 S2:U2">
    <cfRule type="containsText" dxfId="33" priority="9" stopIfTrue="1" operator="containsText" text="шт.)">
      <formula>NOT(ISERROR(SEARCH("шт.)",A1)))</formula>
    </cfRule>
    <cfRule type="containsText" dxfId="32" priority="8" stopIfTrue="1" operator="containsText" text=", на ">
      <formula>NOT(ISERROR(SEARCH(", на ",A1)))</formula>
    </cfRule>
    <cfRule type="containsText" dxfId="31" priority="7" stopIfTrue="1" operator="containsText" text=" Материалы ">
      <formula>NOT(ISERROR(SEARCH(" Материалы ",A1)))</formula>
    </cfRule>
    <cfRule type="containsText" dxfId="30" priority="6" stopIfTrue="1" operator="containsText" text=" Сборочные единицы ">
      <formula>NOT(ISERROR(SEARCH(" Сборочные единицы ",A1)))</formula>
    </cfRule>
    <cfRule type="containsText" dxfId="29" priority="5" stopIfTrue="1" operator="containsText" text=" Прокат ">
      <formula>NOT(ISERROR(SEARCH(" Прокат ",A1)))</formula>
    </cfRule>
    <cfRule type="containsText" dxfId="28" priority="4" stopIfTrue="1" operator="containsText" text=" Изделия ">
      <formula>NOT(ISERROR(SEARCH(" Изделия ",A1)))</formula>
    </cfRule>
    <cfRule type="containsText" dxfId="27" priority="3" stopIfTrue="1" operator="containsText" text="!!!">
      <formula>NOT(ISERROR(SEARCH("!!!",A1)))</formula>
    </cfRule>
    <cfRule type="containsText" dxfId="26" priority="2" stopIfTrue="1" operator="containsText" text="ИЗ ФАЙЛА">
      <formula>NOT(ISERROR(SEARCH("ИЗ ФАЙЛА",A1)))</formula>
    </cfRule>
    <cfRule type="containsText" dxfId="25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warning" allowBlank="1" showInputMessage="1" showErrorMessage="1">
          <x14:formula1>
            <xm:f>'!System'!$AN$1:$AN$6</xm:f>
          </x14:formula1>
          <xm:sqref>G3:G26</xm:sqref>
        </x14:dataValidation>
        <x14:dataValidation type="list" allowBlank="1" showInputMessage="1" showErrorMessage="1">
          <x14:formula1>
            <xm:f>'!System'!$T$1:$AB$1</xm:f>
          </x14:formula1>
          <xm:sqref>J3:J26</xm:sqref>
        </x14:dataValidation>
        <x14:dataValidation type="list" allowBlank="1" showInputMessage="1" showErrorMessage="1">
          <x14:formula1>
            <xm:f>'!System'!$A$1:$R$1</xm:f>
          </x14:formula1>
          <xm:sqref>L3:L26</xm:sqref>
        </x14:dataValidation>
        <x14:dataValidation type="list" allowBlank="1" showInputMessage="1" showErrorMessage="1">
          <x14:formula1>
            <xm:f>'!System'!$AC$1:$AM$1</xm:f>
          </x14:formula1>
          <xm:sqref>O3:O26</xm:sqref>
        </x14:dataValidation>
        <x14:dataValidation type="list" allowBlank="1" showInputMessage="1" showErrorMessage="1">
          <x14:formula1>
            <xm:f>'!System'!$AO$1:$AO$5</xm:f>
          </x14:formula1>
          <xm:sqref>P3:P26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7" tint="0.39997558519241921"/>
  </sheetPr>
  <dimension ref="A1:E19"/>
  <sheetViews>
    <sheetView workbookViewId="0">
      <selection activeCell="C36" sqref="C36"/>
    </sheetView>
  </sheetViews>
  <sheetFormatPr defaultRowHeight="15" x14ac:dyDescent="0.25"/>
  <cols>
    <col min="1" max="1" width="60.7109375" style="3" customWidth="1"/>
    <col min="2" max="2" width="40.7109375" style="3" customWidth="1"/>
    <col min="3" max="3" width="60.7109375" style="3" customWidth="1"/>
    <col min="4" max="16384" width="9.140625" style="3"/>
  </cols>
  <sheetData>
    <row r="1" spans="1:5" ht="45" customHeight="1" x14ac:dyDescent="0.25">
      <c r="A1" s="13" t="s">
        <v>2375</v>
      </c>
      <c r="B1" s="12" t="s">
        <v>2376</v>
      </c>
      <c r="C1" s="11" t="s">
        <v>2377</v>
      </c>
      <c r="D1" s="4"/>
      <c r="E1" s="4"/>
    </row>
    <row r="2" spans="1:5" x14ac:dyDescent="0.25">
      <c r="A2" s="10" t="s">
        <v>2378</v>
      </c>
      <c r="B2" s="9" t="s">
        <v>2379</v>
      </c>
      <c r="C2" s="8" t="str">
        <f>A2</f>
        <v>ЖБ</v>
      </c>
      <c r="D2" s="4"/>
      <c r="E2" s="4"/>
    </row>
    <row r="3" spans="1:5" x14ac:dyDescent="0.25">
      <c r="A3" s="10" t="s">
        <v>2380</v>
      </c>
      <c r="B3" s="9" t="s">
        <v>2371</v>
      </c>
      <c r="C3" s="8" t="str">
        <f t="shared" ref="C3:C14" si="0">A3</f>
        <v>П1</v>
      </c>
      <c r="D3" s="4"/>
      <c r="E3" s="4"/>
    </row>
    <row r="4" spans="1:5" x14ac:dyDescent="0.25">
      <c r="A4" s="10" t="s">
        <v>2381</v>
      </c>
      <c r="B4" s="9" t="s">
        <v>2382</v>
      </c>
      <c r="C4" s="8" t="str">
        <f t="shared" si="0"/>
        <v>Кирпич 510</v>
      </c>
      <c r="D4" s="4"/>
      <c r="E4" s="4"/>
    </row>
    <row r="5" spans="1:5" x14ac:dyDescent="0.25">
      <c r="A5" s="10" t="s">
        <v>2383</v>
      </c>
      <c r="B5" s="9" t="s">
        <v>2384</v>
      </c>
      <c r="C5" s="8" t="str">
        <f t="shared" si="0"/>
        <v>Кирпич 380 штукатурка с 2х сторон</v>
      </c>
      <c r="D5" s="4"/>
      <c r="E5" s="4"/>
    </row>
    <row r="6" spans="1:5" x14ac:dyDescent="0.25">
      <c r="A6" s="10" t="s">
        <v>2385</v>
      </c>
      <c r="B6" s="9" t="s">
        <v>2386</v>
      </c>
      <c r="C6" s="8" t="str">
        <f t="shared" si="0"/>
        <v>Кирпич 120 штукатурка с 2х сторон</v>
      </c>
      <c r="D6" s="4"/>
      <c r="E6" s="4"/>
    </row>
    <row r="7" spans="1:5" x14ac:dyDescent="0.25">
      <c r="A7" s="10" t="s">
        <v>2387</v>
      </c>
      <c r="B7" s="9" t="s">
        <v>2386</v>
      </c>
      <c r="C7" s="8" t="str">
        <f t="shared" si="0"/>
        <v>Кирпич 120 существующий</v>
      </c>
      <c r="D7" s="4"/>
      <c r="E7" s="4"/>
    </row>
    <row r="8" spans="1:5" x14ac:dyDescent="0.25">
      <c r="A8" s="10" t="s">
        <v>2383</v>
      </c>
      <c r="B8" s="9" t="s">
        <v>2382</v>
      </c>
      <c r="C8" s="8" t="str">
        <f t="shared" si="0"/>
        <v>Кирпич 380 штукатурка с 2х сторон</v>
      </c>
      <c r="D8" s="4"/>
      <c r="E8" s="4"/>
    </row>
    <row r="9" spans="1:5" x14ac:dyDescent="0.25">
      <c r="A9" s="10" t="s">
        <v>2388</v>
      </c>
      <c r="B9" s="9" t="s">
        <v>2389</v>
      </c>
      <c r="C9" s="8" t="str">
        <f t="shared" si="0"/>
        <v>ГКЛ - обшивка по каркасу С623 55 мм</v>
      </c>
      <c r="D9" s="4"/>
      <c r="E9" s="4"/>
    </row>
    <row r="10" spans="1:5" x14ac:dyDescent="0.25">
      <c r="A10" s="10" t="s">
        <v>2390</v>
      </c>
      <c r="B10" s="9" t="s">
        <v>2391</v>
      </c>
      <c r="C10" s="8" t="str">
        <f t="shared" si="0"/>
        <v>Колонна АБК</v>
      </c>
      <c r="D10" s="4"/>
      <c r="E10" s="4"/>
    </row>
    <row r="11" spans="1:5" x14ac:dyDescent="0.25">
      <c r="A11" s="10" t="s">
        <v>2392</v>
      </c>
      <c r="B11" s="9" t="s">
        <v>2386</v>
      </c>
      <c r="C11" s="8" t="str">
        <f t="shared" si="0"/>
        <v>Кирпич 250 штукатурка с 2х сторон</v>
      </c>
      <c r="D11" s="4"/>
      <c r="E11" s="4"/>
    </row>
    <row r="12" spans="1:5" x14ac:dyDescent="0.25">
      <c r="A12" s="10" t="s">
        <v>2393</v>
      </c>
      <c r="B12" s="9" t="s">
        <v>2389</v>
      </c>
      <c r="C12" s="8" t="str">
        <f t="shared" si="0"/>
        <v>ГКЛВ - перегородка C112 125 мм</v>
      </c>
      <c r="D12" s="4"/>
      <c r="E12" s="4"/>
    </row>
    <row r="13" spans="1:5" x14ac:dyDescent="0.25">
      <c r="A13" s="10" t="s">
        <v>2394</v>
      </c>
      <c r="B13" s="9" t="s">
        <v>2391</v>
      </c>
      <c r="C13" s="8" t="str">
        <f t="shared" si="0"/>
        <v>Колонна Промка 2</v>
      </c>
      <c r="D13" s="4"/>
      <c r="E13" s="4"/>
    </row>
    <row r="14" spans="1:5" ht="15.75" thickBot="1" x14ac:dyDescent="0.3">
      <c r="A14" s="7" t="s">
        <v>2392</v>
      </c>
      <c r="B14" s="6" t="s">
        <v>2382</v>
      </c>
      <c r="C14" s="5" t="str">
        <f t="shared" si="0"/>
        <v>Кирпич 250 штукатурка с 2х сторон</v>
      </c>
      <c r="D14" s="4"/>
      <c r="E14" s="4"/>
    </row>
    <row r="15" spans="1:5" x14ac:dyDescent="0.25">
      <c r="A15" s="4"/>
      <c r="B15" s="4"/>
      <c r="C15" s="4"/>
      <c r="D15" s="4"/>
      <c r="E15" s="4"/>
    </row>
    <row r="16" spans="1:5" x14ac:dyDescent="0.25">
      <c r="A16" s="4"/>
      <c r="B16" s="4"/>
      <c r="C16" s="4"/>
      <c r="D16" s="4"/>
      <c r="E16" s="4"/>
    </row>
    <row r="17" spans="1:5" x14ac:dyDescent="0.25">
      <c r="A17" s="4"/>
      <c r="B17" s="4"/>
      <c r="C17" s="4"/>
      <c r="D17" s="4"/>
      <c r="E17" s="4"/>
    </row>
    <row r="18" spans="1:5" x14ac:dyDescent="0.25">
      <c r="A18" s="4"/>
      <c r="B18" s="4"/>
      <c r="C18" s="4"/>
      <c r="D18" s="4"/>
      <c r="E18" s="4"/>
    </row>
    <row r="19" spans="1:5" x14ac:dyDescent="0.25">
      <c r="A19" s="4"/>
      <c r="B19" s="4"/>
      <c r="C19" s="4"/>
      <c r="D19" s="4"/>
      <c r="E19" s="4"/>
    </row>
  </sheetData>
  <pageMargins left="0.7" right="0.7" top="0.75" bottom="0.75" header="0.3" footer="0.3"/>
  <pageSetup paperSize="9" orientation="portrait" horizontalDpi="300" verticalDpi="30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</sheetPr>
  <dimension ref="A1:L279"/>
  <sheetViews>
    <sheetView workbookViewId="0">
      <selection activeCell="K17" sqref="K17:K21"/>
    </sheetView>
  </sheetViews>
  <sheetFormatPr defaultRowHeight="15" x14ac:dyDescent="0.25"/>
  <cols>
    <col min="1" max="1" width="5.42578125" style="14" customWidth="1"/>
    <col min="2" max="2" width="16.28515625" style="14" customWidth="1"/>
    <col min="3" max="3" width="21.7109375" style="14" customWidth="1"/>
    <col min="4" max="4" width="8.140625" style="14" customWidth="1"/>
    <col min="5" max="5" width="21.7109375" style="14" customWidth="1"/>
    <col min="6" max="6" width="8.140625" style="14" customWidth="1"/>
    <col min="7" max="7" width="21.7109375" style="14" customWidth="1"/>
    <col min="8" max="8" width="8.140625" style="14" customWidth="1"/>
    <col min="9" max="9" width="21.7109375" style="14" customWidth="1"/>
    <col min="10" max="11" width="8.140625" style="14" customWidth="1"/>
    <col min="12" max="12" width="16.28515625" style="14" customWidth="1"/>
    <col min="13" max="16384" width="9.140625" style="14"/>
  </cols>
  <sheetData>
    <row r="1" spans="1:12" ht="16.5" x14ac:dyDescent="0.25">
      <c r="A1" s="80" t="s">
        <v>2370</v>
      </c>
      <c r="B1" s="82" t="s">
        <v>2414</v>
      </c>
      <c r="C1" s="82" t="s">
        <v>2395</v>
      </c>
      <c r="D1" s="82"/>
      <c r="E1" s="82"/>
      <c r="F1" s="82"/>
      <c r="G1" s="82"/>
      <c r="H1" s="82"/>
      <c r="I1" s="82"/>
      <c r="J1" s="82"/>
      <c r="K1" s="82"/>
      <c r="L1" s="84" t="s">
        <v>2369</v>
      </c>
    </row>
    <row r="2" spans="1:12" ht="40.5" x14ac:dyDescent="0.25">
      <c r="A2" s="81"/>
      <c r="B2" s="83"/>
      <c r="C2" s="62" t="s">
        <v>2396</v>
      </c>
      <c r="D2" s="15" t="s">
        <v>2397</v>
      </c>
      <c r="E2" s="62" t="s">
        <v>2398</v>
      </c>
      <c r="F2" s="15" t="s">
        <v>2397</v>
      </c>
      <c r="G2" s="62" t="s">
        <v>2399</v>
      </c>
      <c r="H2" s="15" t="s">
        <v>2397</v>
      </c>
      <c r="I2" s="62" t="s">
        <v>2400</v>
      </c>
      <c r="J2" s="15" t="s">
        <v>2397</v>
      </c>
      <c r="K2" s="15" t="s">
        <v>2401</v>
      </c>
      <c r="L2" s="85"/>
    </row>
    <row r="3" spans="1:12" ht="40.5" x14ac:dyDescent="0.25">
      <c r="A3" s="89" t="s">
        <v>2415</v>
      </c>
      <c r="B3" s="88" t="s">
        <v>2416</v>
      </c>
      <c r="C3" s="55" t="s">
        <v>2412</v>
      </c>
      <c r="D3" s="58">
        <v>176.2</v>
      </c>
      <c r="E3" s="55" t="s">
        <v>2405</v>
      </c>
      <c r="F3" s="58">
        <v>140.6</v>
      </c>
      <c r="G3" s="55" t="s">
        <v>2405</v>
      </c>
      <c r="H3" s="58">
        <v>7.6</v>
      </c>
      <c r="I3" s="55" t="s">
        <v>2406</v>
      </c>
      <c r="J3" s="58">
        <v>358.2</v>
      </c>
      <c r="K3" s="58">
        <v>2</v>
      </c>
      <c r="L3" s="87" t="s">
        <v>2672</v>
      </c>
    </row>
    <row r="4" spans="1:12" ht="27" x14ac:dyDescent="0.25">
      <c r="A4" s="89"/>
      <c r="B4" s="88"/>
      <c r="C4" s="88" t="s">
        <v>2411</v>
      </c>
      <c r="D4" s="86">
        <v>176.2</v>
      </c>
      <c r="E4" s="55" t="s">
        <v>2388</v>
      </c>
      <c r="F4" s="58">
        <v>5.4</v>
      </c>
      <c r="G4" s="55" t="s">
        <v>2378</v>
      </c>
      <c r="H4" s="58">
        <v>3.9</v>
      </c>
      <c r="I4" s="55" t="s">
        <v>2388</v>
      </c>
      <c r="J4" s="58">
        <v>9.6999999999999993</v>
      </c>
      <c r="K4" s="58">
        <v>2</v>
      </c>
      <c r="L4" s="87"/>
    </row>
    <row r="5" spans="1:12" ht="22.7" customHeight="1" x14ac:dyDescent="0.25">
      <c r="A5" s="89"/>
      <c r="B5" s="88"/>
      <c r="C5" s="88"/>
      <c r="D5" s="86"/>
      <c r="E5" s="55" t="s">
        <v>2387</v>
      </c>
      <c r="F5" s="58">
        <v>31.8</v>
      </c>
      <c r="G5" s="88" t="s">
        <v>2390</v>
      </c>
      <c r="H5" s="86">
        <v>3.8</v>
      </c>
      <c r="I5" s="55" t="s">
        <v>2378</v>
      </c>
      <c r="J5" s="58">
        <v>8.6999999999999993</v>
      </c>
      <c r="K5" s="58">
        <v>2</v>
      </c>
      <c r="L5" s="87"/>
    </row>
    <row r="6" spans="1:12" ht="27" x14ac:dyDescent="0.25">
      <c r="A6" s="89"/>
      <c r="B6" s="88"/>
      <c r="C6" s="88"/>
      <c r="D6" s="86"/>
      <c r="E6" s="55" t="s">
        <v>2385</v>
      </c>
      <c r="F6" s="58">
        <v>89.4</v>
      </c>
      <c r="G6" s="88"/>
      <c r="H6" s="86"/>
      <c r="I6" s="55" t="s">
        <v>2390</v>
      </c>
      <c r="J6" s="58">
        <v>11.8</v>
      </c>
      <c r="K6" s="58">
        <v>2</v>
      </c>
      <c r="L6" s="87"/>
    </row>
    <row r="7" spans="1:12" ht="22.7" customHeight="1" x14ac:dyDescent="0.25">
      <c r="A7" s="89"/>
      <c r="B7" s="88"/>
      <c r="C7" s="88"/>
      <c r="D7" s="86"/>
      <c r="E7" s="88" t="s">
        <v>2383</v>
      </c>
      <c r="F7" s="86">
        <v>14.1</v>
      </c>
      <c r="G7" s="88"/>
      <c r="H7" s="86"/>
      <c r="I7" s="55" t="s">
        <v>2387</v>
      </c>
      <c r="J7" s="58">
        <v>29.3</v>
      </c>
      <c r="K7" s="58">
        <v>2</v>
      </c>
      <c r="L7" s="87"/>
    </row>
    <row r="8" spans="1:12" ht="27" x14ac:dyDescent="0.25">
      <c r="A8" s="89"/>
      <c r="B8" s="88"/>
      <c r="C8" s="88"/>
      <c r="D8" s="86"/>
      <c r="E8" s="88"/>
      <c r="F8" s="86"/>
      <c r="G8" s="88"/>
      <c r="H8" s="86"/>
      <c r="I8" s="55" t="s">
        <v>2385</v>
      </c>
      <c r="J8" s="58">
        <v>208.4</v>
      </c>
      <c r="K8" s="58">
        <v>2</v>
      </c>
      <c r="L8" s="87"/>
    </row>
    <row r="9" spans="1:12" ht="22.7" customHeight="1" x14ac:dyDescent="0.25">
      <c r="A9" s="89"/>
      <c r="B9" s="88"/>
      <c r="C9" s="88"/>
      <c r="D9" s="86"/>
      <c r="E9" s="88"/>
      <c r="F9" s="86"/>
      <c r="G9" s="88"/>
      <c r="H9" s="86"/>
      <c r="I9" s="55" t="s">
        <v>2381</v>
      </c>
      <c r="J9" s="58">
        <v>62.5</v>
      </c>
      <c r="K9" s="58">
        <v>2</v>
      </c>
      <c r="L9" s="87"/>
    </row>
    <row r="10" spans="1:12" ht="27" x14ac:dyDescent="0.25">
      <c r="A10" s="89"/>
      <c r="B10" s="88"/>
      <c r="C10" s="88"/>
      <c r="D10" s="86"/>
      <c r="E10" s="88"/>
      <c r="F10" s="86"/>
      <c r="G10" s="88"/>
      <c r="H10" s="86"/>
      <c r="I10" s="55" t="s">
        <v>2383</v>
      </c>
      <c r="J10" s="58">
        <v>28.1</v>
      </c>
      <c r="K10" s="58">
        <v>2</v>
      </c>
      <c r="L10" s="87"/>
    </row>
    <row r="11" spans="1:12" ht="27" x14ac:dyDescent="0.25">
      <c r="A11" s="89" t="s">
        <v>2417</v>
      </c>
      <c r="B11" s="88" t="s">
        <v>2418</v>
      </c>
      <c r="C11" s="55" t="s">
        <v>2403</v>
      </c>
      <c r="D11" s="58">
        <v>63.6</v>
      </c>
      <c r="E11" s="55" t="s">
        <v>2403</v>
      </c>
      <c r="F11" s="58">
        <v>173.2</v>
      </c>
      <c r="G11" s="55" t="s">
        <v>2403</v>
      </c>
      <c r="H11" s="58">
        <v>3.3</v>
      </c>
      <c r="I11" s="88" t="s">
        <v>4</v>
      </c>
      <c r="J11" s="86" t="s">
        <v>4</v>
      </c>
      <c r="K11" s="86" t="s">
        <v>4</v>
      </c>
      <c r="L11" s="87" t="s">
        <v>2419</v>
      </c>
    </row>
    <row r="12" spans="1:12" ht="27" x14ac:dyDescent="0.25">
      <c r="A12" s="89"/>
      <c r="B12" s="88"/>
      <c r="C12" s="88" t="s">
        <v>2411</v>
      </c>
      <c r="D12" s="86">
        <v>63.6</v>
      </c>
      <c r="E12" s="55" t="s">
        <v>2388</v>
      </c>
      <c r="F12" s="58">
        <v>4.5</v>
      </c>
      <c r="G12" s="88" t="s">
        <v>2390</v>
      </c>
      <c r="H12" s="86">
        <v>3.3</v>
      </c>
      <c r="I12" s="88"/>
      <c r="J12" s="86"/>
      <c r="K12" s="86"/>
      <c r="L12" s="87"/>
    </row>
    <row r="13" spans="1:12" ht="22.7" customHeight="1" x14ac:dyDescent="0.25">
      <c r="A13" s="89"/>
      <c r="B13" s="88"/>
      <c r="C13" s="88"/>
      <c r="D13" s="86"/>
      <c r="E13" s="55" t="s">
        <v>2381</v>
      </c>
      <c r="F13" s="58">
        <v>19.400000000000002</v>
      </c>
      <c r="G13" s="88"/>
      <c r="H13" s="86"/>
      <c r="I13" s="88"/>
      <c r="J13" s="86"/>
      <c r="K13" s="86"/>
      <c r="L13" s="87"/>
    </row>
    <row r="14" spans="1:12" ht="27" x14ac:dyDescent="0.25">
      <c r="A14" s="89"/>
      <c r="B14" s="88"/>
      <c r="C14" s="88"/>
      <c r="D14" s="86"/>
      <c r="E14" s="55" t="s">
        <v>2385</v>
      </c>
      <c r="F14" s="58">
        <v>71</v>
      </c>
      <c r="G14" s="88"/>
      <c r="H14" s="86"/>
      <c r="I14" s="88"/>
      <c r="J14" s="86"/>
      <c r="K14" s="86"/>
      <c r="L14" s="87"/>
    </row>
    <row r="15" spans="1:12" ht="27" x14ac:dyDescent="0.25">
      <c r="A15" s="89"/>
      <c r="B15" s="88"/>
      <c r="C15" s="88"/>
      <c r="D15" s="86"/>
      <c r="E15" s="55" t="s">
        <v>2392</v>
      </c>
      <c r="F15" s="58">
        <v>14.4</v>
      </c>
      <c r="G15" s="88"/>
      <c r="H15" s="86"/>
      <c r="I15" s="88"/>
      <c r="J15" s="86"/>
      <c r="K15" s="86"/>
      <c r="L15" s="87"/>
    </row>
    <row r="16" spans="1:12" ht="22.7" customHeight="1" x14ac:dyDescent="0.25">
      <c r="A16" s="89"/>
      <c r="B16" s="88"/>
      <c r="C16" s="88"/>
      <c r="D16" s="86"/>
      <c r="E16" s="55" t="s">
        <v>2387</v>
      </c>
      <c r="F16" s="58">
        <v>64.099999999999994</v>
      </c>
      <c r="G16" s="88"/>
      <c r="H16" s="86"/>
      <c r="I16" s="88"/>
      <c r="J16" s="86"/>
      <c r="K16" s="86"/>
      <c r="L16" s="87"/>
    </row>
    <row r="17" spans="1:12" ht="27" x14ac:dyDescent="0.25">
      <c r="A17" s="89" t="s">
        <v>2420</v>
      </c>
      <c r="B17" s="88" t="s">
        <v>2421</v>
      </c>
      <c r="C17" s="55" t="s">
        <v>2412</v>
      </c>
      <c r="D17" s="58">
        <v>194.7</v>
      </c>
      <c r="E17" s="55" t="s">
        <v>2406</v>
      </c>
      <c r="F17" s="58">
        <v>772.7</v>
      </c>
      <c r="G17" s="55" t="s">
        <v>2406</v>
      </c>
      <c r="H17" s="58">
        <v>39.799999999999997</v>
      </c>
      <c r="I17" s="88" t="s">
        <v>4</v>
      </c>
      <c r="J17" s="86" t="s">
        <v>4</v>
      </c>
      <c r="K17" s="86" t="s">
        <v>4</v>
      </c>
      <c r="L17" s="87" t="s">
        <v>2673</v>
      </c>
    </row>
    <row r="18" spans="1:12" ht="27" x14ac:dyDescent="0.25">
      <c r="A18" s="89"/>
      <c r="B18" s="88"/>
      <c r="C18" s="88" t="s">
        <v>2411</v>
      </c>
      <c r="D18" s="86">
        <v>194.7</v>
      </c>
      <c r="E18" s="55" t="s">
        <v>2385</v>
      </c>
      <c r="F18" s="58">
        <v>566.4</v>
      </c>
      <c r="G18" s="55" t="s">
        <v>2378</v>
      </c>
      <c r="H18" s="58">
        <v>19.2</v>
      </c>
      <c r="I18" s="88"/>
      <c r="J18" s="86"/>
      <c r="K18" s="86"/>
      <c r="L18" s="87"/>
    </row>
    <row r="19" spans="1:12" ht="22.7" customHeight="1" x14ac:dyDescent="0.25">
      <c r="A19" s="89"/>
      <c r="B19" s="88"/>
      <c r="C19" s="88"/>
      <c r="D19" s="86"/>
      <c r="E19" s="55" t="s">
        <v>2387</v>
      </c>
      <c r="F19" s="58">
        <v>143.1</v>
      </c>
      <c r="G19" s="88" t="s">
        <v>2390</v>
      </c>
      <c r="H19" s="86">
        <v>20.6</v>
      </c>
      <c r="I19" s="88"/>
      <c r="J19" s="86"/>
      <c r="K19" s="86"/>
      <c r="L19" s="87"/>
    </row>
    <row r="20" spans="1:12" ht="22.7" customHeight="1" x14ac:dyDescent="0.25">
      <c r="A20" s="89"/>
      <c r="B20" s="88"/>
      <c r="C20" s="88"/>
      <c r="D20" s="86"/>
      <c r="E20" s="55" t="s">
        <v>2381</v>
      </c>
      <c r="F20" s="58">
        <v>42</v>
      </c>
      <c r="G20" s="88"/>
      <c r="H20" s="86"/>
      <c r="I20" s="88"/>
      <c r="J20" s="86"/>
      <c r="K20" s="86"/>
      <c r="L20" s="87"/>
    </row>
    <row r="21" spans="1:12" ht="27" x14ac:dyDescent="0.25">
      <c r="A21" s="89"/>
      <c r="B21" s="88"/>
      <c r="C21" s="88"/>
      <c r="D21" s="86"/>
      <c r="E21" s="55" t="s">
        <v>2392</v>
      </c>
      <c r="F21" s="58">
        <v>21.3</v>
      </c>
      <c r="G21" s="88"/>
      <c r="H21" s="86"/>
      <c r="I21" s="88"/>
      <c r="J21" s="86"/>
      <c r="K21" s="86"/>
      <c r="L21" s="87"/>
    </row>
    <row r="22" spans="1:12" ht="40.5" x14ac:dyDescent="0.25">
      <c r="A22" s="89" t="s">
        <v>2422</v>
      </c>
      <c r="B22" s="88" t="s">
        <v>2423</v>
      </c>
      <c r="C22" s="55" t="s">
        <v>2403</v>
      </c>
      <c r="D22" s="58">
        <v>382.8</v>
      </c>
      <c r="E22" s="55" t="s">
        <v>2404</v>
      </c>
      <c r="F22" s="58">
        <v>800.4</v>
      </c>
      <c r="G22" s="55" t="s">
        <v>2404</v>
      </c>
      <c r="H22" s="58">
        <v>95.699999999999989</v>
      </c>
      <c r="I22" s="88" t="s">
        <v>4</v>
      </c>
      <c r="J22" s="86" t="s">
        <v>4</v>
      </c>
      <c r="K22" s="86" t="s">
        <v>4</v>
      </c>
      <c r="L22" s="87" t="s">
        <v>2424</v>
      </c>
    </row>
    <row r="23" spans="1:12" ht="27" x14ac:dyDescent="0.25">
      <c r="A23" s="89"/>
      <c r="B23" s="88"/>
      <c r="C23" s="88" t="s">
        <v>2411</v>
      </c>
      <c r="D23" s="86">
        <v>382.8</v>
      </c>
      <c r="E23" s="55" t="s">
        <v>2388</v>
      </c>
      <c r="F23" s="58">
        <v>44.8</v>
      </c>
      <c r="G23" s="55" t="s">
        <v>2378</v>
      </c>
      <c r="H23" s="58">
        <v>58</v>
      </c>
      <c r="I23" s="88"/>
      <c r="J23" s="86"/>
      <c r="K23" s="86"/>
      <c r="L23" s="87"/>
    </row>
    <row r="24" spans="1:12" ht="27" x14ac:dyDescent="0.25">
      <c r="A24" s="89"/>
      <c r="B24" s="88"/>
      <c r="C24" s="88"/>
      <c r="D24" s="86"/>
      <c r="E24" s="55" t="s">
        <v>2393</v>
      </c>
      <c r="F24" s="58">
        <v>83</v>
      </c>
      <c r="G24" s="88" t="s">
        <v>2390</v>
      </c>
      <c r="H24" s="86">
        <v>37.700000000000003</v>
      </c>
      <c r="I24" s="88"/>
      <c r="J24" s="86"/>
      <c r="K24" s="86"/>
      <c r="L24" s="87"/>
    </row>
    <row r="25" spans="1:12" ht="22.7" customHeight="1" x14ac:dyDescent="0.25">
      <c r="A25" s="89"/>
      <c r="B25" s="88"/>
      <c r="C25" s="88"/>
      <c r="D25" s="86"/>
      <c r="E25" s="55" t="s">
        <v>2387</v>
      </c>
      <c r="F25" s="58">
        <v>302.8</v>
      </c>
      <c r="G25" s="88"/>
      <c r="H25" s="86"/>
      <c r="I25" s="88"/>
      <c r="J25" s="86"/>
      <c r="K25" s="86"/>
      <c r="L25" s="87"/>
    </row>
    <row r="26" spans="1:12" ht="22.7" customHeight="1" x14ac:dyDescent="0.25">
      <c r="A26" s="89"/>
      <c r="B26" s="88"/>
      <c r="C26" s="88"/>
      <c r="D26" s="86"/>
      <c r="E26" s="55" t="s">
        <v>2381</v>
      </c>
      <c r="F26" s="58">
        <v>115.89999999999999</v>
      </c>
      <c r="G26" s="88"/>
      <c r="H26" s="86"/>
      <c r="I26" s="88"/>
      <c r="J26" s="86"/>
      <c r="K26" s="86"/>
      <c r="L26" s="87"/>
    </row>
    <row r="27" spans="1:12" ht="27" x14ac:dyDescent="0.25">
      <c r="A27" s="89"/>
      <c r="B27" s="88"/>
      <c r="C27" s="88"/>
      <c r="D27" s="86"/>
      <c r="E27" s="55" t="s">
        <v>2385</v>
      </c>
      <c r="F27" s="58">
        <v>161.30000000000001</v>
      </c>
      <c r="G27" s="88"/>
      <c r="H27" s="86"/>
      <c r="I27" s="88"/>
      <c r="J27" s="86"/>
      <c r="K27" s="86"/>
      <c r="L27" s="87"/>
    </row>
    <row r="28" spans="1:12" ht="27" x14ac:dyDescent="0.25">
      <c r="A28" s="89"/>
      <c r="B28" s="88"/>
      <c r="C28" s="88"/>
      <c r="D28" s="86"/>
      <c r="E28" s="55" t="s">
        <v>2383</v>
      </c>
      <c r="F28" s="58">
        <v>86.7</v>
      </c>
      <c r="G28" s="88"/>
      <c r="H28" s="86"/>
      <c r="I28" s="88"/>
      <c r="J28" s="86"/>
      <c r="K28" s="86"/>
      <c r="L28" s="87"/>
    </row>
    <row r="29" spans="1:12" ht="27" x14ac:dyDescent="0.25">
      <c r="A29" s="89"/>
      <c r="B29" s="88"/>
      <c r="C29" s="88"/>
      <c r="D29" s="86"/>
      <c r="E29" s="55" t="s">
        <v>2392</v>
      </c>
      <c r="F29" s="58">
        <v>6.1</v>
      </c>
      <c r="G29" s="88"/>
      <c r="H29" s="86"/>
      <c r="I29" s="88"/>
      <c r="J29" s="86"/>
      <c r="K29" s="86"/>
      <c r="L29" s="87"/>
    </row>
    <row r="30" spans="1:12" ht="40.5" x14ac:dyDescent="0.25">
      <c r="A30" s="89" t="s">
        <v>2425</v>
      </c>
      <c r="B30" s="88" t="s">
        <v>2426</v>
      </c>
      <c r="C30" s="55" t="s">
        <v>2402</v>
      </c>
      <c r="D30" s="58">
        <v>357.90000000000003</v>
      </c>
      <c r="E30" s="55" t="s">
        <v>2402</v>
      </c>
      <c r="F30" s="58">
        <v>1153.5999999999999</v>
      </c>
      <c r="G30" s="55" t="s">
        <v>2402</v>
      </c>
      <c r="H30" s="58">
        <v>4.7</v>
      </c>
      <c r="I30" s="88" t="s">
        <v>4</v>
      </c>
      <c r="J30" s="86" t="s">
        <v>4</v>
      </c>
      <c r="K30" s="86" t="s">
        <v>4</v>
      </c>
      <c r="L30" s="87" t="s">
        <v>2427</v>
      </c>
    </row>
    <row r="31" spans="1:12" ht="27" x14ac:dyDescent="0.25">
      <c r="A31" s="89"/>
      <c r="B31" s="88"/>
      <c r="C31" s="88" t="s">
        <v>2411</v>
      </c>
      <c r="D31" s="86">
        <v>357.90000000000003</v>
      </c>
      <c r="E31" s="55" t="s">
        <v>2388</v>
      </c>
      <c r="F31" s="58">
        <v>40.5</v>
      </c>
      <c r="G31" s="88" t="s">
        <v>2378</v>
      </c>
      <c r="H31" s="86">
        <v>4.7</v>
      </c>
      <c r="I31" s="88"/>
      <c r="J31" s="86"/>
      <c r="K31" s="86"/>
      <c r="L31" s="87"/>
    </row>
    <row r="32" spans="1:12" ht="27" x14ac:dyDescent="0.25">
      <c r="A32" s="89"/>
      <c r="B32" s="88"/>
      <c r="C32" s="88"/>
      <c r="D32" s="86"/>
      <c r="E32" s="55" t="s">
        <v>2383</v>
      </c>
      <c r="F32" s="58">
        <v>473.70000000000005</v>
      </c>
      <c r="G32" s="88"/>
      <c r="H32" s="86"/>
      <c r="I32" s="88"/>
      <c r="J32" s="86"/>
      <c r="K32" s="86"/>
      <c r="L32" s="87"/>
    </row>
    <row r="33" spans="1:12" ht="22.7" customHeight="1" x14ac:dyDescent="0.25">
      <c r="A33" s="89"/>
      <c r="B33" s="88"/>
      <c r="C33" s="88"/>
      <c r="D33" s="86"/>
      <c r="E33" s="55" t="s">
        <v>2387</v>
      </c>
      <c r="F33" s="58">
        <v>255.79999999999998</v>
      </c>
      <c r="G33" s="88"/>
      <c r="H33" s="86"/>
      <c r="I33" s="88"/>
      <c r="J33" s="86"/>
      <c r="K33" s="86"/>
      <c r="L33" s="87"/>
    </row>
    <row r="34" spans="1:12" ht="22.7" customHeight="1" x14ac:dyDescent="0.25">
      <c r="A34" s="89"/>
      <c r="B34" s="88"/>
      <c r="C34" s="88"/>
      <c r="D34" s="86"/>
      <c r="E34" s="55" t="s">
        <v>2381</v>
      </c>
      <c r="F34" s="58">
        <v>345.5</v>
      </c>
      <c r="G34" s="88"/>
      <c r="H34" s="86"/>
      <c r="I34" s="88"/>
      <c r="J34" s="86"/>
      <c r="K34" s="86"/>
      <c r="L34" s="87"/>
    </row>
    <row r="35" spans="1:12" ht="27.75" thickBot="1" x14ac:dyDescent="0.3">
      <c r="A35" s="99"/>
      <c r="B35" s="91"/>
      <c r="C35" s="91"/>
      <c r="D35" s="92"/>
      <c r="E35" s="57" t="s">
        <v>2385</v>
      </c>
      <c r="F35" s="59">
        <v>38.299999999999997</v>
      </c>
      <c r="G35" s="93"/>
      <c r="H35" s="94"/>
      <c r="I35" s="93"/>
      <c r="J35" s="94"/>
      <c r="K35" s="94"/>
      <c r="L35" s="90"/>
    </row>
    <row r="36" spans="1:12" ht="15" customHeight="1" x14ac:dyDescent="0.25">
      <c r="A36" s="95" t="s">
        <v>2407</v>
      </c>
      <c r="B36" s="96"/>
      <c r="C36" s="96"/>
      <c r="D36" s="97"/>
      <c r="E36" s="98" t="s">
        <v>2410</v>
      </c>
      <c r="F36" s="98"/>
      <c r="G36" s="98"/>
      <c r="H36" s="98"/>
      <c r="I36" s="56" t="s">
        <v>2372</v>
      </c>
      <c r="J36" s="56" t="s">
        <v>2372</v>
      </c>
      <c r="K36" s="56" t="s">
        <v>2372</v>
      </c>
      <c r="L36" s="56" t="s">
        <v>2372</v>
      </c>
    </row>
    <row r="37" spans="1:12" ht="15" customHeight="1" x14ac:dyDescent="0.25">
      <c r="A37" s="89" t="s">
        <v>2428</v>
      </c>
      <c r="B37" s="88"/>
      <c r="C37" s="88"/>
      <c r="D37" s="60">
        <v>370.9</v>
      </c>
      <c r="E37" s="98" t="s">
        <v>2408</v>
      </c>
      <c r="F37" s="98"/>
      <c r="G37" s="98"/>
      <c r="H37" s="56">
        <v>1175.2</v>
      </c>
      <c r="I37" s="56" t="s">
        <v>2372</v>
      </c>
      <c r="J37" s="56" t="s">
        <v>2372</v>
      </c>
      <c r="K37" s="56" t="s">
        <v>2372</v>
      </c>
      <c r="L37" s="56" t="s">
        <v>2372</v>
      </c>
    </row>
    <row r="38" spans="1:12" ht="15" customHeight="1" x14ac:dyDescent="0.25">
      <c r="A38" s="89" t="s">
        <v>2429</v>
      </c>
      <c r="B38" s="88"/>
      <c r="C38" s="88"/>
      <c r="D38" s="60">
        <v>1175.2</v>
      </c>
      <c r="E38" s="98" t="s">
        <v>2409</v>
      </c>
      <c r="F38" s="98"/>
      <c r="G38" s="98"/>
      <c r="H38" s="56">
        <v>3040.5</v>
      </c>
      <c r="I38" s="56" t="s">
        <v>2372</v>
      </c>
      <c r="J38" s="56" t="s">
        <v>2372</v>
      </c>
      <c r="K38" s="56" t="s">
        <v>2372</v>
      </c>
      <c r="L38" s="56" t="s">
        <v>2372</v>
      </c>
    </row>
    <row r="39" spans="1:12" ht="15" customHeight="1" x14ac:dyDescent="0.25">
      <c r="A39" s="89" t="s">
        <v>2405</v>
      </c>
      <c r="B39" s="88"/>
      <c r="C39" s="88"/>
      <c r="D39" s="60">
        <v>148.19999999999999</v>
      </c>
      <c r="E39" s="98" t="s">
        <v>2379</v>
      </c>
      <c r="F39" s="98"/>
      <c r="G39" s="98"/>
      <c r="H39" s="56">
        <v>151.09999999999997</v>
      </c>
      <c r="I39" s="56" t="s">
        <v>2372</v>
      </c>
      <c r="J39" s="56" t="s">
        <v>2372</v>
      </c>
      <c r="K39" s="56" t="s">
        <v>2372</v>
      </c>
      <c r="L39" s="56" t="s">
        <v>2372</v>
      </c>
    </row>
    <row r="40" spans="1:12" ht="15" customHeight="1" x14ac:dyDescent="0.25">
      <c r="A40" s="89" t="s">
        <v>2406</v>
      </c>
      <c r="B40" s="88"/>
      <c r="C40" s="88"/>
      <c r="D40" s="60">
        <v>1170.7</v>
      </c>
      <c r="E40" s="98" t="s">
        <v>2674</v>
      </c>
      <c r="F40" s="98"/>
      <c r="G40" s="98"/>
      <c r="H40" s="56">
        <v>358.2</v>
      </c>
      <c r="I40" s="56" t="s">
        <v>2372</v>
      </c>
      <c r="J40" s="56" t="s">
        <v>2372</v>
      </c>
      <c r="K40" s="56" t="s">
        <v>2372</v>
      </c>
      <c r="L40" s="56" t="s">
        <v>2372</v>
      </c>
    </row>
    <row r="41" spans="1:12" ht="15" customHeight="1" x14ac:dyDescent="0.25">
      <c r="A41" s="89" t="s">
        <v>2430</v>
      </c>
      <c r="B41" s="88"/>
      <c r="C41" s="88"/>
      <c r="D41" s="60">
        <v>446.40000000000003</v>
      </c>
      <c r="E41" s="98" t="s">
        <v>2372</v>
      </c>
      <c r="F41" s="98"/>
      <c r="G41" s="98"/>
      <c r="H41" s="56" t="s">
        <v>2372</v>
      </c>
      <c r="I41" s="56" t="s">
        <v>2372</v>
      </c>
      <c r="J41" s="56" t="s">
        <v>2372</v>
      </c>
      <c r="K41" s="56" t="s">
        <v>2372</v>
      </c>
      <c r="L41" s="56" t="s">
        <v>2372</v>
      </c>
    </row>
    <row r="42" spans="1:12" ht="15" customHeight="1" x14ac:dyDescent="0.25">
      <c r="A42" s="89" t="s">
        <v>2403</v>
      </c>
      <c r="B42" s="88"/>
      <c r="C42" s="88"/>
      <c r="D42" s="60">
        <v>176.5</v>
      </c>
      <c r="E42" s="98" t="s">
        <v>2372</v>
      </c>
      <c r="F42" s="98"/>
      <c r="G42" s="98"/>
      <c r="H42" s="56" t="s">
        <v>2372</v>
      </c>
      <c r="I42" s="56" t="s">
        <v>2372</v>
      </c>
      <c r="J42" s="56" t="s">
        <v>2372</v>
      </c>
      <c r="K42" s="56" t="s">
        <v>2372</v>
      </c>
      <c r="L42" s="56" t="s">
        <v>2372</v>
      </c>
    </row>
    <row r="43" spans="1:12" ht="15" customHeight="1" x14ac:dyDescent="0.25">
      <c r="A43" s="89" t="s">
        <v>2404</v>
      </c>
      <c r="B43" s="88"/>
      <c r="C43" s="88"/>
      <c r="D43" s="60">
        <v>896.09999999999991</v>
      </c>
      <c r="E43" s="98" t="s">
        <v>2372</v>
      </c>
      <c r="F43" s="98"/>
      <c r="G43" s="98"/>
      <c r="H43" s="56" t="s">
        <v>2372</v>
      </c>
      <c r="I43" s="56" t="s">
        <v>2372</v>
      </c>
      <c r="J43" s="56" t="s">
        <v>2372</v>
      </c>
      <c r="K43" s="56" t="s">
        <v>2372</v>
      </c>
      <c r="L43" s="56" t="s">
        <v>2372</v>
      </c>
    </row>
    <row r="44" spans="1:12" ht="15" customHeight="1" x14ac:dyDescent="0.25">
      <c r="A44" s="89" t="s">
        <v>2431</v>
      </c>
      <c r="B44" s="88"/>
      <c r="C44" s="88"/>
      <c r="D44" s="60">
        <v>357.90000000000003</v>
      </c>
      <c r="E44" s="98" t="s">
        <v>2372</v>
      </c>
      <c r="F44" s="98"/>
      <c r="G44" s="98"/>
      <c r="H44" s="56" t="s">
        <v>2372</v>
      </c>
      <c r="I44" s="56" t="s">
        <v>2372</v>
      </c>
      <c r="J44" s="56" t="s">
        <v>2372</v>
      </c>
      <c r="K44" s="56" t="s">
        <v>2372</v>
      </c>
      <c r="L44" s="56" t="s">
        <v>2372</v>
      </c>
    </row>
    <row r="45" spans="1:12" ht="15" customHeight="1" x14ac:dyDescent="0.25">
      <c r="A45" s="89" t="s">
        <v>2402</v>
      </c>
      <c r="B45" s="88"/>
      <c r="C45" s="88"/>
      <c r="D45" s="60">
        <v>1158.3</v>
      </c>
      <c r="E45" s="98" t="s">
        <v>2372</v>
      </c>
      <c r="F45" s="98"/>
      <c r="G45" s="98"/>
      <c r="H45" s="56" t="s">
        <v>2372</v>
      </c>
      <c r="I45" s="56" t="s">
        <v>2372</v>
      </c>
      <c r="J45" s="56" t="s">
        <v>2372</v>
      </c>
      <c r="K45" s="56" t="s">
        <v>2372</v>
      </c>
      <c r="L45" s="56" t="s">
        <v>2372</v>
      </c>
    </row>
    <row r="46" spans="1:12" ht="15" customHeight="1" x14ac:dyDescent="0.25">
      <c r="A46" s="89" t="s">
        <v>2388</v>
      </c>
      <c r="B46" s="88"/>
      <c r="C46" s="88"/>
      <c r="D46" s="60">
        <v>104.9</v>
      </c>
      <c r="E46" s="98" t="s">
        <v>2372</v>
      </c>
      <c r="F46" s="98"/>
      <c r="G46" s="98"/>
      <c r="H46" s="56" t="s">
        <v>2372</v>
      </c>
      <c r="I46" s="56" t="s">
        <v>2372</v>
      </c>
      <c r="J46" s="56" t="s">
        <v>2372</v>
      </c>
      <c r="K46" s="56" t="s">
        <v>2372</v>
      </c>
      <c r="L46" s="56" t="s">
        <v>2372</v>
      </c>
    </row>
    <row r="47" spans="1:12" ht="15" customHeight="1" x14ac:dyDescent="0.25">
      <c r="A47" s="89" t="s">
        <v>2393</v>
      </c>
      <c r="B47" s="88"/>
      <c r="C47" s="88"/>
      <c r="D47" s="60">
        <v>83</v>
      </c>
      <c r="E47" s="98" t="s">
        <v>2372</v>
      </c>
      <c r="F47" s="98"/>
      <c r="G47" s="98"/>
      <c r="H47" s="56" t="s">
        <v>2372</v>
      </c>
      <c r="I47" s="56" t="s">
        <v>2372</v>
      </c>
      <c r="J47" s="56" t="s">
        <v>2372</v>
      </c>
      <c r="K47" s="56" t="s">
        <v>2372</v>
      </c>
      <c r="L47" s="56" t="s">
        <v>2372</v>
      </c>
    </row>
    <row r="48" spans="1:12" ht="15" customHeight="1" x14ac:dyDescent="0.25">
      <c r="A48" s="89" t="s">
        <v>2387</v>
      </c>
      <c r="B48" s="88"/>
      <c r="C48" s="88"/>
      <c r="D48" s="60">
        <v>826.89999999999986</v>
      </c>
      <c r="E48" s="98" t="s">
        <v>2372</v>
      </c>
      <c r="F48" s="98"/>
      <c r="G48" s="98"/>
      <c r="H48" s="56" t="s">
        <v>2372</v>
      </c>
      <c r="I48" s="56" t="s">
        <v>2372</v>
      </c>
      <c r="J48" s="56" t="s">
        <v>2372</v>
      </c>
      <c r="K48" s="56" t="s">
        <v>2372</v>
      </c>
      <c r="L48" s="56" t="s">
        <v>2372</v>
      </c>
    </row>
    <row r="49" spans="1:12" ht="15" customHeight="1" x14ac:dyDescent="0.25">
      <c r="A49" s="89" t="s">
        <v>2385</v>
      </c>
      <c r="B49" s="88"/>
      <c r="C49" s="88"/>
      <c r="D49" s="60">
        <v>1134.8</v>
      </c>
      <c r="E49" s="98" t="s">
        <v>2372</v>
      </c>
      <c r="F49" s="98"/>
      <c r="G49" s="98"/>
      <c r="H49" s="56" t="s">
        <v>2372</v>
      </c>
      <c r="I49" s="56" t="s">
        <v>2372</v>
      </c>
      <c r="J49" s="56" t="s">
        <v>2372</v>
      </c>
      <c r="K49" s="56" t="s">
        <v>2372</v>
      </c>
      <c r="L49" s="56" t="s">
        <v>2372</v>
      </c>
    </row>
    <row r="50" spans="1:12" ht="15" customHeight="1" x14ac:dyDescent="0.25">
      <c r="A50" s="89" t="s">
        <v>2383</v>
      </c>
      <c r="B50" s="88"/>
      <c r="C50" s="88"/>
      <c r="D50" s="60">
        <v>602.6</v>
      </c>
      <c r="E50" s="98" t="s">
        <v>2372</v>
      </c>
      <c r="F50" s="98"/>
      <c r="G50" s="98"/>
      <c r="H50" s="56" t="s">
        <v>2372</v>
      </c>
      <c r="I50" s="56" t="s">
        <v>2372</v>
      </c>
      <c r="J50" s="56" t="s">
        <v>2372</v>
      </c>
      <c r="K50" s="56" t="s">
        <v>2372</v>
      </c>
      <c r="L50" s="56" t="s">
        <v>2372</v>
      </c>
    </row>
    <row r="51" spans="1:12" ht="15" customHeight="1" x14ac:dyDescent="0.25">
      <c r="A51" s="89" t="s">
        <v>2390</v>
      </c>
      <c r="B51" s="88"/>
      <c r="C51" s="88"/>
      <c r="D51" s="60">
        <v>77.2</v>
      </c>
      <c r="E51" s="98" t="s">
        <v>2372</v>
      </c>
      <c r="F51" s="98"/>
      <c r="G51" s="98"/>
      <c r="H51" s="56" t="s">
        <v>2372</v>
      </c>
      <c r="I51" s="56" t="s">
        <v>2372</v>
      </c>
      <c r="J51" s="56" t="s">
        <v>2372</v>
      </c>
      <c r="K51" s="56" t="s">
        <v>2372</v>
      </c>
      <c r="L51" s="56" t="s">
        <v>2372</v>
      </c>
    </row>
    <row r="52" spans="1:12" ht="15" customHeight="1" x14ac:dyDescent="0.25">
      <c r="A52" s="89" t="s">
        <v>2381</v>
      </c>
      <c r="B52" s="88"/>
      <c r="C52" s="88"/>
      <c r="D52" s="60">
        <v>585.29999999999995</v>
      </c>
      <c r="E52" s="98" t="s">
        <v>2372</v>
      </c>
      <c r="F52" s="98"/>
      <c r="G52" s="98"/>
      <c r="H52" s="56" t="s">
        <v>2372</v>
      </c>
      <c r="I52" s="56" t="s">
        <v>2372</v>
      </c>
      <c r="J52" s="56" t="s">
        <v>2372</v>
      </c>
      <c r="K52" s="56" t="s">
        <v>2372</v>
      </c>
      <c r="L52" s="56" t="s">
        <v>2372</v>
      </c>
    </row>
    <row r="53" spans="1:12" ht="15" customHeight="1" thickBot="1" x14ac:dyDescent="0.3">
      <c r="A53" s="100" t="s">
        <v>2392</v>
      </c>
      <c r="B53" s="93"/>
      <c r="C53" s="93"/>
      <c r="D53" s="61">
        <v>41.800000000000004</v>
      </c>
      <c r="E53" s="98" t="s">
        <v>2372</v>
      </c>
      <c r="F53" s="98"/>
      <c r="G53" s="98"/>
      <c r="H53" s="56" t="s">
        <v>2372</v>
      </c>
      <c r="I53" s="56" t="s">
        <v>2372</v>
      </c>
      <c r="J53" s="56" t="s">
        <v>2372</v>
      </c>
      <c r="K53" s="56" t="s">
        <v>2372</v>
      </c>
      <c r="L53" s="56" t="s">
        <v>2372</v>
      </c>
    </row>
    <row r="148" ht="22.7" customHeight="1" x14ac:dyDescent="0.25"/>
    <row r="149" ht="22.7" customHeight="1" x14ac:dyDescent="0.25"/>
    <row r="150" ht="15" customHeight="1" x14ac:dyDescent="0.25"/>
    <row r="151" ht="22.7" customHeight="1" x14ac:dyDescent="0.25"/>
    <row r="152" ht="22.7" customHeight="1" x14ac:dyDescent="0.25"/>
    <row r="153" ht="22.7" customHeight="1" x14ac:dyDescent="0.25"/>
    <row r="154" ht="22.7" customHeight="1" x14ac:dyDescent="0.25"/>
    <row r="155" ht="15" customHeight="1" x14ac:dyDescent="0.25"/>
    <row r="156" ht="22.7" customHeight="1" x14ac:dyDescent="0.25"/>
    <row r="157" ht="22.7" customHeight="1" x14ac:dyDescent="0.25"/>
    <row r="158" ht="22.7" customHeight="1" x14ac:dyDescent="0.25"/>
    <row r="159" ht="15" customHeight="1" x14ac:dyDescent="0.25"/>
    <row r="160" ht="22.7" customHeight="1" x14ac:dyDescent="0.25"/>
    <row r="161" ht="22.7" customHeight="1" x14ac:dyDescent="0.25"/>
    <row r="162" ht="22.7" customHeight="1" x14ac:dyDescent="0.25"/>
    <row r="163" ht="22.7" customHeight="1" x14ac:dyDescent="0.25"/>
    <row r="164" ht="22.7" customHeight="1" x14ac:dyDescent="0.25"/>
    <row r="166" ht="22.7" customHeight="1" x14ac:dyDescent="0.25"/>
    <row r="167" ht="22.7" customHeight="1" x14ac:dyDescent="0.25"/>
    <row r="168" ht="22.7" customHeight="1" x14ac:dyDescent="0.25"/>
    <row r="170" ht="22.7" customHeight="1" x14ac:dyDescent="0.25"/>
    <row r="171" ht="22.7" customHeight="1" x14ac:dyDescent="0.25"/>
    <row r="172" ht="22.7" customHeight="1" x14ac:dyDescent="0.25"/>
    <row r="174" ht="22.7" customHeight="1" x14ac:dyDescent="0.25"/>
    <row r="175" ht="22.7" customHeight="1" x14ac:dyDescent="0.25"/>
    <row r="176" ht="22.7" customHeight="1" x14ac:dyDescent="0.25"/>
    <row r="177" ht="22.7" customHeight="1" x14ac:dyDescent="0.25"/>
    <row r="178" ht="22.7" customHeight="1" x14ac:dyDescent="0.25"/>
    <row r="180" ht="22.7" customHeight="1" x14ac:dyDescent="0.25"/>
    <row r="181" ht="22.7" customHeight="1" x14ac:dyDescent="0.25"/>
    <row r="182" ht="22.7" customHeight="1" x14ac:dyDescent="0.25"/>
    <row r="184" ht="22.7" customHeight="1" x14ac:dyDescent="0.25"/>
    <row r="185" ht="22.7" customHeight="1" x14ac:dyDescent="0.25"/>
    <row r="186" ht="22.7" customHeight="1" x14ac:dyDescent="0.25"/>
    <row r="188" ht="22.7" customHeight="1" x14ac:dyDescent="0.25"/>
    <row r="189" ht="22.7" customHeight="1" x14ac:dyDescent="0.25"/>
    <row r="190" ht="22.7" customHeight="1" x14ac:dyDescent="0.25"/>
    <row r="192" ht="22.7" customHeight="1" x14ac:dyDescent="0.25"/>
    <row r="193" ht="22.7" customHeight="1" x14ac:dyDescent="0.25"/>
    <row r="194" ht="22.7" customHeight="1" x14ac:dyDescent="0.25"/>
    <row r="196" ht="22.7" customHeight="1" x14ac:dyDescent="0.25"/>
    <row r="197" ht="22.7" customHeight="1" x14ac:dyDescent="0.25"/>
    <row r="198" ht="22.7" customHeight="1" x14ac:dyDescent="0.25"/>
    <row r="200" ht="22.7" customHeight="1" x14ac:dyDescent="0.25"/>
    <row r="201" ht="22.7" customHeight="1" x14ac:dyDescent="0.25"/>
    <row r="202" ht="22.7" customHeight="1" x14ac:dyDescent="0.25"/>
    <row r="204" ht="22.7" customHeight="1" x14ac:dyDescent="0.25"/>
    <row r="205" ht="22.7" customHeight="1" x14ac:dyDescent="0.25"/>
    <row r="206" ht="22.7" customHeight="1" x14ac:dyDescent="0.25"/>
    <row r="208" ht="22.7" customHeight="1" x14ac:dyDescent="0.25"/>
    <row r="209" ht="22.7" customHeight="1" x14ac:dyDescent="0.25"/>
    <row r="210" ht="22.7" customHeight="1" x14ac:dyDescent="0.25"/>
    <row r="212" ht="22.7" customHeight="1" x14ac:dyDescent="0.25"/>
    <row r="213" ht="22.7" customHeight="1" x14ac:dyDescent="0.25"/>
    <row r="214" ht="22.7" customHeight="1" x14ac:dyDescent="0.25"/>
    <row r="216" ht="22.7" customHeight="1" x14ac:dyDescent="0.25"/>
    <row r="217" ht="22.7" customHeight="1" x14ac:dyDescent="0.25"/>
    <row r="218" ht="22.7" customHeight="1" x14ac:dyDescent="0.25"/>
    <row r="220" ht="22.7" customHeight="1" x14ac:dyDescent="0.25"/>
    <row r="221" ht="22.7" customHeight="1" x14ac:dyDescent="0.25"/>
    <row r="222" ht="22.7" customHeight="1" x14ac:dyDescent="0.25"/>
    <row r="224" ht="22.7" customHeight="1" x14ac:dyDescent="0.25"/>
    <row r="225" ht="22.7" customHeight="1" x14ac:dyDescent="0.25"/>
    <row r="226" ht="22.7" customHeight="1" x14ac:dyDescent="0.25"/>
    <row r="228" ht="22.7" customHeight="1" x14ac:dyDescent="0.25"/>
    <row r="229" ht="22.7" customHeight="1" x14ac:dyDescent="0.25"/>
    <row r="230" ht="22.7" customHeight="1" x14ac:dyDescent="0.25"/>
    <row r="232" ht="22.7" customHeight="1" x14ac:dyDescent="0.25"/>
    <row r="233" ht="22.7" customHeight="1" x14ac:dyDescent="0.25"/>
    <row r="234" ht="22.7" customHeight="1" x14ac:dyDescent="0.25"/>
    <row r="236" ht="22.7" customHeight="1" x14ac:dyDescent="0.25"/>
    <row r="237" ht="22.7" customHeight="1" x14ac:dyDescent="0.25"/>
    <row r="238" ht="22.7" customHeight="1" x14ac:dyDescent="0.25"/>
    <row r="240" ht="22.7" customHeight="1" x14ac:dyDescent="0.25"/>
    <row r="241" ht="22.7" customHeight="1" x14ac:dyDescent="0.25"/>
    <row r="242" ht="22.7" customHeight="1" x14ac:dyDescent="0.25"/>
    <row r="244" ht="22.7" customHeight="1" x14ac:dyDescent="0.25"/>
    <row r="245" ht="22.7" customHeight="1" x14ac:dyDescent="0.25"/>
    <row r="246" ht="22.7" customHeight="1" x14ac:dyDescent="0.25"/>
    <row r="248" ht="22.7" customHeight="1" x14ac:dyDescent="0.25"/>
    <row r="249" ht="22.7" customHeight="1" x14ac:dyDescent="0.25"/>
    <row r="250" ht="22.7" customHeight="1" x14ac:dyDescent="0.25"/>
    <row r="252" ht="22.7" customHeight="1" x14ac:dyDescent="0.25"/>
    <row r="253" ht="22.7" customHeight="1" x14ac:dyDescent="0.25"/>
    <row r="254" ht="22.7" customHeight="1" x14ac:dyDescent="0.25"/>
    <row r="256" ht="22.7" customHeight="1" x14ac:dyDescent="0.25"/>
    <row r="257" ht="22.7" customHeight="1" x14ac:dyDescent="0.25"/>
    <row r="258" ht="22.7" customHeight="1" x14ac:dyDescent="0.25"/>
    <row r="260" ht="22.7" customHeight="1" x14ac:dyDescent="0.25"/>
    <row r="261" ht="22.7" customHeight="1" x14ac:dyDescent="0.25"/>
    <row r="262" ht="22.7" customHeight="1" x14ac:dyDescent="0.25"/>
    <row r="263" ht="22.7" customHeight="1" x14ac:dyDescent="0.25"/>
    <row r="264" ht="22.7" customHeight="1" x14ac:dyDescent="0.25"/>
    <row r="265" ht="22.7" customHeight="1" x14ac:dyDescent="0.25"/>
    <row r="266" ht="22.7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</sheetData>
  <mergeCells count="89">
    <mergeCell ref="A52:C52"/>
    <mergeCell ref="E52:G52"/>
    <mergeCell ref="A53:C53"/>
    <mergeCell ref="E53:G53"/>
    <mergeCell ref="A49:C49"/>
    <mergeCell ref="E49:G49"/>
    <mergeCell ref="A50:C50"/>
    <mergeCell ref="E50:G50"/>
    <mergeCell ref="A51:C51"/>
    <mergeCell ref="E51:G51"/>
    <mergeCell ref="A46:C46"/>
    <mergeCell ref="E46:G46"/>
    <mergeCell ref="A47:C47"/>
    <mergeCell ref="E47:G47"/>
    <mergeCell ref="A48:C48"/>
    <mergeCell ref="E48:G48"/>
    <mergeCell ref="A43:C43"/>
    <mergeCell ref="E43:G43"/>
    <mergeCell ref="A44:C44"/>
    <mergeCell ref="E44:G44"/>
    <mergeCell ref="A45:C45"/>
    <mergeCell ref="E45:G45"/>
    <mergeCell ref="A40:C40"/>
    <mergeCell ref="E40:G40"/>
    <mergeCell ref="A41:C41"/>
    <mergeCell ref="E41:G41"/>
    <mergeCell ref="A42:C42"/>
    <mergeCell ref="E42:G42"/>
    <mergeCell ref="A37:C37"/>
    <mergeCell ref="E37:G37"/>
    <mergeCell ref="A38:C38"/>
    <mergeCell ref="E38:G38"/>
    <mergeCell ref="A39:C39"/>
    <mergeCell ref="E39:G39"/>
    <mergeCell ref="J30:J35"/>
    <mergeCell ref="A30:A35"/>
    <mergeCell ref="B30:B35"/>
    <mergeCell ref="A17:A21"/>
    <mergeCell ref="B17:B21"/>
    <mergeCell ref="A36:D36"/>
    <mergeCell ref="E36:H36"/>
    <mergeCell ref="I11:I16"/>
    <mergeCell ref="I17:I21"/>
    <mergeCell ref="I22:I29"/>
    <mergeCell ref="I30:I35"/>
    <mergeCell ref="A22:A29"/>
    <mergeCell ref="B22:B29"/>
    <mergeCell ref="L30:L35"/>
    <mergeCell ref="C18:C21"/>
    <mergeCell ref="C23:C29"/>
    <mergeCell ref="C31:C35"/>
    <mergeCell ref="D18:D21"/>
    <mergeCell ref="D23:D29"/>
    <mergeCell ref="D31:D35"/>
    <mergeCell ref="G19:G21"/>
    <mergeCell ref="G24:G29"/>
    <mergeCell ref="G31:G35"/>
    <mergeCell ref="H24:H29"/>
    <mergeCell ref="H31:H35"/>
    <mergeCell ref="L17:L21"/>
    <mergeCell ref="K17:K21"/>
    <mergeCell ref="K22:K29"/>
    <mergeCell ref="K30:K35"/>
    <mergeCell ref="L22:L29"/>
    <mergeCell ref="D4:D10"/>
    <mergeCell ref="D12:D16"/>
    <mergeCell ref="E7:E10"/>
    <mergeCell ref="A3:A10"/>
    <mergeCell ref="B3:B10"/>
    <mergeCell ref="A11:A16"/>
    <mergeCell ref="B11:B16"/>
    <mergeCell ref="K11:K16"/>
    <mergeCell ref="J22:J29"/>
    <mergeCell ref="A1:A2"/>
    <mergeCell ref="B1:B2"/>
    <mergeCell ref="C1:K1"/>
    <mergeCell ref="L1:L2"/>
    <mergeCell ref="J17:J21"/>
    <mergeCell ref="H19:H21"/>
    <mergeCell ref="F7:F10"/>
    <mergeCell ref="L3:L10"/>
    <mergeCell ref="L11:L16"/>
    <mergeCell ref="G5:G10"/>
    <mergeCell ref="G12:G16"/>
    <mergeCell ref="H5:H10"/>
    <mergeCell ref="H12:H16"/>
    <mergeCell ref="J11:J16"/>
    <mergeCell ref="C4:C10"/>
    <mergeCell ref="C12:C16"/>
  </mergeCells>
  <conditionalFormatting sqref="A1:L53">
    <cfRule type="containsText" dxfId="41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F16"/>
  <sheetViews>
    <sheetView workbookViewId="0">
      <selection activeCell="K33" sqref="K33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01" t="s">
        <v>2475</v>
      </c>
      <c r="B2" s="102"/>
      <c r="C2" s="102"/>
      <c r="D2" s="102"/>
      <c r="E2" s="102"/>
      <c r="F2" s="103"/>
    </row>
    <row r="3" spans="1:6" ht="16.5" x14ac:dyDescent="0.25">
      <c r="A3" s="16">
        <v>1</v>
      </c>
      <c r="B3" s="17" t="s">
        <v>2438</v>
      </c>
      <c r="C3" s="17" t="s">
        <v>2476</v>
      </c>
      <c r="D3" s="17">
        <v>192.55</v>
      </c>
      <c r="E3" s="17">
        <v>0.154</v>
      </c>
      <c r="F3" s="18" t="s">
        <v>2477</v>
      </c>
    </row>
    <row r="4" spans="1:6" ht="16.5" x14ac:dyDescent="0.25">
      <c r="A4" s="16" t="s">
        <v>2372</v>
      </c>
      <c r="B4" s="17" t="s">
        <v>2478</v>
      </c>
      <c r="C4" s="17" t="s">
        <v>2479</v>
      </c>
      <c r="D4" s="17">
        <v>81.924999999999997</v>
      </c>
      <c r="E4" s="17" t="s">
        <v>4</v>
      </c>
      <c r="F4" s="18" t="s">
        <v>2363</v>
      </c>
    </row>
    <row r="5" spans="1:6" ht="16.5" x14ac:dyDescent="0.25">
      <c r="A5" s="16" t="s">
        <v>2372</v>
      </c>
      <c r="B5" s="17" t="s">
        <v>2478</v>
      </c>
      <c r="C5" s="17" t="s">
        <v>2480</v>
      </c>
      <c r="D5" s="17">
        <v>1.639</v>
      </c>
      <c r="E5" s="17" t="s">
        <v>4</v>
      </c>
      <c r="F5" s="18" t="s">
        <v>2364</v>
      </c>
    </row>
    <row r="6" spans="1:6" ht="16.5" x14ac:dyDescent="0.25">
      <c r="A6" s="16" t="s">
        <v>2372</v>
      </c>
      <c r="B6" s="17" t="s">
        <v>2481</v>
      </c>
      <c r="C6" s="17" t="s">
        <v>2482</v>
      </c>
      <c r="D6" s="17">
        <v>3.5150000000000001</v>
      </c>
      <c r="E6" s="17" t="s">
        <v>4</v>
      </c>
      <c r="F6" s="18" t="s">
        <v>3</v>
      </c>
    </row>
    <row r="7" spans="1:6" ht="16.5" x14ac:dyDescent="0.25">
      <c r="A7" s="101" t="s">
        <v>2483</v>
      </c>
      <c r="B7" s="102"/>
      <c r="C7" s="102"/>
      <c r="D7" s="102"/>
      <c r="E7" s="102"/>
      <c r="F7" s="103"/>
    </row>
    <row r="8" spans="1:6" ht="16.5" x14ac:dyDescent="0.25">
      <c r="A8" s="16">
        <v>1</v>
      </c>
      <c r="B8" s="17" t="s">
        <v>2438</v>
      </c>
      <c r="C8" s="17" t="s">
        <v>2484</v>
      </c>
      <c r="D8" s="17">
        <v>462</v>
      </c>
      <c r="E8" s="17">
        <v>0.39500000000000002</v>
      </c>
      <c r="F8" s="18" t="s">
        <v>2485</v>
      </c>
    </row>
    <row r="9" spans="1:6" ht="16.5" x14ac:dyDescent="0.25">
      <c r="A9" s="16" t="s">
        <v>2372</v>
      </c>
      <c r="B9" s="17" t="s">
        <v>2478</v>
      </c>
      <c r="C9" s="17" t="s">
        <v>2479</v>
      </c>
      <c r="D9" s="17">
        <v>173.55</v>
      </c>
      <c r="E9" s="17" t="s">
        <v>4</v>
      </c>
      <c r="F9" s="18" t="s">
        <v>2363</v>
      </c>
    </row>
    <row r="10" spans="1:6" ht="16.5" x14ac:dyDescent="0.25">
      <c r="A10" s="16" t="s">
        <v>2372</v>
      </c>
      <c r="B10" s="17" t="s">
        <v>2478</v>
      </c>
      <c r="C10" s="17" t="s">
        <v>2480</v>
      </c>
      <c r="D10" s="17">
        <v>3.4710000000000001</v>
      </c>
      <c r="E10" s="17" t="s">
        <v>4</v>
      </c>
      <c r="F10" s="18" t="s">
        <v>2364</v>
      </c>
    </row>
    <row r="11" spans="1:6" ht="16.5" x14ac:dyDescent="0.25">
      <c r="A11" s="16" t="s">
        <v>2372</v>
      </c>
      <c r="B11" s="17" t="s">
        <v>2481</v>
      </c>
      <c r="C11" s="17" t="s">
        <v>2482</v>
      </c>
      <c r="D11" s="17">
        <v>11.34</v>
      </c>
      <c r="E11" s="17" t="s">
        <v>4</v>
      </c>
      <c r="F11" s="18" t="s">
        <v>3</v>
      </c>
    </row>
    <row r="12" spans="1:6" ht="16.5" x14ac:dyDescent="0.25">
      <c r="A12" s="101" t="s">
        <v>2486</v>
      </c>
      <c r="B12" s="102"/>
      <c r="C12" s="102"/>
      <c r="D12" s="102"/>
      <c r="E12" s="102"/>
      <c r="F12" s="103"/>
    </row>
    <row r="13" spans="1:6" ht="16.5" x14ac:dyDescent="0.25">
      <c r="A13" s="16">
        <v>1</v>
      </c>
      <c r="B13" s="17" t="s">
        <v>2438</v>
      </c>
      <c r="C13" s="17" t="s">
        <v>2484</v>
      </c>
      <c r="D13" s="17">
        <v>528.79999999999995</v>
      </c>
      <c r="E13" s="17">
        <v>0.39500000000000002</v>
      </c>
      <c r="F13" s="18" t="s">
        <v>2487</v>
      </c>
    </row>
    <row r="14" spans="1:6" ht="16.5" x14ac:dyDescent="0.25">
      <c r="A14" s="16" t="s">
        <v>2372</v>
      </c>
      <c r="B14" s="17" t="s">
        <v>2478</v>
      </c>
      <c r="C14" s="17" t="s">
        <v>2479</v>
      </c>
      <c r="D14" s="17">
        <v>194.1</v>
      </c>
      <c r="E14" s="17" t="s">
        <v>4</v>
      </c>
      <c r="F14" s="18" t="s">
        <v>2363</v>
      </c>
    </row>
    <row r="15" spans="1:6" ht="16.5" x14ac:dyDescent="0.25">
      <c r="A15" s="16" t="s">
        <v>2372</v>
      </c>
      <c r="B15" s="17" t="s">
        <v>2478</v>
      </c>
      <c r="C15" s="17" t="s">
        <v>2480</v>
      </c>
      <c r="D15" s="17">
        <v>3.8820000000000001</v>
      </c>
      <c r="E15" s="17" t="s">
        <v>4</v>
      </c>
      <c r="F15" s="18" t="s">
        <v>2364</v>
      </c>
    </row>
    <row r="16" spans="1:6" ht="17.25" thickBot="1" x14ac:dyDescent="0.3">
      <c r="A16" s="19" t="s">
        <v>2372</v>
      </c>
      <c r="B16" s="20" t="s">
        <v>2481</v>
      </c>
      <c r="C16" s="20" t="s">
        <v>2482</v>
      </c>
      <c r="D16" s="20">
        <v>14.72</v>
      </c>
      <c r="E16" s="20" t="s">
        <v>4</v>
      </c>
      <c r="F16" s="21" t="s">
        <v>3</v>
      </c>
    </row>
  </sheetData>
  <mergeCells count="3">
    <mergeCell ref="A2:F2"/>
    <mergeCell ref="A7:F7"/>
    <mergeCell ref="A12:F12"/>
  </mergeCells>
  <conditionalFormatting sqref="A1:F16">
    <cfRule type="containsText" dxfId="164" priority="1" stopIfTrue="1" operator="containsText" text="С ЛИСТА">
      <formula>NOT(ISERROR(SEARCH("С ЛИСТА",A1)))</formula>
    </cfRule>
    <cfRule type="containsText" dxfId="163" priority="2" stopIfTrue="1" operator="containsText" text="ИЗ ФАЙЛА">
      <formula>NOT(ISERROR(SEARCH("ИЗ ФАЙЛА",A1)))</formula>
    </cfRule>
    <cfRule type="containsText" dxfId="162" priority="3" stopIfTrue="1" operator="containsText" text="!!!">
      <formula>NOT(ISERROR(SEARCH("!!!",A1)))</formula>
    </cfRule>
    <cfRule type="containsText" dxfId="161" priority="4" stopIfTrue="1" operator="containsText" text=" Изделия ">
      <formula>NOT(ISERROR(SEARCH(" Изделия ",A1)))</formula>
    </cfRule>
    <cfRule type="containsText" dxfId="160" priority="5" stopIfTrue="1" operator="containsText" text=" Прокат ">
      <formula>NOT(ISERROR(SEARCH(" Прокат ",A1)))</formula>
    </cfRule>
    <cfRule type="containsText" dxfId="159" priority="6" stopIfTrue="1" operator="containsText" text=" Сборочные единицы ">
      <formula>NOT(ISERROR(SEARCH(" Сборочные единицы ",A1)))</formula>
    </cfRule>
    <cfRule type="containsText" dxfId="158" priority="7" stopIfTrue="1" operator="containsText" text=" Материалы ">
      <formula>NOT(ISERROR(SEARCH(" Материалы ",A1)))</formula>
    </cfRule>
    <cfRule type="containsText" dxfId="157" priority="8" stopIfTrue="1" operator="containsText" text=", на ">
      <formula>NOT(ISERROR(SEARCH(", на ",A1)))</formula>
    </cfRule>
    <cfRule type="containsText" dxfId="156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14"/>
  <sheetViews>
    <sheetView workbookViewId="0"/>
  </sheetViews>
  <sheetFormatPr defaultRowHeight="15" x14ac:dyDescent="0.25"/>
  <cols>
    <col min="1" max="1" width="8.42578125" style="3" bestFit="1" customWidth="1"/>
    <col min="2" max="2" width="7" style="3" customWidth="1"/>
    <col min="3" max="3" width="45.140625" style="3" customWidth="1"/>
    <col min="4" max="4" width="7" style="3" customWidth="1"/>
    <col min="5" max="6" width="9.5703125" style="3" customWidth="1"/>
    <col min="7" max="16384" width="9.140625" style="3"/>
  </cols>
  <sheetData>
    <row r="1" spans="1:6" ht="49.5" x14ac:dyDescent="0.25">
      <c r="A1" s="22" t="s">
        <v>2457</v>
      </c>
      <c r="B1" s="23" t="s">
        <v>2458</v>
      </c>
      <c r="C1" s="23" t="s">
        <v>2434</v>
      </c>
      <c r="D1" s="23" t="s">
        <v>2459</v>
      </c>
      <c r="E1" s="23" t="s">
        <v>2460</v>
      </c>
      <c r="F1" s="24" t="s">
        <v>2461</v>
      </c>
    </row>
    <row r="2" spans="1:6" ht="16.5" x14ac:dyDescent="0.25">
      <c r="A2" s="101" t="s">
        <v>2510</v>
      </c>
      <c r="B2" s="17">
        <v>1</v>
      </c>
      <c r="C2" s="17" t="s">
        <v>2476</v>
      </c>
      <c r="D2" s="17">
        <v>192.55</v>
      </c>
      <c r="E2" s="17">
        <v>0.15</v>
      </c>
      <c r="F2" s="103" t="s">
        <v>2511</v>
      </c>
    </row>
    <row r="3" spans="1:6" ht="16.5" x14ac:dyDescent="0.25">
      <c r="A3" s="101"/>
      <c r="B3" s="17" t="s">
        <v>2372</v>
      </c>
      <c r="C3" s="17" t="s">
        <v>2512</v>
      </c>
      <c r="D3" s="17">
        <v>81.924999999999997</v>
      </c>
      <c r="E3" s="17" t="s">
        <v>4</v>
      </c>
      <c r="F3" s="103"/>
    </row>
    <row r="4" spans="1:6" ht="16.5" x14ac:dyDescent="0.25">
      <c r="A4" s="101"/>
      <c r="B4" s="17" t="s">
        <v>2372</v>
      </c>
      <c r="C4" s="17" t="s">
        <v>2513</v>
      </c>
      <c r="D4" s="17">
        <v>1.639</v>
      </c>
      <c r="E4" s="17" t="s">
        <v>4</v>
      </c>
      <c r="F4" s="103"/>
    </row>
    <row r="5" spans="1:6" ht="16.5" x14ac:dyDescent="0.25">
      <c r="A5" s="101"/>
      <c r="B5" s="17" t="s">
        <v>2372</v>
      </c>
      <c r="C5" s="17" t="s">
        <v>2514</v>
      </c>
      <c r="D5" s="17">
        <v>3.5150000000000001</v>
      </c>
      <c r="E5" s="17" t="s">
        <v>4</v>
      </c>
      <c r="F5" s="103"/>
    </row>
    <row r="6" spans="1:6" ht="16.5" x14ac:dyDescent="0.25">
      <c r="A6" s="101" t="s">
        <v>2515</v>
      </c>
      <c r="B6" s="17">
        <v>1</v>
      </c>
      <c r="C6" s="17" t="s">
        <v>2484</v>
      </c>
      <c r="D6" s="17">
        <v>462</v>
      </c>
      <c r="E6" s="17">
        <v>0.4</v>
      </c>
      <c r="F6" s="103" t="s">
        <v>2516</v>
      </c>
    </row>
    <row r="7" spans="1:6" ht="16.5" x14ac:dyDescent="0.25">
      <c r="A7" s="101"/>
      <c r="B7" s="17" t="s">
        <v>2372</v>
      </c>
      <c r="C7" s="17" t="s">
        <v>2512</v>
      </c>
      <c r="D7" s="17">
        <v>173.55</v>
      </c>
      <c r="E7" s="17" t="s">
        <v>4</v>
      </c>
      <c r="F7" s="103"/>
    </row>
    <row r="8" spans="1:6" ht="16.5" x14ac:dyDescent="0.25">
      <c r="A8" s="101"/>
      <c r="B8" s="17" t="s">
        <v>2372</v>
      </c>
      <c r="C8" s="17" t="s">
        <v>2513</v>
      </c>
      <c r="D8" s="17">
        <v>3.4710000000000001</v>
      </c>
      <c r="E8" s="17" t="s">
        <v>4</v>
      </c>
      <c r="F8" s="103"/>
    </row>
    <row r="9" spans="1:6" ht="16.5" x14ac:dyDescent="0.25">
      <c r="A9" s="101"/>
      <c r="B9" s="17" t="s">
        <v>2372</v>
      </c>
      <c r="C9" s="17" t="s">
        <v>2514</v>
      </c>
      <c r="D9" s="17">
        <v>11.34</v>
      </c>
      <c r="E9" s="17" t="s">
        <v>4</v>
      </c>
      <c r="F9" s="103"/>
    </row>
    <row r="10" spans="1:6" ht="16.5" x14ac:dyDescent="0.25">
      <c r="A10" s="101" t="s">
        <v>2517</v>
      </c>
      <c r="B10" s="17">
        <v>1</v>
      </c>
      <c r="C10" s="17" t="s">
        <v>2484</v>
      </c>
      <c r="D10" s="17">
        <v>528.79999999999995</v>
      </c>
      <c r="E10" s="17">
        <v>0.4</v>
      </c>
      <c r="F10" s="103" t="s">
        <v>2518</v>
      </c>
    </row>
    <row r="11" spans="1:6" ht="16.5" x14ac:dyDescent="0.25">
      <c r="A11" s="101"/>
      <c r="B11" s="17" t="s">
        <v>2372</v>
      </c>
      <c r="C11" s="17" t="s">
        <v>2512</v>
      </c>
      <c r="D11" s="17">
        <v>194.1</v>
      </c>
      <c r="E11" s="17" t="s">
        <v>4</v>
      </c>
      <c r="F11" s="103"/>
    </row>
    <row r="12" spans="1:6" ht="16.5" x14ac:dyDescent="0.25">
      <c r="A12" s="101"/>
      <c r="B12" s="17" t="s">
        <v>2372</v>
      </c>
      <c r="C12" s="17" t="s">
        <v>2513</v>
      </c>
      <c r="D12" s="17">
        <v>3.8820000000000001</v>
      </c>
      <c r="E12" s="17" t="s">
        <v>4</v>
      </c>
      <c r="F12" s="103"/>
    </row>
    <row r="13" spans="1:6" ht="16.5" x14ac:dyDescent="0.25">
      <c r="A13" s="101"/>
      <c r="B13" s="17" t="s">
        <v>2372</v>
      </c>
      <c r="C13" s="17" t="s">
        <v>2514</v>
      </c>
      <c r="D13" s="17">
        <v>14.72</v>
      </c>
      <c r="E13" s="17" t="s">
        <v>4</v>
      </c>
      <c r="F13" s="103"/>
    </row>
    <row r="14" spans="1:6" ht="17.25" thickBot="1" x14ac:dyDescent="0.3">
      <c r="A14" s="104" t="s">
        <v>2462</v>
      </c>
      <c r="B14" s="105"/>
      <c r="C14" s="105"/>
      <c r="D14" s="105"/>
      <c r="E14" s="105"/>
      <c r="F14" s="106"/>
    </row>
  </sheetData>
  <mergeCells count="7">
    <mergeCell ref="A14:F14"/>
    <mergeCell ref="A2:A5"/>
    <mergeCell ref="F2:F5"/>
    <mergeCell ref="A6:A9"/>
    <mergeCell ref="F6:F9"/>
    <mergeCell ref="A10:A13"/>
    <mergeCell ref="F10:F13"/>
  </mergeCells>
  <conditionalFormatting sqref="A1:F14">
    <cfRule type="containsText" dxfId="146" priority="1" stopIfTrue="1" operator="containsText" text="С ЛИСТА">
      <formula>NOT(ISERROR(SEARCH("С ЛИСТА",A1)))</formula>
    </cfRule>
    <cfRule type="containsText" dxfId="145" priority="2" stopIfTrue="1" operator="containsText" text="ИЗ ФАЙЛА">
      <formula>NOT(ISERROR(SEARCH("ИЗ ФАЙЛА",A1)))</formula>
    </cfRule>
    <cfRule type="containsText" dxfId="144" priority="3" stopIfTrue="1" operator="containsText" text="!!!">
      <formula>NOT(ISERROR(SEARCH("!!!",A1)))</formula>
    </cfRule>
    <cfRule type="containsText" dxfId="143" priority="4" stopIfTrue="1" operator="containsText" text=" Изделия ">
      <formula>NOT(ISERROR(SEARCH(" Изделия ",A1)))</formula>
    </cfRule>
    <cfRule type="containsText" dxfId="142" priority="5" stopIfTrue="1" operator="containsText" text=" Прокат ">
      <formula>NOT(ISERROR(SEARCH(" Прокат ",A1)))</formula>
    </cfRule>
    <cfRule type="containsText" dxfId="141" priority="6" stopIfTrue="1" operator="containsText" text=" Сборочные единицы ">
      <formula>NOT(ISERROR(SEARCH(" Сборочные единицы ",A1)))</formula>
    </cfRule>
    <cfRule type="containsText" dxfId="140" priority="7" stopIfTrue="1" operator="containsText" text=" Материалы ">
      <formula>NOT(ISERROR(SEARCH(" Материалы ",A1)))</formula>
    </cfRule>
    <cfRule type="containsText" dxfId="139" priority="8" stopIfTrue="1" operator="containsText" text=", на ">
      <formula>NOT(ISERROR(SEARCH(", на ",A1)))</formula>
    </cfRule>
    <cfRule type="containsText" dxfId="138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9"/>
  <sheetViews>
    <sheetView workbookViewId="0">
      <selection sqref="A1:A5"/>
    </sheetView>
  </sheetViews>
  <sheetFormatPr defaultRowHeight="15" x14ac:dyDescent="0.25"/>
  <cols>
    <col min="1" max="1" width="16.28515625" style="3" customWidth="1"/>
    <col min="2" max="6" width="8.140625" style="3" customWidth="1"/>
    <col min="7" max="16384" width="9.140625" style="3"/>
  </cols>
  <sheetData>
    <row r="1" spans="1:6" ht="22.7" customHeight="1" x14ac:dyDescent="0.25">
      <c r="A1" s="107" t="s">
        <v>2463</v>
      </c>
      <c r="B1" s="109" t="s">
        <v>2464</v>
      </c>
      <c r="C1" s="109"/>
      <c r="D1" s="109"/>
      <c r="E1" s="109"/>
      <c r="F1" s="108" t="s">
        <v>2465</v>
      </c>
    </row>
    <row r="2" spans="1:6" ht="22.7" customHeight="1" x14ac:dyDescent="0.25">
      <c r="A2" s="101"/>
      <c r="B2" s="102" t="s">
        <v>2466</v>
      </c>
      <c r="C2" s="102"/>
      <c r="D2" s="102"/>
      <c r="E2" s="102" t="s">
        <v>2465</v>
      </c>
      <c r="F2" s="103"/>
    </row>
    <row r="3" spans="1:6" ht="22.7" customHeight="1" x14ac:dyDescent="0.25">
      <c r="A3" s="101"/>
      <c r="B3" s="102" t="s">
        <v>2</v>
      </c>
      <c r="C3" s="102"/>
      <c r="D3" s="102"/>
      <c r="E3" s="102"/>
      <c r="F3" s="103"/>
    </row>
    <row r="4" spans="1:6" ht="22.7" customHeight="1" x14ac:dyDescent="0.25">
      <c r="A4" s="101"/>
      <c r="B4" s="102" t="s">
        <v>2438</v>
      </c>
      <c r="C4" s="102"/>
      <c r="D4" s="102"/>
      <c r="E4" s="102"/>
      <c r="F4" s="103"/>
    </row>
    <row r="5" spans="1:6" ht="22.7" customHeight="1" x14ac:dyDescent="0.25">
      <c r="A5" s="101"/>
      <c r="B5" s="17" t="s">
        <v>2519</v>
      </c>
      <c r="C5" s="17" t="s">
        <v>2520</v>
      </c>
      <c r="D5" s="17" t="s">
        <v>2465</v>
      </c>
      <c r="E5" s="102"/>
      <c r="F5" s="103"/>
    </row>
    <row r="6" spans="1:6" ht="22.7" customHeight="1" x14ac:dyDescent="0.25">
      <c r="A6" s="16" t="s">
        <v>2521</v>
      </c>
      <c r="B6" s="32">
        <v>29.7</v>
      </c>
      <c r="C6" s="32" t="s">
        <v>4</v>
      </c>
      <c r="D6" s="32">
        <v>29.7</v>
      </c>
      <c r="E6" s="32">
        <v>29.7</v>
      </c>
      <c r="F6" s="33">
        <v>29.7</v>
      </c>
    </row>
    <row r="7" spans="1:6" ht="22.7" customHeight="1" x14ac:dyDescent="0.25">
      <c r="A7" s="16" t="s">
        <v>2522</v>
      </c>
      <c r="B7" s="32" t="s">
        <v>4</v>
      </c>
      <c r="C7" s="32">
        <v>182.5</v>
      </c>
      <c r="D7" s="32">
        <v>182.5</v>
      </c>
      <c r="E7" s="32">
        <v>182.5</v>
      </c>
      <c r="F7" s="33">
        <v>182.5</v>
      </c>
    </row>
    <row r="8" spans="1:6" ht="22.7" customHeight="1" x14ac:dyDescent="0.25">
      <c r="A8" s="16" t="s">
        <v>2523</v>
      </c>
      <c r="B8" s="32" t="s">
        <v>4</v>
      </c>
      <c r="C8" s="32">
        <v>208.9</v>
      </c>
      <c r="D8" s="32">
        <v>208.9</v>
      </c>
      <c r="E8" s="32">
        <v>208.9</v>
      </c>
      <c r="F8" s="33">
        <v>208.9</v>
      </c>
    </row>
    <row r="9" spans="1:6" ht="22.7" customHeight="1" thickBot="1" x14ac:dyDescent="0.3">
      <c r="A9" s="25" t="s">
        <v>2524</v>
      </c>
      <c r="B9" s="26">
        <v>29.7</v>
      </c>
      <c r="C9" s="26">
        <v>391.4</v>
      </c>
      <c r="D9" s="26">
        <v>421.1</v>
      </c>
      <c r="E9" s="26">
        <v>421.1</v>
      </c>
      <c r="F9" s="27">
        <v>421.1</v>
      </c>
    </row>
  </sheetData>
  <mergeCells count="7">
    <mergeCell ref="A1:A5"/>
    <mergeCell ref="F1:F5"/>
    <mergeCell ref="B1:E1"/>
    <mergeCell ref="B2:D2"/>
    <mergeCell ref="B3:D3"/>
    <mergeCell ref="B4:D4"/>
    <mergeCell ref="E2:E5"/>
  </mergeCells>
  <conditionalFormatting sqref="A1:F9">
    <cfRule type="containsText" dxfId="137" priority="1" stopIfTrue="1" operator="containsText" text="С ЛИСТА">
      <formula>NOT(ISERROR(SEARCH("С ЛИСТА",A1)))</formula>
    </cfRule>
    <cfRule type="containsText" dxfId="136" priority="2" stopIfTrue="1" operator="containsText" text="ИЗ ФАЙЛА">
      <formula>NOT(ISERROR(SEARCH("ИЗ ФАЙЛА",A1)))</formula>
    </cfRule>
    <cfRule type="containsText" dxfId="135" priority="3" stopIfTrue="1" operator="containsText" text="!!!">
      <formula>NOT(ISERROR(SEARCH("!!!",A1)))</formula>
    </cfRule>
    <cfRule type="containsText" dxfId="134" priority="4" stopIfTrue="1" operator="containsText" text=" Изделия ">
      <formula>NOT(ISERROR(SEARCH(" Изделия ",A1)))</formula>
    </cfRule>
    <cfRule type="containsText" dxfId="133" priority="5" stopIfTrue="1" operator="containsText" text=" Прокат ">
      <formula>NOT(ISERROR(SEARCH(" Прокат ",A1)))</formula>
    </cfRule>
    <cfRule type="containsText" dxfId="132" priority="6" stopIfTrue="1" operator="containsText" text=" Сборочные единицы ">
      <formula>NOT(ISERROR(SEARCH(" Сборочные единицы ",A1)))</formula>
    </cfRule>
    <cfRule type="containsText" dxfId="131" priority="7" stopIfTrue="1" operator="containsText" text=" Материалы ">
      <formula>NOT(ISERROR(SEARCH(" Материалы ",A1)))</formula>
    </cfRule>
    <cfRule type="containsText" dxfId="130" priority="8" stopIfTrue="1" operator="containsText" text=", на ">
      <formula>NOT(ISERROR(SEARCH(", на ",A1)))</formula>
    </cfRule>
    <cfRule type="containsText" dxfId="129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I7"/>
  <sheetViews>
    <sheetView workbookViewId="0">
      <selection sqref="A1:A2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7" width="7.85546875" style="3" customWidth="1"/>
    <col min="8" max="8" width="10.28515625" style="3" customWidth="1"/>
    <col min="9" max="9" width="12.7109375" style="3" customWidth="1"/>
    <col min="10" max="16384" width="9.140625" style="3"/>
  </cols>
  <sheetData>
    <row r="1" spans="1:9" ht="16.5" x14ac:dyDescent="0.25">
      <c r="A1" s="78" t="s">
        <v>2432</v>
      </c>
      <c r="B1" s="72" t="s">
        <v>2433</v>
      </c>
      <c r="C1" s="72" t="s">
        <v>2434</v>
      </c>
      <c r="D1" s="74" t="s">
        <v>2525</v>
      </c>
      <c r="E1" s="75"/>
      <c r="F1" s="76"/>
      <c r="G1" s="72" t="s">
        <v>2465</v>
      </c>
      <c r="H1" s="72" t="s">
        <v>2436</v>
      </c>
      <c r="I1" s="110" t="s">
        <v>2369</v>
      </c>
    </row>
    <row r="2" spans="1:9" ht="16.5" x14ac:dyDescent="0.25">
      <c r="A2" s="79"/>
      <c r="B2" s="73"/>
      <c r="C2" s="73"/>
      <c r="D2" s="17" t="s">
        <v>2503</v>
      </c>
      <c r="E2" s="17" t="s">
        <v>2506</v>
      </c>
      <c r="F2" s="17" t="s">
        <v>2508</v>
      </c>
      <c r="G2" s="73"/>
      <c r="H2" s="73"/>
      <c r="I2" s="111"/>
    </row>
    <row r="3" spans="1:9" ht="16.5" x14ac:dyDescent="0.25">
      <c r="A3" s="16">
        <v>1</v>
      </c>
      <c r="B3" s="17" t="s">
        <v>2438</v>
      </c>
      <c r="C3" s="17" t="s">
        <v>2476</v>
      </c>
      <c r="D3" s="17">
        <v>192.55</v>
      </c>
      <c r="E3" s="17" t="s">
        <v>4</v>
      </c>
      <c r="F3" s="17" t="s">
        <v>4</v>
      </c>
      <c r="G3" s="17">
        <v>192.55</v>
      </c>
      <c r="H3" s="17">
        <v>0.154</v>
      </c>
      <c r="I3" s="18" t="s">
        <v>2477</v>
      </c>
    </row>
    <row r="4" spans="1:9" ht="16.5" x14ac:dyDescent="0.25">
      <c r="A4" s="16">
        <v>1</v>
      </c>
      <c r="B4" s="17" t="s">
        <v>2438</v>
      </c>
      <c r="C4" s="17" t="s">
        <v>2484</v>
      </c>
      <c r="D4" s="17" t="s">
        <v>4</v>
      </c>
      <c r="E4" s="17">
        <v>462</v>
      </c>
      <c r="F4" s="17">
        <v>528.79999999999995</v>
      </c>
      <c r="G4" s="17">
        <v>990.8</v>
      </c>
      <c r="H4" s="17">
        <v>0.39500000000000002</v>
      </c>
      <c r="I4" s="18" t="s">
        <v>2526</v>
      </c>
    </row>
    <row r="5" spans="1:9" ht="16.5" x14ac:dyDescent="0.25">
      <c r="A5" s="16" t="s">
        <v>2372</v>
      </c>
      <c r="B5" s="17" t="s">
        <v>2478</v>
      </c>
      <c r="C5" s="17" t="s">
        <v>2479</v>
      </c>
      <c r="D5" s="17">
        <v>81.924999999999997</v>
      </c>
      <c r="E5" s="17">
        <v>173.55</v>
      </c>
      <c r="F5" s="17">
        <v>194.1</v>
      </c>
      <c r="G5" s="17">
        <v>449.57500000000005</v>
      </c>
      <c r="H5" s="17" t="s">
        <v>4</v>
      </c>
      <c r="I5" s="18" t="s">
        <v>2363</v>
      </c>
    </row>
    <row r="6" spans="1:9" ht="16.5" x14ac:dyDescent="0.25">
      <c r="A6" s="16" t="s">
        <v>2372</v>
      </c>
      <c r="B6" s="17" t="s">
        <v>2478</v>
      </c>
      <c r="C6" s="17" t="s">
        <v>2480</v>
      </c>
      <c r="D6" s="17">
        <v>1.639</v>
      </c>
      <c r="E6" s="17">
        <v>3.4710000000000001</v>
      </c>
      <c r="F6" s="17">
        <v>3.8820000000000001</v>
      </c>
      <c r="G6" s="17">
        <v>8.9920000000000009</v>
      </c>
      <c r="H6" s="17" t="s">
        <v>4</v>
      </c>
      <c r="I6" s="18" t="s">
        <v>2364</v>
      </c>
    </row>
    <row r="7" spans="1:9" ht="17.25" thickBot="1" x14ac:dyDescent="0.3">
      <c r="A7" s="19" t="s">
        <v>2372</v>
      </c>
      <c r="B7" s="20" t="s">
        <v>2481</v>
      </c>
      <c r="C7" s="20" t="s">
        <v>2482</v>
      </c>
      <c r="D7" s="20">
        <v>3.5150000000000001</v>
      </c>
      <c r="E7" s="20">
        <v>11.34</v>
      </c>
      <c r="F7" s="20">
        <v>14.72</v>
      </c>
      <c r="G7" s="20">
        <v>29.575000000000003</v>
      </c>
      <c r="H7" s="20" t="s">
        <v>4</v>
      </c>
      <c r="I7" s="21" t="s">
        <v>3</v>
      </c>
    </row>
  </sheetData>
  <mergeCells count="7">
    <mergeCell ref="I1:I2"/>
    <mergeCell ref="A1:A2"/>
    <mergeCell ref="B1:B2"/>
    <mergeCell ref="C1:C2"/>
    <mergeCell ref="D1:F1"/>
    <mergeCell ref="G1:G2"/>
    <mergeCell ref="H1:H2"/>
  </mergeCells>
  <conditionalFormatting sqref="A1:I7">
    <cfRule type="containsText" dxfId="128" priority="1" stopIfTrue="1" operator="containsText" text="С ЛИСТА">
      <formula>NOT(ISERROR(SEARCH("С ЛИСТА",A1)))</formula>
    </cfRule>
    <cfRule type="containsText" dxfId="127" priority="2" stopIfTrue="1" operator="containsText" text="ИЗ ФАЙЛА">
      <formula>NOT(ISERROR(SEARCH("ИЗ ФАЙЛА",A1)))</formula>
    </cfRule>
    <cfRule type="containsText" dxfId="126" priority="3" stopIfTrue="1" operator="containsText" text="!!!">
      <formula>NOT(ISERROR(SEARCH("!!!",A1)))</formula>
    </cfRule>
    <cfRule type="containsText" dxfId="125" priority="4" stopIfTrue="1" operator="containsText" text=" Изделия ">
      <formula>NOT(ISERROR(SEARCH(" Изделия ",A1)))</formula>
    </cfRule>
    <cfRule type="containsText" dxfId="124" priority="5" stopIfTrue="1" operator="containsText" text=" Прокат ">
      <formula>NOT(ISERROR(SEARCH(" Прокат ",A1)))</formula>
    </cfRule>
    <cfRule type="containsText" dxfId="123" priority="6" stopIfTrue="1" operator="containsText" text=" Сборочные единицы ">
      <formula>NOT(ISERROR(SEARCH(" Сборочные единицы ",A1)))</formula>
    </cfRule>
    <cfRule type="containsText" dxfId="122" priority="7" stopIfTrue="1" operator="containsText" text=" Материалы ">
      <formula>NOT(ISERROR(SEARCH(" Материалы ",A1)))</formula>
    </cfRule>
    <cfRule type="containsText" dxfId="121" priority="8" stopIfTrue="1" operator="containsText" text=", на ">
      <formula>NOT(ISERROR(SEARCH(", на ",A1)))</formula>
    </cfRule>
    <cfRule type="containsText" dxfId="120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M6"/>
  <sheetViews>
    <sheetView workbookViewId="0">
      <selection activeCell="D4" sqref="D4:E4"/>
    </sheetView>
  </sheetViews>
  <sheetFormatPr defaultRowHeight="15" x14ac:dyDescent="0.25"/>
  <cols>
    <col min="1" max="1" width="16.28515625" style="3" customWidth="1"/>
    <col min="2" max="13" width="8.140625" style="3" customWidth="1"/>
    <col min="14" max="16384" width="9.140625" style="3"/>
  </cols>
  <sheetData>
    <row r="1" spans="1:13" ht="22.7" customHeight="1" x14ac:dyDescent="0.25">
      <c r="A1" s="107" t="s">
        <v>2463</v>
      </c>
      <c r="B1" s="109" t="s">
        <v>2464</v>
      </c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8" t="s">
        <v>2465</v>
      </c>
    </row>
    <row r="2" spans="1:13" ht="22.7" customHeight="1" x14ac:dyDescent="0.25">
      <c r="A2" s="101"/>
      <c r="B2" s="102" t="s">
        <v>2466</v>
      </c>
      <c r="C2" s="102"/>
      <c r="D2" s="102"/>
      <c r="E2" s="102"/>
      <c r="F2" s="102"/>
      <c r="G2" s="102"/>
      <c r="H2" s="102" t="s">
        <v>2467</v>
      </c>
      <c r="I2" s="102"/>
      <c r="J2" s="102"/>
      <c r="K2" s="102"/>
      <c r="L2" s="102" t="s">
        <v>2465</v>
      </c>
      <c r="M2" s="103"/>
    </row>
    <row r="3" spans="1:13" ht="22.7" customHeight="1" x14ac:dyDescent="0.25">
      <c r="A3" s="101"/>
      <c r="B3" s="102" t="s">
        <v>2</v>
      </c>
      <c r="C3" s="102"/>
      <c r="D3" s="102" t="s">
        <v>1</v>
      </c>
      <c r="E3" s="102"/>
      <c r="F3" s="102" t="s">
        <v>2349</v>
      </c>
      <c r="G3" s="102"/>
      <c r="H3" s="102" t="s">
        <v>2468</v>
      </c>
      <c r="I3" s="102"/>
      <c r="J3" s="102"/>
      <c r="K3" s="102"/>
      <c r="L3" s="102"/>
      <c r="M3" s="103"/>
    </row>
    <row r="4" spans="1:13" ht="22.7" customHeight="1" x14ac:dyDescent="0.25">
      <c r="A4" s="101"/>
      <c r="B4" s="102" t="s">
        <v>2438</v>
      </c>
      <c r="C4" s="102"/>
      <c r="D4" s="102" t="s">
        <v>2442</v>
      </c>
      <c r="E4" s="102"/>
      <c r="F4" s="102" t="s">
        <v>2469</v>
      </c>
      <c r="G4" s="102"/>
      <c r="H4" s="102" t="s">
        <v>2470</v>
      </c>
      <c r="I4" s="102"/>
      <c r="J4" s="102" t="s">
        <v>2471</v>
      </c>
      <c r="K4" s="102"/>
      <c r="L4" s="102"/>
      <c r="M4" s="103"/>
    </row>
    <row r="5" spans="1:13" ht="22.7" customHeight="1" x14ac:dyDescent="0.25">
      <c r="A5" s="101"/>
      <c r="B5" s="17" t="s">
        <v>2472</v>
      </c>
      <c r="C5" s="17" t="s">
        <v>2465</v>
      </c>
      <c r="D5" s="17" t="s">
        <v>2472</v>
      </c>
      <c r="E5" s="17" t="s">
        <v>2465</v>
      </c>
      <c r="F5" s="17" t="s">
        <v>2473</v>
      </c>
      <c r="G5" s="17" t="s">
        <v>2465</v>
      </c>
      <c r="H5" s="17" t="s">
        <v>2331</v>
      </c>
      <c r="I5" s="17" t="s">
        <v>2465</v>
      </c>
      <c r="J5" s="17" t="s">
        <v>2325</v>
      </c>
      <c r="K5" s="17" t="s">
        <v>2465</v>
      </c>
      <c r="L5" s="102"/>
      <c r="M5" s="103"/>
    </row>
    <row r="6" spans="1:13" ht="22.7" customHeight="1" thickBot="1" x14ac:dyDescent="0.3">
      <c r="A6" s="25" t="s">
        <v>2437</v>
      </c>
      <c r="B6" s="26">
        <v>57.9</v>
      </c>
      <c r="C6" s="26">
        <v>57.9</v>
      </c>
      <c r="D6" s="26">
        <v>17.3</v>
      </c>
      <c r="E6" s="26">
        <v>17.3</v>
      </c>
      <c r="F6" s="26">
        <v>67.3</v>
      </c>
      <c r="G6" s="26">
        <v>67.3</v>
      </c>
      <c r="H6" s="26">
        <v>1.4</v>
      </c>
      <c r="I6" s="26">
        <v>1.4</v>
      </c>
      <c r="J6" s="26">
        <v>21</v>
      </c>
      <c r="K6" s="26">
        <v>21</v>
      </c>
      <c r="L6" s="26">
        <v>164.9</v>
      </c>
      <c r="M6" s="27">
        <v>164.9</v>
      </c>
    </row>
  </sheetData>
  <mergeCells count="15">
    <mergeCell ref="A1:A5"/>
    <mergeCell ref="M1:M5"/>
    <mergeCell ref="B1:L1"/>
    <mergeCell ref="B2:G2"/>
    <mergeCell ref="H2:K2"/>
    <mergeCell ref="B3:C3"/>
    <mergeCell ref="D3:E3"/>
    <mergeCell ref="F3:G3"/>
    <mergeCell ref="H3:K3"/>
    <mergeCell ref="B4:C4"/>
    <mergeCell ref="D4:E4"/>
    <mergeCell ref="F4:G4"/>
    <mergeCell ref="H4:I4"/>
    <mergeCell ref="J4:K4"/>
    <mergeCell ref="L2:L5"/>
  </mergeCells>
  <conditionalFormatting sqref="A1:M6">
    <cfRule type="containsText" dxfId="119" priority="1" stopIfTrue="1" operator="containsText" text="С ЛИСТА">
      <formula>NOT(ISERROR(SEARCH("С ЛИСТА",A1)))</formula>
    </cfRule>
    <cfRule type="containsText" dxfId="118" priority="2" stopIfTrue="1" operator="containsText" text="ИЗ ФАЙЛА">
      <formula>NOT(ISERROR(SEARCH("ИЗ ФАЙЛА",A1)))</formula>
    </cfRule>
    <cfRule type="containsText" dxfId="117" priority="3" stopIfTrue="1" operator="containsText" text="!!!">
      <formula>NOT(ISERROR(SEARCH("!!!",A1)))</formula>
    </cfRule>
    <cfRule type="containsText" dxfId="116" priority="4" stopIfTrue="1" operator="containsText" text=" Изделия ">
      <formula>NOT(ISERROR(SEARCH(" Изделия ",A1)))</formula>
    </cfRule>
    <cfRule type="containsText" dxfId="115" priority="5" stopIfTrue="1" operator="containsText" text=" Прокат ">
      <formula>NOT(ISERROR(SEARCH(" Прокат ",A1)))</formula>
    </cfRule>
    <cfRule type="containsText" dxfId="114" priority="6" stopIfTrue="1" operator="containsText" text=" Сборочные единицы ">
      <formula>NOT(ISERROR(SEARCH(" Сборочные единицы ",A1)))</formula>
    </cfRule>
    <cfRule type="containsText" dxfId="113" priority="7" stopIfTrue="1" operator="containsText" text=" Материалы ">
      <formula>NOT(ISERROR(SEARCH(" Материалы ",A1)))</formula>
    </cfRule>
    <cfRule type="containsText" dxfId="112" priority="8" stopIfTrue="1" operator="containsText" text=", на ">
      <formula>NOT(ISERROR(SEARCH(", на ",A1)))</formula>
    </cfRule>
    <cfRule type="containsText" dxfId="111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000000"/>
  </sheetPr>
  <dimension ref="A1:F9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01" t="s">
        <v>2437</v>
      </c>
      <c r="B2" s="102"/>
      <c r="C2" s="102"/>
      <c r="D2" s="102"/>
      <c r="E2" s="102"/>
      <c r="F2" s="103"/>
    </row>
    <row r="3" spans="1:6" ht="16.5" x14ac:dyDescent="0.25">
      <c r="A3" s="16">
        <v>1</v>
      </c>
      <c r="B3" s="17" t="s">
        <v>2438</v>
      </c>
      <c r="C3" s="17" t="s">
        <v>2439</v>
      </c>
      <c r="D3" s="17">
        <v>261</v>
      </c>
      <c r="E3" s="17">
        <v>0.222</v>
      </c>
      <c r="F3" s="18" t="s">
        <v>2440</v>
      </c>
    </row>
    <row r="4" spans="1:6" ht="16.5" x14ac:dyDescent="0.25">
      <c r="A4" s="16" t="s">
        <v>2441</v>
      </c>
      <c r="B4" s="17" t="s">
        <v>2442</v>
      </c>
      <c r="C4" s="17" t="s">
        <v>2443</v>
      </c>
      <c r="D4" s="17">
        <v>79</v>
      </c>
      <c r="E4" s="17">
        <v>0.15</v>
      </c>
      <c r="F4" s="18" t="s">
        <v>2444</v>
      </c>
    </row>
    <row r="5" spans="1:6" ht="33" x14ac:dyDescent="0.25">
      <c r="A5" s="16" t="s">
        <v>2372</v>
      </c>
      <c r="B5" s="17" t="s">
        <v>2445</v>
      </c>
      <c r="C5" s="17" t="s">
        <v>2446</v>
      </c>
      <c r="D5" s="17">
        <v>12.65</v>
      </c>
      <c r="E5" s="17" t="s">
        <v>4</v>
      </c>
      <c r="F5" s="18" t="s">
        <v>2362</v>
      </c>
    </row>
    <row r="6" spans="1:6" ht="33" x14ac:dyDescent="0.25">
      <c r="A6" s="16" t="s">
        <v>2372</v>
      </c>
      <c r="B6" s="17" t="s">
        <v>2372</v>
      </c>
      <c r="C6" s="17" t="s">
        <v>2447</v>
      </c>
      <c r="D6" s="17">
        <v>25.298999999999999</v>
      </c>
      <c r="E6" s="17" t="s">
        <v>4</v>
      </c>
      <c r="F6" s="18" t="s">
        <v>2362</v>
      </c>
    </row>
    <row r="7" spans="1:6" ht="16.5" x14ac:dyDescent="0.25">
      <c r="A7" s="16" t="s">
        <v>2448</v>
      </c>
      <c r="B7" s="17" t="s">
        <v>2372</v>
      </c>
      <c r="C7" s="17" t="s">
        <v>2449</v>
      </c>
      <c r="D7" s="17">
        <v>36</v>
      </c>
      <c r="E7" s="17">
        <v>0.64</v>
      </c>
      <c r="F7" s="18" t="s">
        <v>2450</v>
      </c>
    </row>
    <row r="8" spans="1:6" ht="33" x14ac:dyDescent="0.25">
      <c r="A8" s="16" t="s">
        <v>2451</v>
      </c>
      <c r="B8" s="17" t="s">
        <v>2372</v>
      </c>
      <c r="C8" s="17" t="s">
        <v>2452</v>
      </c>
      <c r="D8" s="17">
        <v>12</v>
      </c>
      <c r="E8" s="17">
        <v>0.53999999999999992</v>
      </c>
      <c r="F8" s="18" t="s">
        <v>2453</v>
      </c>
    </row>
    <row r="9" spans="1:6" ht="17.25" thickBot="1" x14ac:dyDescent="0.3">
      <c r="A9" s="19" t="s">
        <v>2454</v>
      </c>
      <c r="B9" s="20" t="s">
        <v>2372</v>
      </c>
      <c r="C9" s="20" t="s">
        <v>2455</v>
      </c>
      <c r="D9" s="20">
        <v>6</v>
      </c>
      <c r="E9" s="20">
        <v>11.450000000000001</v>
      </c>
      <c r="F9" s="21" t="s">
        <v>2456</v>
      </c>
    </row>
  </sheetData>
  <mergeCells count="1">
    <mergeCell ref="A2:F2"/>
  </mergeCells>
  <conditionalFormatting sqref="A1:F9">
    <cfRule type="containsText" dxfId="110" priority="1" stopIfTrue="1" operator="containsText" text="С ЛИСТА">
      <formula>NOT(ISERROR(SEARCH("С ЛИСТА",A1)))</formula>
    </cfRule>
    <cfRule type="containsText" dxfId="109" priority="2" stopIfTrue="1" operator="containsText" text="ИЗ ФАЙЛА">
      <formula>NOT(ISERROR(SEARCH("ИЗ ФАЙЛА",A1)))</formula>
    </cfRule>
    <cfRule type="containsText" dxfId="108" priority="3" stopIfTrue="1" operator="containsText" text="!!!">
      <formula>NOT(ISERROR(SEARCH("!!!",A1)))</formula>
    </cfRule>
    <cfRule type="containsText" dxfId="107" priority="4" stopIfTrue="1" operator="containsText" text=" Изделия ">
      <formula>NOT(ISERROR(SEARCH(" Изделия ",A1)))</formula>
    </cfRule>
    <cfRule type="containsText" dxfId="106" priority="5" stopIfTrue="1" operator="containsText" text=" Прокат ">
      <formula>NOT(ISERROR(SEARCH(" Прокат ",A1)))</formula>
    </cfRule>
    <cfRule type="containsText" dxfId="105" priority="6" stopIfTrue="1" operator="containsText" text=" Сборочные единицы ">
      <formula>NOT(ISERROR(SEARCH(" Сборочные единицы ",A1)))</formula>
    </cfRule>
    <cfRule type="containsText" dxfId="104" priority="7" stopIfTrue="1" operator="containsText" text=" Материалы ">
      <formula>NOT(ISERROR(SEARCH(" Материалы ",A1)))</formula>
    </cfRule>
    <cfRule type="containsText" dxfId="103" priority="8" stopIfTrue="1" operator="containsText" text=", на ">
      <formula>NOT(ISERROR(SEARCH(", на ",A1)))</formula>
    </cfRule>
    <cfRule type="containsText" dxfId="102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0000"/>
  </sheetPr>
  <dimension ref="A1:F16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01" t="s">
        <v>2560</v>
      </c>
      <c r="B2" s="102"/>
      <c r="C2" s="102"/>
      <c r="D2" s="102"/>
      <c r="E2" s="102"/>
      <c r="F2" s="103"/>
    </row>
    <row r="3" spans="1:6" ht="16.5" x14ac:dyDescent="0.25">
      <c r="A3" s="16">
        <v>1</v>
      </c>
      <c r="B3" s="17" t="s">
        <v>2438</v>
      </c>
      <c r="C3" s="17" t="s">
        <v>2561</v>
      </c>
      <c r="D3" s="17">
        <v>815.86</v>
      </c>
      <c r="E3" s="17">
        <v>0.88800000000000001</v>
      </c>
      <c r="F3" s="18" t="s">
        <v>2562</v>
      </c>
    </row>
    <row r="4" spans="1:6" ht="16.5" x14ac:dyDescent="0.25">
      <c r="A4" s="16">
        <v>2</v>
      </c>
      <c r="B4" s="17" t="s">
        <v>2438</v>
      </c>
      <c r="C4" s="17" t="s">
        <v>2576</v>
      </c>
      <c r="D4" s="17">
        <v>328.85999999999996</v>
      </c>
      <c r="E4" s="17">
        <v>1.998</v>
      </c>
      <c r="F4" s="18" t="s">
        <v>2563</v>
      </c>
    </row>
    <row r="5" spans="1:6" ht="16.5" x14ac:dyDescent="0.25">
      <c r="A5" s="16">
        <v>3</v>
      </c>
      <c r="B5" s="17" t="s">
        <v>2438</v>
      </c>
      <c r="C5" s="17" t="s">
        <v>2561</v>
      </c>
      <c r="D5" s="17">
        <v>103.60000000000001</v>
      </c>
      <c r="E5" s="17">
        <v>0.88800000000000001</v>
      </c>
      <c r="F5" s="18" t="s">
        <v>2564</v>
      </c>
    </row>
    <row r="6" spans="1:6" ht="16.5" x14ac:dyDescent="0.25">
      <c r="A6" s="16">
        <v>4</v>
      </c>
      <c r="B6" s="17" t="s">
        <v>2438</v>
      </c>
      <c r="C6" s="17" t="s">
        <v>2576</v>
      </c>
      <c r="D6" s="17">
        <v>1406.16</v>
      </c>
      <c r="E6" s="17">
        <v>1.998</v>
      </c>
      <c r="F6" s="18" t="s">
        <v>2565</v>
      </c>
    </row>
    <row r="7" spans="1:6" ht="16.5" x14ac:dyDescent="0.25">
      <c r="A7" s="16">
        <v>5</v>
      </c>
      <c r="B7" s="17" t="s">
        <v>2442</v>
      </c>
      <c r="C7" s="17" t="s">
        <v>2577</v>
      </c>
      <c r="D7" s="17">
        <v>231.70999999999998</v>
      </c>
      <c r="E7" s="17">
        <v>0.222</v>
      </c>
      <c r="F7" s="18" t="s">
        <v>2566</v>
      </c>
    </row>
    <row r="8" spans="1:6" ht="16.5" x14ac:dyDescent="0.25">
      <c r="A8" s="16">
        <v>6</v>
      </c>
      <c r="B8" s="17" t="s">
        <v>2438</v>
      </c>
      <c r="C8" s="17" t="s">
        <v>2576</v>
      </c>
      <c r="D8" s="17">
        <v>1398.6</v>
      </c>
      <c r="E8" s="17">
        <v>1.998</v>
      </c>
      <c r="F8" s="18" t="s">
        <v>2567</v>
      </c>
    </row>
    <row r="9" spans="1:6" ht="16.5" x14ac:dyDescent="0.25">
      <c r="A9" s="16">
        <v>7</v>
      </c>
      <c r="B9" s="17" t="s">
        <v>2438</v>
      </c>
      <c r="C9" s="17" t="s">
        <v>2568</v>
      </c>
      <c r="D9" s="17">
        <v>423.49</v>
      </c>
      <c r="E9" s="17">
        <v>1.5780000000000001</v>
      </c>
      <c r="F9" s="18" t="s">
        <v>2569</v>
      </c>
    </row>
    <row r="10" spans="1:6" ht="16.5" x14ac:dyDescent="0.25">
      <c r="A10" s="16">
        <v>8</v>
      </c>
      <c r="B10" s="17" t="s">
        <v>2438</v>
      </c>
      <c r="C10" s="17" t="s">
        <v>2576</v>
      </c>
      <c r="D10" s="17">
        <v>670.32</v>
      </c>
      <c r="E10" s="17">
        <v>1.998</v>
      </c>
      <c r="F10" s="18" t="s">
        <v>2570</v>
      </c>
    </row>
    <row r="11" spans="1:6" ht="16.5" x14ac:dyDescent="0.25">
      <c r="A11" s="16">
        <v>9</v>
      </c>
      <c r="B11" s="17" t="s">
        <v>2438</v>
      </c>
      <c r="C11" s="17" t="s">
        <v>2568</v>
      </c>
      <c r="D11" s="17">
        <v>134.4</v>
      </c>
      <c r="E11" s="17">
        <v>1.5780000000000001</v>
      </c>
      <c r="F11" s="18" t="s">
        <v>2571</v>
      </c>
    </row>
    <row r="12" spans="1:6" ht="16.5" x14ac:dyDescent="0.25">
      <c r="A12" s="16">
        <v>10</v>
      </c>
      <c r="B12" s="17" t="s">
        <v>2438</v>
      </c>
      <c r="C12" s="17" t="s">
        <v>2576</v>
      </c>
      <c r="D12" s="17">
        <v>415.79999999999995</v>
      </c>
      <c r="E12" s="17">
        <v>1.998</v>
      </c>
      <c r="F12" s="18" t="s">
        <v>2572</v>
      </c>
    </row>
    <row r="13" spans="1:6" ht="16.5" x14ac:dyDescent="0.25">
      <c r="A13" s="16">
        <v>11</v>
      </c>
      <c r="B13" s="17" t="s">
        <v>2438</v>
      </c>
      <c r="C13" s="17" t="s">
        <v>2576</v>
      </c>
      <c r="D13" s="17">
        <v>269.64000000000004</v>
      </c>
      <c r="E13" s="17">
        <v>1.998</v>
      </c>
      <c r="F13" s="18" t="s">
        <v>2573</v>
      </c>
    </row>
    <row r="14" spans="1:6" ht="16.5" x14ac:dyDescent="0.25">
      <c r="A14" s="16">
        <v>12</v>
      </c>
      <c r="B14" s="17" t="s">
        <v>2438</v>
      </c>
      <c r="C14" s="17" t="s">
        <v>2561</v>
      </c>
      <c r="D14" s="17">
        <v>87.36</v>
      </c>
      <c r="E14" s="17">
        <v>0.88800000000000001</v>
      </c>
      <c r="F14" s="18" t="s">
        <v>2574</v>
      </c>
    </row>
    <row r="15" spans="1:6" ht="16.5" x14ac:dyDescent="0.25">
      <c r="A15" s="16" t="s">
        <v>2372</v>
      </c>
      <c r="B15" s="17" t="s">
        <v>2554</v>
      </c>
      <c r="C15" s="17" t="s">
        <v>2555</v>
      </c>
      <c r="D15" s="17">
        <v>59.9</v>
      </c>
      <c r="E15" s="17" t="s">
        <v>4</v>
      </c>
      <c r="F15" s="18" t="s">
        <v>3</v>
      </c>
    </row>
    <row r="16" spans="1:6" ht="17.25" thickBot="1" x14ac:dyDescent="0.3">
      <c r="A16" s="19" t="s">
        <v>2556</v>
      </c>
      <c r="B16" s="20" t="s">
        <v>2372</v>
      </c>
      <c r="C16" s="20" t="s">
        <v>2557</v>
      </c>
      <c r="D16" s="20">
        <v>79</v>
      </c>
      <c r="E16" s="20">
        <v>2.46</v>
      </c>
      <c r="F16" s="21" t="s">
        <v>2575</v>
      </c>
    </row>
  </sheetData>
  <mergeCells count="1">
    <mergeCell ref="A2:F2"/>
  </mergeCells>
  <conditionalFormatting sqref="A1:F16">
    <cfRule type="containsText" dxfId="101" priority="1" stopIfTrue="1" operator="containsText" text="С ЛИСТА">
      <formula>NOT(ISERROR(SEARCH("С ЛИСТА",A1)))</formula>
    </cfRule>
    <cfRule type="containsText" dxfId="100" priority="2" stopIfTrue="1" operator="containsText" text="ИЗ ФАЙЛА">
      <formula>NOT(ISERROR(SEARCH("ИЗ ФАЙЛА",A1)))</formula>
    </cfRule>
    <cfRule type="containsText" dxfId="99" priority="3" stopIfTrue="1" operator="containsText" text="!!!">
      <formula>NOT(ISERROR(SEARCH("!!!",A1)))</formula>
    </cfRule>
    <cfRule type="containsText" dxfId="98" priority="4" stopIfTrue="1" operator="containsText" text=" Изделия ">
      <formula>NOT(ISERROR(SEARCH(" Изделия ",A1)))</formula>
    </cfRule>
    <cfRule type="containsText" dxfId="97" priority="5" stopIfTrue="1" operator="containsText" text=" Прокат ">
      <formula>NOT(ISERROR(SEARCH(" Прокат ",A1)))</formula>
    </cfRule>
    <cfRule type="containsText" dxfId="96" priority="6" stopIfTrue="1" operator="containsText" text=" Сборочные единицы ">
      <formula>NOT(ISERROR(SEARCH(" Сборочные единицы ",A1)))</formula>
    </cfRule>
    <cfRule type="containsText" dxfId="95" priority="7" stopIfTrue="1" operator="containsText" text=" Материалы ">
      <formula>NOT(ISERROR(SEARCH(" Материалы ",A1)))</formula>
    </cfRule>
    <cfRule type="containsText" dxfId="94" priority="8" stopIfTrue="1" operator="containsText" text=", на ">
      <formula>NOT(ISERROR(SEARCH(", на ",A1)))</formula>
    </cfRule>
    <cfRule type="containsText" dxfId="93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/>
  </sheetPr>
  <dimension ref="A1:J6"/>
  <sheetViews>
    <sheetView workbookViewId="0">
      <selection activeCell="P17" sqref="P17"/>
    </sheetView>
  </sheetViews>
  <sheetFormatPr defaultRowHeight="15" x14ac:dyDescent="0.25"/>
  <cols>
    <col min="1" max="1" width="16.28515625" style="3" customWidth="1"/>
    <col min="2" max="10" width="8.140625" style="3" customWidth="1"/>
    <col min="11" max="16384" width="9.140625" style="3"/>
  </cols>
  <sheetData>
    <row r="1" spans="1:10" ht="22.7" customHeight="1" x14ac:dyDescent="0.25">
      <c r="A1" s="107" t="s">
        <v>2463</v>
      </c>
      <c r="B1" s="109" t="s">
        <v>2464</v>
      </c>
      <c r="C1" s="109"/>
      <c r="D1" s="109"/>
      <c r="E1" s="109"/>
      <c r="F1" s="109"/>
      <c r="G1" s="109"/>
      <c r="H1" s="109"/>
      <c r="I1" s="109"/>
      <c r="J1" s="108" t="s">
        <v>2465</v>
      </c>
    </row>
    <row r="2" spans="1:10" ht="22.7" customHeight="1" x14ac:dyDescent="0.25">
      <c r="A2" s="101"/>
      <c r="B2" s="102" t="s">
        <v>2466</v>
      </c>
      <c r="C2" s="102"/>
      <c r="D2" s="102"/>
      <c r="E2" s="102"/>
      <c r="F2" s="102"/>
      <c r="G2" s="102"/>
      <c r="H2" s="102"/>
      <c r="I2" s="102" t="s">
        <v>2465</v>
      </c>
      <c r="J2" s="103"/>
    </row>
    <row r="3" spans="1:10" ht="22.7" customHeight="1" x14ac:dyDescent="0.25">
      <c r="A3" s="101"/>
      <c r="B3" s="102" t="s">
        <v>2</v>
      </c>
      <c r="C3" s="102"/>
      <c r="D3" s="102"/>
      <c r="E3" s="102"/>
      <c r="F3" s="102" t="s">
        <v>1</v>
      </c>
      <c r="G3" s="102"/>
      <c r="H3" s="102"/>
      <c r="I3" s="102"/>
      <c r="J3" s="103"/>
    </row>
    <row r="4" spans="1:10" ht="22.7" customHeight="1" x14ac:dyDescent="0.25">
      <c r="A4" s="101"/>
      <c r="B4" s="102" t="s">
        <v>2438</v>
      </c>
      <c r="C4" s="102"/>
      <c r="D4" s="102"/>
      <c r="E4" s="102"/>
      <c r="F4" s="102" t="s">
        <v>2442</v>
      </c>
      <c r="G4" s="102"/>
      <c r="H4" s="102"/>
      <c r="I4" s="102"/>
      <c r="J4" s="103"/>
    </row>
    <row r="5" spans="1:10" ht="22.7" customHeight="1" x14ac:dyDescent="0.25">
      <c r="A5" s="101"/>
      <c r="B5" s="17" t="s">
        <v>2578</v>
      </c>
      <c r="C5" s="17" t="s">
        <v>2579</v>
      </c>
      <c r="D5" s="17" t="s">
        <v>2580</v>
      </c>
      <c r="E5" s="17" t="s">
        <v>2465</v>
      </c>
      <c r="F5" s="17" t="s">
        <v>2472</v>
      </c>
      <c r="G5" s="17" t="s">
        <v>2520</v>
      </c>
      <c r="H5" s="17" t="s">
        <v>2465</v>
      </c>
      <c r="I5" s="102"/>
      <c r="J5" s="103"/>
    </row>
    <row r="6" spans="1:10" ht="22.7" customHeight="1" thickBot="1" x14ac:dyDescent="0.3">
      <c r="A6" s="25" t="s">
        <v>2581</v>
      </c>
      <c r="B6" s="26">
        <v>894.1</v>
      </c>
      <c r="C6" s="26">
        <v>880.4</v>
      </c>
      <c r="D6" s="26">
        <v>8967.2999999999993</v>
      </c>
      <c r="E6" s="26">
        <v>10741.7</v>
      </c>
      <c r="F6" s="26">
        <v>51.4</v>
      </c>
      <c r="G6" s="26">
        <v>190.8</v>
      </c>
      <c r="H6" s="26">
        <v>242.3</v>
      </c>
      <c r="I6" s="26">
        <v>10983.9</v>
      </c>
      <c r="J6" s="27">
        <v>10983.9</v>
      </c>
    </row>
  </sheetData>
  <mergeCells count="9">
    <mergeCell ref="A1:A5"/>
    <mergeCell ref="J1:J5"/>
    <mergeCell ref="B1:I1"/>
    <mergeCell ref="B2:H2"/>
    <mergeCell ref="B3:E3"/>
    <mergeCell ref="F3:H3"/>
    <mergeCell ref="B4:E4"/>
    <mergeCell ref="F4:H4"/>
    <mergeCell ref="I2:I5"/>
  </mergeCells>
  <conditionalFormatting sqref="A1:J6">
    <cfRule type="containsText" dxfId="92" priority="1" stopIfTrue="1" operator="containsText" text="С ЛИСТА">
      <formula>NOT(ISERROR(SEARCH("С ЛИСТА",A1)))</formula>
    </cfRule>
    <cfRule type="containsText" dxfId="91" priority="2" stopIfTrue="1" operator="containsText" text="ИЗ ФАЙЛА">
      <formula>NOT(ISERROR(SEARCH("ИЗ ФАЙЛА",A1)))</formula>
    </cfRule>
    <cfRule type="containsText" dxfId="90" priority="3" stopIfTrue="1" operator="containsText" text="!!!">
      <formula>NOT(ISERROR(SEARCH("!!!",A1)))</formula>
    </cfRule>
    <cfRule type="containsText" dxfId="89" priority="4" stopIfTrue="1" operator="containsText" text=" Изделия ">
      <formula>NOT(ISERROR(SEARCH(" Изделия ",A1)))</formula>
    </cfRule>
    <cfRule type="containsText" dxfId="88" priority="5" stopIfTrue="1" operator="containsText" text=" Прокат ">
      <formula>NOT(ISERROR(SEARCH(" Прокат ",A1)))</formula>
    </cfRule>
    <cfRule type="containsText" dxfId="87" priority="6" stopIfTrue="1" operator="containsText" text=" Сборочные единицы ">
      <formula>NOT(ISERROR(SEARCH(" Сборочные единицы ",A1)))</formula>
    </cfRule>
    <cfRule type="containsText" dxfId="86" priority="7" stopIfTrue="1" operator="containsText" text=" Материалы ">
      <formula>NOT(ISERROR(SEARCH(" Материалы ",A1)))</formula>
    </cfRule>
    <cfRule type="containsText" dxfId="85" priority="8" stopIfTrue="1" operator="containsText" text=", на ">
      <formula>NOT(ISERROR(SEARCH(", на ",A1)))</formula>
    </cfRule>
    <cfRule type="containsText" dxfId="84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/>
    <pageSetUpPr fitToPage="1"/>
  </sheetPr>
  <dimension ref="A1:I52"/>
  <sheetViews>
    <sheetView tabSelected="1" topLeftCell="A19" workbookViewId="0">
      <selection activeCell="O36" sqref="O36"/>
    </sheetView>
  </sheetViews>
  <sheetFormatPr defaultRowHeight="15" x14ac:dyDescent="0.25"/>
  <cols>
    <col min="1" max="3" width="15.7109375" style="3" customWidth="1"/>
    <col min="4" max="4" width="5.7109375" style="3" customWidth="1"/>
    <col min="5" max="8" width="8.28515625" style="3" customWidth="1"/>
    <col min="9" max="9" width="13.28515625" style="3" customWidth="1"/>
    <col min="10" max="16384" width="9.140625" style="3"/>
  </cols>
  <sheetData>
    <row r="1" spans="1:9" ht="42.6" customHeight="1" x14ac:dyDescent="0.25">
      <c r="A1" s="107" t="s">
        <v>2623</v>
      </c>
      <c r="B1" s="109" t="s">
        <v>2624</v>
      </c>
      <c r="C1" s="109" t="s">
        <v>2625</v>
      </c>
      <c r="D1" s="109" t="s">
        <v>2626</v>
      </c>
      <c r="E1" s="109" t="s">
        <v>2627</v>
      </c>
      <c r="F1" s="109"/>
      <c r="G1" s="109"/>
      <c r="H1" s="109"/>
      <c r="I1" s="108" t="s">
        <v>2628</v>
      </c>
    </row>
    <row r="2" spans="1:9" ht="42.6" customHeight="1" x14ac:dyDescent="0.25">
      <c r="A2" s="101"/>
      <c r="B2" s="102"/>
      <c r="C2" s="102"/>
      <c r="D2" s="102"/>
      <c r="E2" s="49" t="s">
        <v>2629</v>
      </c>
      <c r="F2" s="49" t="s">
        <v>2630</v>
      </c>
      <c r="G2" s="49" t="s">
        <v>2631</v>
      </c>
      <c r="H2" s="49" t="s">
        <v>2632</v>
      </c>
      <c r="I2" s="103"/>
    </row>
    <row r="3" spans="1:9" ht="11.45" customHeight="1" x14ac:dyDescent="0.25">
      <c r="A3" s="48">
        <v>1</v>
      </c>
      <c r="B3" s="49">
        <v>2</v>
      </c>
      <c r="C3" s="49">
        <v>3</v>
      </c>
      <c r="D3" s="49">
        <v>4</v>
      </c>
      <c r="E3" s="49">
        <v>5</v>
      </c>
      <c r="F3" s="49">
        <v>6</v>
      </c>
      <c r="G3" s="49">
        <v>7</v>
      </c>
      <c r="H3" s="49">
        <v>8</v>
      </c>
      <c r="I3" s="50">
        <v>9</v>
      </c>
    </row>
    <row r="4" spans="1:9" ht="16.5" x14ac:dyDescent="0.25">
      <c r="A4" s="101" t="s">
        <v>2633</v>
      </c>
      <c r="B4" s="102" t="s">
        <v>2634</v>
      </c>
      <c r="C4" s="49" t="s">
        <v>2337</v>
      </c>
      <c r="D4" s="49">
        <v>1</v>
      </c>
      <c r="E4" s="51">
        <v>0.1</v>
      </c>
      <c r="F4" s="51" t="s">
        <v>2372</v>
      </c>
      <c r="G4" s="51" t="s">
        <v>2372</v>
      </c>
      <c r="H4" s="51" t="s">
        <v>2372</v>
      </c>
      <c r="I4" s="52">
        <v>0.1</v>
      </c>
    </row>
    <row r="5" spans="1:9" ht="16.5" x14ac:dyDescent="0.25">
      <c r="A5" s="101"/>
      <c r="B5" s="102"/>
      <c r="C5" s="49" t="s">
        <v>2342</v>
      </c>
      <c r="D5" s="49">
        <v>2</v>
      </c>
      <c r="E5" s="51">
        <v>0.4</v>
      </c>
      <c r="F5" s="51" t="s">
        <v>2372</v>
      </c>
      <c r="G5" s="51" t="s">
        <v>2372</v>
      </c>
      <c r="H5" s="51">
        <v>0.1</v>
      </c>
      <c r="I5" s="52">
        <v>0.5</v>
      </c>
    </row>
    <row r="6" spans="1:9" ht="16.5" x14ac:dyDescent="0.25">
      <c r="A6" s="101"/>
      <c r="B6" s="102"/>
      <c r="C6" s="49" t="s">
        <v>2339</v>
      </c>
      <c r="D6" s="49">
        <v>3</v>
      </c>
      <c r="E6" s="51" t="s">
        <v>2372</v>
      </c>
      <c r="F6" s="51" t="s">
        <v>2372</v>
      </c>
      <c r="G6" s="51" t="s">
        <v>2372</v>
      </c>
      <c r="H6" s="51">
        <v>0.1</v>
      </c>
      <c r="I6" s="52">
        <v>0.1</v>
      </c>
    </row>
    <row r="7" spans="1:9" ht="16.5" x14ac:dyDescent="0.25">
      <c r="A7" s="101"/>
      <c r="B7" s="102"/>
      <c r="C7" s="49" t="s">
        <v>2635</v>
      </c>
      <c r="D7" s="49">
        <v>4</v>
      </c>
      <c r="E7" s="51">
        <v>0.1</v>
      </c>
      <c r="F7" s="51" t="s">
        <v>2372</v>
      </c>
      <c r="G7" s="51" t="s">
        <v>2372</v>
      </c>
      <c r="H7" s="51" t="s">
        <v>2372</v>
      </c>
      <c r="I7" s="52">
        <v>0.1</v>
      </c>
    </row>
    <row r="8" spans="1:9" ht="16.5" x14ac:dyDescent="0.25">
      <c r="A8" s="101"/>
      <c r="B8" s="102"/>
      <c r="C8" s="49" t="s">
        <v>2636</v>
      </c>
      <c r="D8" s="49">
        <v>5</v>
      </c>
      <c r="E8" s="51">
        <v>0.2</v>
      </c>
      <c r="F8" s="51" t="s">
        <v>2372</v>
      </c>
      <c r="G8" s="51" t="s">
        <v>2372</v>
      </c>
      <c r="H8" s="51">
        <v>0.2</v>
      </c>
      <c r="I8" s="52">
        <v>0.4</v>
      </c>
    </row>
    <row r="9" spans="1:9" ht="16.5" x14ac:dyDescent="0.25">
      <c r="A9" s="101"/>
      <c r="B9" s="102"/>
      <c r="C9" s="49" t="s">
        <v>2637</v>
      </c>
      <c r="D9" s="49">
        <v>6</v>
      </c>
      <c r="E9" s="51" t="s">
        <v>2372</v>
      </c>
      <c r="F9" s="51" t="s">
        <v>2372</v>
      </c>
      <c r="G9" s="51" t="s">
        <v>2372</v>
      </c>
      <c r="H9" s="51">
        <v>0.1</v>
      </c>
      <c r="I9" s="52">
        <v>0.1</v>
      </c>
    </row>
    <row r="10" spans="1:9" ht="16.5" x14ac:dyDescent="0.25">
      <c r="A10" s="101"/>
      <c r="B10" s="102"/>
      <c r="C10" s="49" t="s">
        <v>2332</v>
      </c>
      <c r="D10" s="49">
        <v>7</v>
      </c>
      <c r="E10" s="51" t="s">
        <v>2372</v>
      </c>
      <c r="F10" s="51" t="s">
        <v>2372</v>
      </c>
      <c r="G10" s="51" t="s">
        <v>2372</v>
      </c>
      <c r="H10" s="51">
        <v>0.1</v>
      </c>
      <c r="I10" s="52">
        <v>0.1</v>
      </c>
    </row>
    <row r="11" spans="1:9" ht="16.5" x14ac:dyDescent="0.25">
      <c r="A11" s="101"/>
      <c r="B11" s="102"/>
      <c r="C11" s="49" t="s">
        <v>2333</v>
      </c>
      <c r="D11" s="49">
        <v>8</v>
      </c>
      <c r="E11" s="51">
        <v>0.1</v>
      </c>
      <c r="F11" s="51" t="s">
        <v>2372</v>
      </c>
      <c r="G11" s="51" t="s">
        <v>2372</v>
      </c>
      <c r="H11" s="51" t="s">
        <v>2372</v>
      </c>
      <c r="I11" s="52">
        <v>0.1</v>
      </c>
    </row>
    <row r="12" spans="1:9" ht="16.5" x14ac:dyDescent="0.25">
      <c r="A12" s="101"/>
      <c r="B12" s="102"/>
      <c r="C12" s="49" t="s">
        <v>2335</v>
      </c>
      <c r="D12" s="49">
        <v>9</v>
      </c>
      <c r="E12" s="51">
        <v>0.1</v>
      </c>
      <c r="F12" s="51" t="s">
        <v>2372</v>
      </c>
      <c r="G12" s="51">
        <v>0.1</v>
      </c>
      <c r="H12" s="51" t="s">
        <v>2372</v>
      </c>
      <c r="I12" s="52">
        <v>0.2</v>
      </c>
    </row>
    <row r="13" spans="1:9" ht="16.5" x14ac:dyDescent="0.25">
      <c r="A13" s="101"/>
      <c r="B13" s="102" t="s">
        <v>2524</v>
      </c>
      <c r="C13" s="102"/>
      <c r="D13" s="49">
        <v>10</v>
      </c>
      <c r="E13" s="51">
        <v>1</v>
      </c>
      <c r="F13" s="51" t="s">
        <v>2372</v>
      </c>
      <c r="G13" s="51">
        <v>0.1</v>
      </c>
      <c r="H13" s="51">
        <v>0.6</v>
      </c>
      <c r="I13" s="52">
        <v>1.7000000000000002</v>
      </c>
    </row>
    <row r="14" spans="1:9" ht="16.5" x14ac:dyDescent="0.25">
      <c r="A14" s="101"/>
      <c r="B14" s="102" t="s">
        <v>2468</v>
      </c>
      <c r="C14" s="49" t="s">
        <v>2337</v>
      </c>
      <c r="D14" s="49">
        <v>11</v>
      </c>
      <c r="E14" s="51" t="s">
        <v>2372</v>
      </c>
      <c r="F14" s="51" t="s">
        <v>2372</v>
      </c>
      <c r="G14" s="51">
        <v>0.1</v>
      </c>
      <c r="H14" s="51" t="s">
        <v>2372</v>
      </c>
      <c r="I14" s="52">
        <v>0.1</v>
      </c>
    </row>
    <row r="15" spans="1:9" ht="16.5" x14ac:dyDescent="0.25">
      <c r="A15" s="101"/>
      <c r="B15" s="102"/>
      <c r="C15" s="49" t="s">
        <v>2335</v>
      </c>
      <c r="D15" s="49">
        <v>12</v>
      </c>
      <c r="E15" s="51" t="s">
        <v>2372</v>
      </c>
      <c r="F15" s="51" t="s">
        <v>2372</v>
      </c>
      <c r="G15" s="51">
        <v>0.2</v>
      </c>
      <c r="H15" s="51" t="s">
        <v>2372</v>
      </c>
      <c r="I15" s="52">
        <v>0.2</v>
      </c>
    </row>
    <row r="16" spans="1:9" ht="16.5" x14ac:dyDescent="0.25">
      <c r="A16" s="101"/>
      <c r="B16" s="102" t="s">
        <v>2524</v>
      </c>
      <c r="C16" s="102"/>
      <c r="D16" s="49">
        <v>13</v>
      </c>
      <c r="E16" s="51" t="s">
        <v>2372</v>
      </c>
      <c r="F16" s="51" t="s">
        <v>2372</v>
      </c>
      <c r="G16" s="51">
        <v>0.30000000000000004</v>
      </c>
      <c r="H16" s="51" t="s">
        <v>2372</v>
      </c>
      <c r="I16" s="52">
        <v>0.30000000000000004</v>
      </c>
    </row>
    <row r="17" spans="1:9" ht="16.5" x14ac:dyDescent="0.25">
      <c r="A17" s="101" t="s">
        <v>2638</v>
      </c>
      <c r="B17" s="102"/>
      <c r="C17" s="102"/>
      <c r="D17" s="49">
        <v>14</v>
      </c>
      <c r="E17" s="51">
        <v>1</v>
      </c>
      <c r="F17" s="51" t="s">
        <v>2372</v>
      </c>
      <c r="G17" s="51">
        <v>0.4</v>
      </c>
      <c r="H17" s="51">
        <v>0.6</v>
      </c>
      <c r="I17" s="52">
        <v>2</v>
      </c>
    </row>
    <row r="18" spans="1:9" ht="16.5" x14ac:dyDescent="0.25">
      <c r="A18" s="101" t="s">
        <v>2639</v>
      </c>
      <c r="B18" s="102" t="s">
        <v>2634</v>
      </c>
      <c r="C18" s="49" t="s">
        <v>1649</v>
      </c>
      <c r="D18" s="49">
        <v>15</v>
      </c>
      <c r="E18" s="51">
        <v>0.3</v>
      </c>
      <c r="F18" s="51" t="s">
        <v>2372</v>
      </c>
      <c r="G18" s="51" t="s">
        <v>2372</v>
      </c>
      <c r="H18" s="51" t="s">
        <v>2372</v>
      </c>
      <c r="I18" s="52">
        <v>0.3</v>
      </c>
    </row>
    <row r="19" spans="1:9" ht="16.5" x14ac:dyDescent="0.25">
      <c r="A19" s="101"/>
      <c r="B19" s="102"/>
      <c r="C19" s="49" t="s">
        <v>1651</v>
      </c>
      <c r="D19" s="49">
        <v>16</v>
      </c>
      <c r="E19" s="51">
        <v>1</v>
      </c>
      <c r="F19" s="51" t="s">
        <v>2372</v>
      </c>
      <c r="G19" s="51" t="s">
        <v>2372</v>
      </c>
      <c r="H19" s="51" t="s">
        <v>2372</v>
      </c>
      <c r="I19" s="52">
        <v>1</v>
      </c>
    </row>
    <row r="20" spans="1:9" ht="16.5" x14ac:dyDescent="0.25">
      <c r="A20" s="101"/>
      <c r="B20" s="102"/>
      <c r="C20" s="49" t="s">
        <v>1635</v>
      </c>
      <c r="D20" s="49">
        <v>17</v>
      </c>
      <c r="E20" s="51" t="s">
        <v>2372</v>
      </c>
      <c r="F20" s="51" t="s">
        <v>2372</v>
      </c>
      <c r="G20" s="51" t="s">
        <v>2372</v>
      </c>
      <c r="H20" s="51">
        <v>0.79999999999999993</v>
      </c>
      <c r="I20" s="52">
        <v>0.79999999999999993</v>
      </c>
    </row>
    <row r="21" spans="1:9" ht="16.5" x14ac:dyDescent="0.25">
      <c r="A21" s="101"/>
      <c r="B21" s="102"/>
      <c r="C21" s="49" t="s">
        <v>1352</v>
      </c>
      <c r="D21" s="49">
        <v>18</v>
      </c>
      <c r="E21" s="51">
        <v>4.2</v>
      </c>
      <c r="F21" s="51" t="s">
        <v>2372</v>
      </c>
      <c r="G21" s="51" t="s">
        <v>2372</v>
      </c>
      <c r="H21" s="51" t="s">
        <v>2372</v>
      </c>
      <c r="I21" s="52">
        <v>4.2</v>
      </c>
    </row>
    <row r="22" spans="1:9" ht="16.5" x14ac:dyDescent="0.25">
      <c r="A22" s="101"/>
      <c r="B22" s="102"/>
      <c r="C22" s="49" t="s">
        <v>1587</v>
      </c>
      <c r="D22" s="49">
        <v>19</v>
      </c>
      <c r="E22" s="51" t="s">
        <v>2372</v>
      </c>
      <c r="F22" s="51" t="s">
        <v>2372</v>
      </c>
      <c r="G22" s="51" t="s">
        <v>2372</v>
      </c>
      <c r="H22" s="51">
        <v>0.1</v>
      </c>
      <c r="I22" s="52">
        <v>0.1</v>
      </c>
    </row>
    <row r="23" spans="1:9" ht="16.5" x14ac:dyDescent="0.25">
      <c r="A23" s="101"/>
      <c r="B23" s="102" t="s">
        <v>2524</v>
      </c>
      <c r="C23" s="102"/>
      <c r="D23" s="49">
        <v>20</v>
      </c>
      <c r="E23" s="51">
        <v>5.5</v>
      </c>
      <c r="F23" s="51" t="s">
        <v>2372</v>
      </c>
      <c r="G23" s="51" t="s">
        <v>2372</v>
      </c>
      <c r="H23" s="51">
        <v>0.89999999999999991</v>
      </c>
      <c r="I23" s="52">
        <v>6.4</v>
      </c>
    </row>
    <row r="24" spans="1:9" ht="16.5" x14ac:dyDescent="0.25">
      <c r="A24" s="101"/>
      <c r="B24" s="102" t="s">
        <v>2468</v>
      </c>
      <c r="C24" s="49" t="s">
        <v>1635</v>
      </c>
      <c r="D24" s="49">
        <v>21</v>
      </c>
      <c r="E24" s="51" t="s">
        <v>2372</v>
      </c>
      <c r="F24" s="51" t="s">
        <v>2372</v>
      </c>
      <c r="G24" s="51">
        <v>0.5</v>
      </c>
      <c r="H24" s="51" t="s">
        <v>2372</v>
      </c>
      <c r="I24" s="52">
        <v>0.5</v>
      </c>
    </row>
    <row r="25" spans="1:9" ht="16.5" x14ac:dyDescent="0.25">
      <c r="A25" s="101"/>
      <c r="B25" s="102"/>
      <c r="C25" s="49" t="s">
        <v>1587</v>
      </c>
      <c r="D25" s="49">
        <v>22</v>
      </c>
      <c r="E25" s="51" t="s">
        <v>2372</v>
      </c>
      <c r="F25" s="51" t="s">
        <v>2372</v>
      </c>
      <c r="G25" s="51">
        <v>0.8</v>
      </c>
      <c r="H25" s="51" t="s">
        <v>2372</v>
      </c>
      <c r="I25" s="52">
        <v>0.8</v>
      </c>
    </row>
    <row r="26" spans="1:9" ht="16.5" x14ac:dyDescent="0.25">
      <c r="A26" s="101"/>
      <c r="B26" s="102" t="s">
        <v>2524</v>
      </c>
      <c r="C26" s="102"/>
      <c r="D26" s="49">
        <v>23</v>
      </c>
      <c r="E26" s="51" t="s">
        <v>2372</v>
      </c>
      <c r="F26" s="51" t="s">
        <v>2372</v>
      </c>
      <c r="G26" s="51">
        <v>1.3</v>
      </c>
      <c r="H26" s="51" t="s">
        <v>2372</v>
      </c>
      <c r="I26" s="52">
        <v>1.3</v>
      </c>
    </row>
    <row r="27" spans="1:9" ht="16.5" x14ac:dyDescent="0.25">
      <c r="A27" s="101" t="s">
        <v>2638</v>
      </c>
      <c r="B27" s="102"/>
      <c r="C27" s="102"/>
      <c r="D27" s="49">
        <v>24</v>
      </c>
      <c r="E27" s="51">
        <v>5.5</v>
      </c>
      <c r="F27" s="51" t="s">
        <v>2372</v>
      </c>
      <c r="G27" s="51">
        <v>1.3</v>
      </c>
      <c r="H27" s="51">
        <v>0.89999999999999991</v>
      </c>
      <c r="I27" s="52">
        <v>7.6999999999999993</v>
      </c>
    </row>
    <row r="28" spans="1:9" ht="33" x14ac:dyDescent="0.25">
      <c r="A28" s="101" t="s">
        <v>2640</v>
      </c>
      <c r="B28" s="49" t="s">
        <v>2634</v>
      </c>
      <c r="C28" s="49" t="s">
        <v>2641</v>
      </c>
      <c r="D28" s="49">
        <v>25</v>
      </c>
      <c r="E28" s="51">
        <v>0.1</v>
      </c>
      <c r="F28" s="51" t="s">
        <v>2372</v>
      </c>
      <c r="G28" s="51" t="s">
        <v>2372</v>
      </c>
      <c r="H28" s="51" t="s">
        <v>2372</v>
      </c>
      <c r="I28" s="52">
        <v>0.1</v>
      </c>
    </row>
    <row r="29" spans="1:9" ht="16.5" x14ac:dyDescent="0.25">
      <c r="A29" s="101"/>
      <c r="B29" s="102" t="s">
        <v>2524</v>
      </c>
      <c r="C29" s="102"/>
      <c r="D29" s="49">
        <v>26</v>
      </c>
      <c r="E29" s="51">
        <v>0.1</v>
      </c>
      <c r="F29" s="51" t="s">
        <v>2372</v>
      </c>
      <c r="G29" s="51" t="s">
        <v>2372</v>
      </c>
      <c r="H29" s="51" t="s">
        <v>2372</v>
      </c>
      <c r="I29" s="52">
        <v>0.1</v>
      </c>
    </row>
    <row r="30" spans="1:9" ht="16.5" x14ac:dyDescent="0.25">
      <c r="A30" s="101" t="s">
        <v>2638</v>
      </c>
      <c r="B30" s="102"/>
      <c r="C30" s="102"/>
      <c r="D30" s="49">
        <v>27</v>
      </c>
      <c r="E30" s="51">
        <v>0.1</v>
      </c>
      <c r="F30" s="51" t="s">
        <v>2372</v>
      </c>
      <c r="G30" s="51" t="s">
        <v>2372</v>
      </c>
      <c r="H30" s="51" t="s">
        <v>2372</v>
      </c>
      <c r="I30" s="52">
        <v>0.1</v>
      </c>
    </row>
    <row r="31" spans="1:9" ht="16.5" x14ac:dyDescent="0.25">
      <c r="A31" s="101" t="s">
        <v>2642</v>
      </c>
      <c r="B31" s="102" t="s">
        <v>2634</v>
      </c>
      <c r="C31" s="49" t="s">
        <v>2643</v>
      </c>
      <c r="D31" s="49">
        <v>28</v>
      </c>
      <c r="E31" s="51">
        <v>0.1</v>
      </c>
      <c r="F31" s="51" t="s">
        <v>2372</v>
      </c>
      <c r="G31" s="51" t="s">
        <v>2372</v>
      </c>
      <c r="H31" s="51" t="s">
        <v>2372</v>
      </c>
      <c r="I31" s="52">
        <v>0.1</v>
      </c>
    </row>
    <row r="32" spans="1:9" ht="16.5" x14ac:dyDescent="0.25">
      <c r="A32" s="101"/>
      <c r="B32" s="102"/>
      <c r="C32" s="49" t="s">
        <v>2644</v>
      </c>
      <c r="D32" s="49">
        <v>29</v>
      </c>
      <c r="E32" s="51" t="s">
        <v>2372</v>
      </c>
      <c r="F32" s="51" t="s">
        <v>2372</v>
      </c>
      <c r="G32" s="51" t="s">
        <v>2372</v>
      </c>
      <c r="H32" s="51">
        <v>0.1</v>
      </c>
      <c r="I32" s="52">
        <v>0.1</v>
      </c>
    </row>
    <row r="33" spans="1:9" ht="16.5" x14ac:dyDescent="0.25">
      <c r="A33" s="101"/>
      <c r="B33" s="102" t="s">
        <v>2524</v>
      </c>
      <c r="C33" s="102"/>
      <c r="D33" s="49">
        <v>30</v>
      </c>
      <c r="E33" s="51">
        <v>0.1</v>
      </c>
      <c r="F33" s="51" t="s">
        <v>2372</v>
      </c>
      <c r="G33" s="51" t="s">
        <v>2372</v>
      </c>
      <c r="H33" s="51">
        <v>0.1</v>
      </c>
      <c r="I33" s="52">
        <v>0.2</v>
      </c>
    </row>
    <row r="34" spans="1:9" ht="16.5" x14ac:dyDescent="0.25">
      <c r="A34" s="101" t="s">
        <v>2638</v>
      </c>
      <c r="B34" s="102"/>
      <c r="C34" s="102"/>
      <c r="D34" s="49">
        <v>31</v>
      </c>
      <c r="E34" s="51">
        <v>0.1</v>
      </c>
      <c r="F34" s="51" t="s">
        <v>2372</v>
      </c>
      <c r="G34" s="51" t="s">
        <v>2372</v>
      </c>
      <c r="H34" s="51">
        <v>0.1</v>
      </c>
      <c r="I34" s="52">
        <v>0.2</v>
      </c>
    </row>
    <row r="35" spans="1:9" ht="33" x14ac:dyDescent="0.25">
      <c r="A35" s="101" t="s">
        <v>2645</v>
      </c>
      <c r="B35" s="49" t="s">
        <v>2634</v>
      </c>
      <c r="C35" s="49" t="s">
        <v>2646</v>
      </c>
      <c r="D35" s="49">
        <v>32</v>
      </c>
      <c r="E35" s="51" t="s">
        <v>2372</v>
      </c>
      <c r="F35" s="51" t="s">
        <v>2372</v>
      </c>
      <c r="G35" s="51" t="s">
        <v>2372</v>
      </c>
      <c r="H35" s="51">
        <v>0.1</v>
      </c>
      <c r="I35" s="52">
        <v>0.1</v>
      </c>
    </row>
    <row r="36" spans="1:9" ht="16.5" x14ac:dyDescent="0.25">
      <c r="A36" s="101"/>
      <c r="B36" s="102" t="s">
        <v>2524</v>
      </c>
      <c r="C36" s="102"/>
      <c r="D36" s="49">
        <v>33</v>
      </c>
      <c r="E36" s="51" t="s">
        <v>2372</v>
      </c>
      <c r="F36" s="51" t="s">
        <v>2372</v>
      </c>
      <c r="G36" s="51" t="s">
        <v>2372</v>
      </c>
      <c r="H36" s="51">
        <v>0.1</v>
      </c>
      <c r="I36" s="52">
        <v>0.1</v>
      </c>
    </row>
    <row r="37" spans="1:9" ht="16.5" x14ac:dyDescent="0.25">
      <c r="A37" s="101" t="s">
        <v>2638</v>
      </c>
      <c r="B37" s="102"/>
      <c r="C37" s="102"/>
      <c r="D37" s="49">
        <v>34</v>
      </c>
      <c r="E37" s="51" t="s">
        <v>2372</v>
      </c>
      <c r="F37" s="51" t="s">
        <v>2372</v>
      </c>
      <c r="G37" s="51" t="s">
        <v>2372</v>
      </c>
      <c r="H37" s="51">
        <v>0.1</v>
      </c>
      <c r="I37" s="52">
        <v>0.1</v>
      </c>
    </row>
    <row r="38" spans="1:9" ht="16.5" x14ac:dyDescent="0.25">
      <c r="A38" s="101" t="s">
        <v>2647</v>
      </c>
      <c r="B38" s="102" t="s">
        <v>2634</v>
      </c>
      <c r="C38" s="49" t="s">
        <v>1967</v>
      </c>
      <c r="D38" s="49">
        <v>35</v>
      </c>
      <c r="E38" s="51">
        <v>3.1</v>
      </c>
      <c r="F38" s="51" t="s">
        <v>2372</v>
      </c>
      <c r="G38" s="51" t="s">
        <v>2372</v>
      </c>
      <c r="H38" s="51" t="s">
        <v>2372</v>
      </c>
      <c r="I38" s="52">
        <v>3.1</v>
      </c>
    </row>
    <row r="39" spans="1:9" ht="16.5" x14ac:dyDescent="0.25">
      <c r="A39" s="101"/>
      <c r="B39" s="102"/>
      <c r="C39" s="49" t="s">
        <v>2002</v>
      </c>
      <c r="D39" s="49">
        <v>36</v>
      </c>
      <c r="E39" s="51" t="s">
        <v>2372</v>
      </c>
      <c r="F39" s="51" t="s">
        <v>2372</v>
      </c>
      <c r="G39" s="51" t="s">
        <v>2372</v>
      </c>
      <c r="H39" s="51">
        <v>0.2</v>
      </c>
      <c r="I39" s="52">
        <v>0.2</v>
      </c>
    </row>
    <row r="40" spans="1:9" ht="16.5" x14ac:dyDescent="0.25">
      <c r="A40" s="101"/>
      <c r="B40" s="102" t="s">
        <v>2524</v>
      </c>
      <c r="C40" s="102"/>
      <c r="D40" s="49">
        <v>37</v>
      </c>
      <c r="E40" s="51">
        <v>3.1</v>
      </c>
      <c r="F40" s="51" t="s">
        <v>2372</v>
      </c>
      <c r="G40" s="51" t="s">
        <v>2372</v>
      </c>
      <c r="H40" s="51">
        <v>0.2</v>
      </c>
      <c r="I40" s="52">
        <v>3.3000000000000003</v>
      </c>
    </row>
    <row r="41" spans="1:9" ht="33" x14ac:dyDescent="0.25">
      <c r="A41" s="101"/>
      <c r="B41" s="49" t="s">
        <v>2648</v>
      </c>
      <c r="C41" s="49" t="s">
        <v>2015</v>
      </c>
      <c r="D41" s="49">
        <v>38</v>
      </c>
      <c r="E41" s="51" t="s">
        <v>2372</v>
      </c>
      <c r="F41" s="51">
        <v>1.9</v>
      </c>
      <c r="G41" s="51" t="s">
        <v>2372</v>
      </c>
      <c r="H41" s="51" t="s">
        <v>2372</v>
      </c>
      <c r="I41" s="52">
        <v>1.9</v>
      </c>
    </row>
    <row r="42" spans="1:9" ht="16.5" x14ac:dyDescent="0.25">
      <c r="A42" s="101"/>
      <c r="B42" s="102" t="s">
        <v>2524</v>
      </c>
      <c r="C42" s="102"/>
      <c r="D42" s="49">
        <v>39</v>
      </c>
      <c r="E42" s="51" t="s">
        <v>2372</v>
      </c>
      <c r="F42" s="51">
        <v>1.9</v>
      </c>
      <c r="G42" s="51" t="s">
        <v>2372</v>
      </c>
      <c r="H42" s="51" t="s">
        <v>2372</v>
      </c>
      <c r="I42" s="52">
        <v>1.9</v>
      </c>
    </row>
    <row r="43" spans="1:9" ht="16.5" x14ac:dyDescent="0.25">
      <c r="A43" s="101" t="s">
        <v>2638</v>
      </c>
      <c r="B43" s="102"/>
      <c r="C43" s="102"/>
      <c r="D43" s="49">
        <v>40</v>
      </c>
      <c r="E43" s="51">
        <v>3.1</v>
      </c>
      <c r="F43" s="51">
        <v>1.9</v>
      </c>
      <c r="G43" s="51" t="s">
        <v>2372</v>
      </c>
      <c r="H43" s="51">
        <v>0.2</v>
      </c>
      <c r="I43" s="52">
        <v>5.2</v>
      </c>
    </row>
    <row r="44" spans="1:9" ht="16.5" x14ac:dyDescent="0.25">
      <c r="A44" s="101" t="s">
        <v>2649</v>
      </c>
      <c r="B44" s="102"/>
      <c r="C44" s="102"/>
      <c r="D44" s="49">
        <v>41</v>
      </c>
      <c r="E44" s="51">
        <v>9.7999999999999989</v>
      </c>
      <c r="F44" s="51">
        <v>1.9</v>
      </c>
      <c r="G44" s="51">
        <v>1.7000000000000002</v>
      </c>
      <c r="H44" s="51">
        <v>1.9000000000000001</v>
      </c>
      <c r="I44" s="54">
        <v>15.299999999999999</v>
      </c>
    </row>
    <row r="45" spans="1:9" ht="16.5" x14ac:dyDescent="0.25">
      <c r="A45" s="101" t="s">
        <v>2650</v>
      </c>
      <c r="B45" s="102"/>
      <c r="C45" s="102"/>
      <c r="D45" s="49">
        <v>42</v>
      </c>
      <c r="E45" s="51" t="s">
        <v>2372</v>
      </c>
      <c r="F45" s="51" t="s">
        <v>2372</v>
      </c>
      <c r="G45" s="51" t="s">
        <v>2372</v>
      </c>
      <c r="H45" s="51" t="s">
        <v>2372</v>
      </c>
      <c r="I45" s="52" t="s">
        <v>2372</v>
      </c>
    </row>
    <row r="46" spans="1:9" ht="16.5" x14ac:dyDescent="0.25">
      <c r="A46" s="101" t="s">
        <v>6</v>
      </c>
      <c r="B46" s="102"/>
      <c r="C46" s="102"/>
      <c r="D46" s="49">
        <v>43</v>
      </c>
      <c r="E46" s="51">
        <v>9.7999999999999989</v>
      </c>
      <c r="F46" s="51" t="s">
        <v>2372</v>
      </c>
      <c r="G46" s="51">
        <v>0.1</v>
      </c>
      <c r="H46" s="51">
        <v>1.9000000000000001</v>
      </c>
      <c r="I46" s="52">
        <v>11.799999999999999</v>
      </c>
    </row>
    <row r="47" spans="1:9" ht="16.5" x14ac:dyDescent="0.25">
      <c r="A47" s="101" t="s">
        <v>2351</v>
      </c>
      <c r="B47" s="102"/>
      <c r="C47" s="102"/>
      <c r="D47" s="49">
        <v>44</v>
      </c>
      <c r="E47" s="51" t="s">
        <v>2372</v>
      </c>
      <c r="F47" s="51" t="s">
        <v>2372</v>
      </c>
      <c r="G47" s="51">
        <v>1.6</v>
      </c>
      <c r="H47" s="51" t="s">
        <v>2372</v>
      </c>
      <c r="I47" s="52">
        <v>1.6</v>
      </c>
    </row>
    <row r="48" spans="1:9" ht="16.5" x14ac:dyDescent="0.25">
      <c r="A48" s="101" t="s">
        <v>2353</v>
      </c>
      <c r="B48" s="102"/>
      <c r="C48" s="102"/>
      <c r="D48" s="49">
        <v>45</v>
      </c>
      <c r="E48" s="51" t="s">
        <v>2372</v>
      </c>
      <c r="F48" s="51">
        <v>1.9</v>
      </c>
      <c r="G48" s="51" t="s">
        <v>2372</v>
      </c>
      <c r="H48" s="51" t="s">
        <v>2372</v>
      </c>
      <c r="I48" s="52">
        <v>1.9</v>
      </c>
    </row>
    <row r="49" spans="1:9" ht="16.5" x14ac:dyDescent="0.25">
      <c r="A49" s="101" t="s">
        <v>2651</v>
      </c>
      <c r="B49" s="102"/>
      <c r="C49" s="102"/>
      <c r="D49" s="102"/>
      <c r="E49" s="112"/>
      <c r="F49" s="112"/>
      <c r="G49" s="112"/>
      <c r="H49" s="112"/>
      <c r="I49" s="114"/>
    </row>
    <row r="50" spans="1:9" ht="16.5" x14ac:dyDescent="0.25">
      <c r="A50" s="101" t="s">
        <v>2652</v>
      </c>
      <c r="B50" s="102"/>
      <c r="C50" s="102"/>
      <c r="D50" s="102" t="s">
        <v>2372</v>
      </c>
      <c r="E50" s="112"/>
      <c r="F50" s="112"/>
      <c r="G50" s="112"/>
      <c r="H50" s="112"/>
      <c r="I50" s="52">
        <v>102.83500000000001</v>
      </c>
    </row>
    <row r="51" spans="1:9" ht="16.5" x14ac:dyDescent="0.25">
      <c r="A51" s="101" t="s">
        <v>2653</v>
      </c>
      <c r="B51" s="102"/>
      <c r="C51" s="102"/>
      <c r="D51" s="102" t="s">
        <v>2372</v>
      </c>
      <c r="E51" s="112"/>
      <c r="F51" s="112"/>
      <c r="G51" s="112"/>
      <c r="H51" s="112"/>
      <c r="I51" s="52">
        <v>198.35500000000005</v>
      </c>
    </row>
    <row r="52" spans="1:9" ht="17.25" thickBot="1" x14ac:dyDescent="0.3">
      <c r="A52" s="104" t="s">
        <v>2654</v>
      </c>
      <c r="B52" s="105"/>
      <c r="C52" s="105"/>
      <c r="D52" s="105" t="s">
        <v>2372</v>
      </c>
      <c r="E52" s="113"/>
      <c r="F52" s="113"/>
      <c r="G52" s="113"/>
      <c r="H52" s="113"/>
      <c r="I52" s="53">
        <v>24.396999999999998</v>
      </c>
    </row>
  </sheetData>
  <mergeCells count="45">
    <mergeCell ref="I1:I2"/>
    <mergeCell ref="A51:C51"/>
    <mergeCell ref="D51:H51"/>
    <mergeCell ref="A52:C52"/>
    <mergeCell ref="D52:H52"/>
    <mergeCell ref="C1:C2"/>
    <mergeCell ref="D1:D2"/>
    <mergeCell ref="E1:H1"/>
    <mergeCell ref="A47:C47"/>
    <mergeCell ref="A48:C48"/>
    <mergeCell ref="A49:I49"/>
    <mergeCell ref="A50:C50"/>
    <mergeCell ref="D50:H50"/>
    <mergeCell ref="B40:C40"/>
    <mergeCell ref="B42:C42"/>
    <mergeCell ref="A43:C43"/>
    <mergeCell ref="A44:C44"/>
    <mergeCell ref="A45:C45"/>
    <mergeCell ref="A46:C46"/>
    <mergeCell ref="B29:C29"/>
    <mergeCell ref="A30:C30"/>
    <mergeCell ref="B33:C33"/>
    <mergeCell ref="A34:C34"/>
    <mergeCell ref="B36:C36"/>
    <mergeCell ref="A37:C37"/>
    <mergeCell ref="A38:A42"/>
    <mergeCell ref="B31:B32"/>
    <mergeCell ref="B38:B39"/>
    <mergeCell ref="A35:A36"/>
    <mergeCell ref="A1:A2"/>
    <mergeCell ref="A4:A16"/>
    <mergeCell ref="A18:A26"/>
    <mergeCell ref="A28:A29"/>
    <mergeCell ref="A31:A33"/>
    <mergeCell ref="A17:C17"/>
    <mergeCell ref="B23:C23"/>
    <mergeCell ref="B26:C26"/>
    <mergeCell ref="A27:C27"/>
    <mergeCell ref="B1:B2"/>
    <mergeCell ref="B4:B12"/>
    <mergeCell ref="B14:B15"/>
    <mergeCell ref="B18:B22"/>
    <mergeCell ref="B24:B25"/>
    <mergeCell ref="B13:C13"/>
    <mergeCell ref="B16:C16"/>
  </mergeCells>
  <conditionalFormatting sqref="A1:I52">
    <cfRule type="containsText" dxfId="83" priority="9" stopIfTrue="1" operator="containsText" text="шт.)">
      <formula>NOT(ISERROR(SEARCH("шт.)",A1)))</formula>
    </cfRule>
    <cfRule type="containsText" dxfId="82" priority="8" stopIfTrue="1" operator="containsText" text=", на ">
      <formula>NOT(ISERROR(SEARCH(", на ",A1)))</formula>
    </cfRule>
    <cfRule type="containsText" dxfId="81" priority="7" stopIfTrue="1" operator="containsText" text=" Материалы ">
      <formula>NOT(ISERROR(SEARCH(" Материалы ",A1)))</formula>
    </cfRule>
    <cfRule type="containsText" dxfId="80" priority="6" stopIfTrue="1" operator="containsText" text=" Сборочные единицы ">
      <formula>NOT(ISERROR(SEARCH(" Сборочные единицы ",A1)))</formula>
    </cfRule>
    <cfRule type="containsText" dxfId="79" priority="5" stopIfTrue="1" operator="containsText" text=" Прокат ">
      <formula>NOT(ISERROR(SEARCH(" Прокат ",A1)))</formula>
    </cfRule>
    <cfRule type="containsText" dxfId="78" priority="4" stopIfTrue="1" operator="containsText" text=" Изделия ">
      <formula>NOT(ISERROR(SEARCH(" Изделия ",A1)))</formula>
    </cfRule>
    <cfRule type="containsText" dxfId="77" priority="3" stopIfTrue="1" operator="containsText" text="!!!">
      <formula>NOT(ISERROR(SEARCH("!!!",A1)))</formula>
    </cfRule>
    <cfRule type="containsText" dxfId="76" priority="2" stopIfTrue="1" operator="containsText" text="ИЗ ФАЙЛА">
      <formula>NOT(ISERROR(SEARCH("ИЗ ФАЙЛА",A1)))</formula>
    </cfRule>
    <cfRule type="containsText" dxfId="75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scale="79" orientation="portrait" horizontalDpi="300" verticalDpi="300" copies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F4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69" t="s">
        <v>2432</v>
      </c>
      <c r="B1" s="71" t="s">
        <v>2433</v>
      </c>
      <c r="C1" s="71" t="s">
        <v>2434</v>
      </c>
      <c r="D1" s="71" t="s">
        <v>2435</v>
      </c>
      <c r="E1" s="71" t="s">
        <v>2436</v>
      </c>
      <c r="F1" s="70" t="s">
        <v>2369</v>
      </c>
    </row>
    <row r="2" spans="1:6" ht="16.5" x14ac:dyDescent="0.25">
      <c r="A2" s="63" t="s">
        <v>2503</v>
      </c>
      <c r="B2" s="64" t="s">
        <v>2504</v>
      </c>
      <c r="C2" s="64" t="s">
        <v>2505</v>
      </c>
      <c r="D2" s="64">
        <v>1</v>
      </c>
      <c r="E2" s="64">
        <v>29.66</v>
      </c>
      <c r="F2" s="65" t="s">
        <v>2676</v>
      </c>
    </row>
    <row r="3" spans="1:6" ht="16.5" x14ac:dyDescent="0.25">
      <c r="A3" s="63" t="s">
        <v>2506</v>
      </c>
      <c r="B3" s="64" t="s">
        <v>2504</v>
      </c>
      <c r="C3" s="64" t="s">
        <v>2507</v>
      </c>
      <c r="D3" s="64">
        <v>3</v>
      </c>
      <c r="E3" s="64">
        <v>60.830000000000005</v>
      </c>
      <c r="F3" s="65" t="s">
        <v>2485</v>
      </c>
    </row>
    <row r="4" spans="1:6" ht="17.25" thickBot="1" x14ac:dyDescent="0.3">
      <c r="A4" s="66" t="s">
        <v>2508</v>
      </c>
      <c r="B4" s="67" t="s">
        <v>2504</v>
      </c>
      <c r="C4" s="67" t="s">
        <v>2509</v>
      </c>
      <c r="D4" s="67">
        <v>2</v>
      </c>
      <c r="E4" s="67">
        <v>104.44</v>
      </c>
      <c r="F4" s="68" t="s">
        <v>2487</v>
      </c>
    </row>
  </sheetData>
  <conditionalFormatting sqref="A1:F4">
    <cfRule type="containsText" dxfId="15" priority="9" stopIfTrue="1" operator="containsText" text="шт.)">
      <formula>NOT(ISERROR(SEARCH("шт.)",A1)))</formula>
    </cfRule>
    <cfRule type="containsText" dxfId="14" priority="8" stopIfTrue="1" operator="containsText" text=", на ">
      <formula>NOT(ISERROR(SEARCH(", на ",A1)))</formula>
    </cfRule>
    <cfRule type="containsText" dxfId="13" priority="7" stopIfTrue="1" operator="containsText" text=" Материалы ">
      <formula>NOT(ISERROR(SEARCH(" Материалы ",A1)))</formula>
    </cfRule>
    <cfRule type="containsText" dxfId="12" priority="6" stopIfTrue="1" operator="containsText" text=" Сборочные единицы ">
      <formula>NOT(ISERROR(SEARCH(" Сборочные единицы ",A1)))</formula>
    </cfRule>
    <cfRule type="containsText" dxfId="11" priority="5" stopIfTrue="1" operator="containsText" text=" Прокат ">
      <formula>NOT(ISERROR(SEARCH(" Прокат ",A1)))</formula>
    </cfRule>
    <cfRule type="containsText" dxfId="10" priority="4" stopIfTrue="1" operator="containsText" text=" Изделия ">
      <formula>NOT(ISERROR(SEARCH(" Изделия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2</vt:i4>
      </vt:variant>
    </vt:vector>
  </HeadingPairs>
  <TitlesOfParts>
    <vt:vector size="18" baseType="lpstr">
      <vt:lpstr>|Содержание|</vt:lpstr>
      <vt:lpstr>|Лог|</vt:lpstr>
      <vt:lpstr>Подпорная_спец</vt:lpstr>
      <vt:lpstr>Ведомость отделки АБК_правила</vt:lpstr>
      <vt:lpstr>Ведомость отделки АБК_вед</vt:lpstr>
      <vt:lpstr>Входные площадки_об</vt:lpstr>
      <vt:lpstr>Входные площадки_гр</vt:lpstr>
      <vt:lpstr>Входные площадки_кж</vt:lpstr>
      <vt:lpstr>Входные площадки_грс</vt:lpstr>
      <vt:lpstr>Усиление в сейсмике_кж</vt:lpstr>
      <vt:lpstr>Усиление в сейсмике_об</vt:lpstr>
      <vt:lpstr>Подпорная_об</vt:lpstr>
      <vt:lpstr>Подпорная_кж</vt:lpstr>
      <vt:lpstr>КОС Калининград КМ_км</vt:lpstr>
      <vt:lpstr>Входные площадки</vt:lpstr>
      <vt:lpstr>!System</vt:lpstr>
      <vt:lpstr>'Ведомость отделки АБК_вед'!Область_печати</vt:lpstr>
      <vt:lpstr>'КОС Калининград КМ_км'!Область_печати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2018-12-10T06:25:38Z</cp:lastPrinted>
  <dcterms:created xsi:type="dcterms:W3CDTF">2014-07-19T16:57:30Z</dcterms:created>
  <dcterms:modified xsi:type="dcterms:W3CDTF">2018-12-19T08:41:25Z</dcterms:modified>
</cp:coreProperties>
</file>