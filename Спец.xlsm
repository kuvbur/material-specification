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6960" yWindow="2010" windowWidth="20910" windowHeight="11835" tabRatio="850" firstSheet="2" activeTab="4"/>
  </bookViews>
  <sheets>
    <sheet name="|Содержание|" sheetId="1034" r:id="rId1"/>
    <sheet name="|Лог|" sheetId="948" state="hidden" r:id="rId2"/>
    <sheet name="Спм1_спец" sheetId="1022" r:id="rId3"/>
    <sheet name="Спм1_норм" sheetId="1025" r:id="rId4"/>
    <sheet name="Пдм1_спец" sheetId="1027" r:id="rId5"/>
    <sheet name="Отделка_экспл" sheetId="1015" r:id="rId6"/>
    <sheet name="Отделка_правила" sheetId="1016" r:id="rId7"/>
    <sheet name="Отделка_вед" sheetId="1017" r:id="rId8"/>
    <sheet name="Кровля_спец" sheetId="1018" r:id="rId9"/>
    <sheet name="Изделия_спец.И" sheetId="1023" r:id="rId10"/>
    <sheet name="Ведомость отделки фасадов" sheetId="1019" r:id="rId11"/>
    <sheet name="Бм_спец" sheetId="1030" r:id="rId12"/>
    <sheet name="Лист1" sheetId="1033" r:id="rId13"/>
    <sheet name="!System" sheetId="1032" state="hidden" r:id="rId14"/>
    <sheet name="Кровля_об" sheetId="1020" r:id="rId15"/>
    <sheet name="Пандус_об" sheetId="1021" r:id="rId16"/>
    <sheet name="Спм1_гр" sheetId="1024" r:id="rId17"/>
    <sheet name="Спм1" sheetId="1028" r:id="rId18"/>
    <sheet name="Спм1_кж" sheetId="1026" r:id="rId19"/>
    <sheet name="Спм1_об" sheetId="1029" r:id="rId20"/>
  </sheets>
  <functionGroups builtInGroupCount="18"/>
  <externalReferences>
    <externalReference r:id="rId21"/>
  </externalReferences>
  <definedNames>
    <definedName name="_xlnm.Print_Area" localSheetId="10">'Ведомость отделки фасадов'!$A$1:$E$7</definedName>
    <definedName name="_xlnm.Print_Area" localSheetId="14">Кровля_об!$A$1:$F$25</definedName>
    <definedName name="_xlnm.Print_Area" localSheetId="7">Отделка_вед!$A$1:$J$30</definedName>
    <definedName name="_xlnm.Print_Area" localSheetId="15">Пандус_об!$A$1:$F$14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6" i="1022" l="1"/>
  <c r="B35" i="1027"/>
  <c r="C35" i="1027"/>
  <c r="D35" i="1027"/>
  <c r="A24" i="1023"/>
  <c r="A25" i="1023" s="1"/>
  <c r="B23" i="1023"/>
  <c r="E7" i="1030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E15" i="1030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37" i="1030"/>
  <c r="H20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E13" i="1022" l="1"/>
  <c r="A13" i="1022"/>
  <c r="E6" i="1027" l="1"/>
  <c r="E14" i="1027" s="1"/>
  <c r="A11" i="1027"/>
  <c r="A10" i="1027" s="1"/>
  <c r="A9" i="1027" s="1"/>
  <c r="A8" i="1027" s="1"/>
  <c r="A7" i="1027" s="1"/>
  <c r="A6" i="1027" s="1"/>
  <c r="A5" i="1027" s="1"/>
  <c r="A4" i="1027" s="1"/>
  <c r="A3" i="1027" s="1"/>
  <c r="E13" i="1027"/>
  <c r="H18" i="1027"/>
  <c r="A12" i="1027" l="1"/>
  <c r="A13" i="1027" s="1"/>
  <c r="A14" i="1027" s="1"/>
  <c r="A15" i="1027" s="1"/>
  <c r="A16" i="1027" s="1"/>
  <c r="A17" i="1027" s="1"/>
  <c r="A18" i="1027" s="1"/>
  <c r="A19" i="1027" s="1"/>
  <c r="A20" i="1027" s="1"/>
  <c r="A21" i="1027" s="1"/>
  <c r="E10" i="1027"/>
  <c r="E4" i="1027"/>
  <c r="E12" i="1027" s="1"/>
  <c r="E22" i="1027"/>
  <c r="H20" i="1027"/>
  <c r="H19" i="1027"/>
  <c r="H21" i="1027"/>
  <c r="H22" i="1027"/>
  <c r="A22" i="1027" l="1"/>
  <c r="A23" i="1027" s="1"/>
  <c r="A24" i="1027" s="1"/>
  <c r="A25" i="1027" s="1"/>
  <c r="A26" i="1027" s="1"/>
  <c r="A27" i="1027" s="1"/>
  <c r="A28" i="1027" s="1"/>
  <c r="A29" i="1027" s="1"/>
  <c r="E15" i="1027"/>
  <c r="E16" i="1027"/>
  <c r="E17" i="1027"/>
  <c r="H23" i="1027"/>
  <c r="H24" i="1027"/>
  <c r="B25" i="1027"/>
  <c r="C25" i="1027"/>
  <c r="D25" i="1027"/>
  <c r="B26" i="1027"/>
  <c r="C26" i="1027"/>
  <c r="D26" i="1027"/>
  <c r="B27" i="1027"/>
  <c r="C27" i="1027"/>
  <c r="D27" i="1027"/>
  <c r="E28" i="1027"/>
  <c r="H28" i="1027"/>
  <c r="E29" i="1027"/>
  <c r="H29" i="1027"/>
  <c r="H32" i="1027"/>
  <c r="H34" i="1027"/>
  <c r="H36" i="1027"/>
  <c r="H39" i="1027"/>
  <c r="H40" i="1027"/>
  <c r="E43" i="1027"/>
  <c r="E44" i="1027"/>
  <c r="E45" i="1027"/>
  <c r="H46" i="1027"/>
  <c r="E47" i="1027"/>
  <c r="H45" i="1027"/>
  <c r="A30" i="1027" l="1"/>
  <c r="A31" i="1027" s="1"/>
  <c r="A32" i="1027" s="1"/>
  <c r="A33" i="1027" s="1"/>
  <c r="C29" i="1022"/>
  <c r="D29" i="1022"/>
  <c r="A34" i="1027" l="1"/>
  <c r="A36" i="1027" s="1"/>
  <c r="A37" i="1027" s="1"/>
  <c r="A38" i="1027" s="1"/>
  <c r="A39" i="1027" s="1"/>
  <c r="A40" i="1027" s="1"/>
  <c r="A41" i="1027" s="1"/>
  <c r="A42" i="1027" s="1"/>
  <c r="A43" i="1027" s="1"/>
  <c r="A44" i="1027" s="1"/>
  <c r="A45" i="1027" s="1"/>
  <c r="A46" i="1027" s="1"/>
  <c r="A47" i="1027" s="1"/>
  <c r="A35" i="1027"/>
  <c r="B5" i="1023"/>
  <c r="A6" i="1023"/>
  <c r="H6" i="1023"/>
  <c r="A7" i="1023"/>
  <c r="B9" i="1023"/>
  <c r="B26" i="1022" s="1"/>
  <c r="B14" i="1023"/>
  <c r="B29" i="1022" s="1"/>
  <c r="A15" i="1023"/>
  <c r="A16" i="1023"/>
  <c r="B18" i="1023"/>
  <c r="B28" i="1022" s="1"/>
  <c r="A19" i="1023"/>
  <c r="A20" i="1023"/>
  <c r="E3" i="1022"/>
  <c r="E12" i="1022" s="1"/>
  <c r="E5" i="1022"/>
  <c r="E9" i="1022"/>
  <c r="E10" i="1022"/>
  <c r="E14" i="1022" s="1"/>
  <c r="A11" i="1022"/>
  <c r="A10" i="1022" s="1"/>
  <c r="A9" i="1022" s="1"/>
  <c r="A8" i="1022" s="1"/>
  <c r="A12" i="1022"/>
  <c r="A14" i="1022"/>
  <c r="A15" i="1022"/>
  <c r="A16" i="1022"/>
  <c r="E16" i="1022"/>
  <c r="A17" i="1022"/>
  <c r="A18" i="1022"/>
  <c r="E20" i="1022"/>
  <c r="A19" i="1022"/>
  <c r="E19" i="1022"/>
  <c r="A20" i="1022"/>
  <c r="H20" i="1022"/>
  <c r="A21" i="1022"/>
  <c r="B21" i="1022"/>
  <c r="C21" i="1022"/>
  <c r="D21" i="1022"/>
  <c r="A22" i="1022"/>
  <c r="E22" i="1022"/>
  <c r="A23" i="1022"/>
  <c r="E23" i="1022"/>
  <c r="A24" i="1022"/>
  <c r="E24" i="1022"/>
  <c r="A25" i="1022"/>
  <c r="E25" i="1022"/>
  <c r="A26" i="1022"/>
  <c r="C26" i="1022"/>
  <c r="D26" i="1022"/>
  <c r="A27" i="1022"/>
  <c r="B27" i="1022"/>
  <c r="C27" i="1022"/>
  <c r="D27" i="1022"/>
  <c r="A28" i="1022"/>
  <c r="A29" i="1022" s="1"/>
  <c r="C28" i="1022"/>
  <c r="D28" i="1022"/>
  <c r="E21" i="1022"/>
  <c r="H16" i="1022"/>
  <c r="H34" i="1022"/>
  <c r="H17" i="1022"/>
  <c r="H19" i="1022"/>
  <c r="E34" i="1022" l="1"/>
  <c r="E36" i="1022" s="1"/>
  <c r="E35" i="1022"/>
  <c r="A6" i="1022"/>
  <c r="A5" i="1022" s="1"/>
  <c r="A4" i="1022" s="1"/>
  <c r="A3" i="1022" s="1"/>
  <c r="A7" i="1022"/>
  <c r="E4" i="1018" l="1"/>
  <c r="E8" i="1018" s="1"/>
  <c r="B7" i="1018"/>
  <c r="A7" i="1018" s="1"/>
  <c r="A8" i="1018" s="1"/>
  <c r="A9" i="1018" s="1"/>
  <c r="A10" i="1018" s="1"/>
  <c r="A11" i="1018" s="1"/>
  <c r="E9" i="1018"/>
  <c r="E10" i="1018"/>
  <c r="E12" i="1018"/>
  <c r="E17" i="1018" s="1"/>
  <c r="B16" i="1018"/>
  <c r="A16" i="1018" s="1"/>
  <c r="A17" i="1018" s="1"/>
  <c r="A18" i="1018" s="1"/>
  <c r="A19" i="1018" s="1"/>
  <c r="A20" i="1018" s="1"/>
  <c r="D17" i="1018"/>
  <c r="E22" i="1018"/>
  <c r="B23" i="1018"/>
  <c r="A23" i="1018" s="1"/>
  <c r="A24" i="1018" s="1"/>
  <c r="E24" i="1018"/>
  <c r="E11" i="1018" l="1"/>
  <c r="E20" i="1018"/>
  <c r="E19" i="1018"/>
  <c r="E18" i="1018" s="1"/>
</calcChain>
</file>

<file path=xl/comments1.xml><?xml version="1.0" encoding="utf-8"?>
<comments xmlns="http://schemas.openxmlformats.org/spreadsheetml/2006/main">
  <authors>
    <author>kuvbur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Проверьте единицы измерения.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Бетон должен быть в куб.м.</t>
        </r>
      </text>
    </commen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1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1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G42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</commentList>
</comments>
</file>

<file path=xl/sharedStrings.xml><?xml version="1.0" encoding="utf-8"?>
<sst xmlns="http://schemas.openxmlformats.org/spreadsheetml/2006/main" count="5149" uniqueCount="3298">
  <si>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</si>
  <si>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</si>
  <si>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</si>
  <si>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</si>
  <si>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</si>
  <si>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</si>
  <si>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</si>
  <si>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</si>
  <si>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</si>
  <si>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</si>
  <si>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</si>
  <si>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</si>
  <si>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</si>
  <si>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</si>
  <si>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</si>
  <si>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</si>
  <si>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</si>
  <si>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</si>
  <si>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</si>
  <si>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</si>
  <si>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</si>
  <si>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</si>
  <si>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</si>
  <si>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</si>
  <si>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</si>
  <si>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</si>
  <si>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</si>
  <si>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</si>
  <si>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</si>
  <si>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</si>
  <si>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</si>
  <si>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</si>
  <si>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</si>
  <si>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</si>
  <si>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</si>
  <si>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</si>
  <si>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</si>
  <si>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</si>
  <si>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</si>
  <si>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</si>
  <si>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</si>
  <si>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</si>
  <si>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</si>
  <si>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</si>
  <si>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</si>
  <si>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</si>
  <si>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</si>
  <si>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</si>
  <si>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</si>
  <si>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</si>
  <si>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</si>
  <si>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</si>
  <si>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</si>
  <si>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</si>
  <si>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</si>
  <si>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</si>
  <si>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</si>
  <si>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</si>
  <si>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</si>
  <si>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</si>
  <si>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</si>
  <si>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</si>
  <si>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</si>
  <si>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</si>
  <si>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</si>
  <si>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</si>
  <si>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</si>
  <si>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</si>
  <si>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</si>
  <si>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</si>
  <si>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</si>
  <si>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</si>
  <si>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</si>
  <si>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</si>
  <si>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</si>
  <si>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</si>
  <si>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</si>
  <si>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</si>
  <si>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</si>
  <si>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</si>
  <si>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</si>
  <si>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</si>
  <si>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</si>
  <si>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</si>
  <si>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</si>
  <si>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</si>
  <si>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</si>
  <si>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</si>
  <si>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</si>
  <si>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</si>
  <si>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</si>
  <si>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</si>
  <si>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</si>
  <si>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</si>
  <si>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</si>
  <si>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</si>
  <si>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</si>
  <si>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</si>
  <si>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</si>
  <si>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</si>
  <si>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</si>
  <si>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</si>
  <si>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</si>
  <si>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</si>
  <si>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</si>
  <si>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</si>
  <si>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</si>
  <si>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</si>
  <si>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</si>
  <si>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</si>
  <si>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</si>
  <si>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</si>
  <si>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</si>
  <si>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</si>
  <si>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</si>
  <si>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</si>
  <si>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</si>
  <si>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</si>
  <si>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</si>
  <si>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</si>
  <si>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</si>
  <si>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</si>
  <si>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</si>
  <si>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</si>
  <si>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</si>
  <si>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</si>
  <si>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</si>
  <si>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</si>
  <si>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</si>
  <si>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</si>
  <si>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</si>
  <si>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</si>
  <si>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</si>
  <si>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</si>
  <si>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</si>
  <si>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</si>
  <si>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</si>
  <si>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</si>
  <si>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</si>
  <si>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</si>
  <si>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</si>
  <si>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</si>
  <si>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</si>
  <si>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</si>
  <si>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</si>
  <si>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</si>
  <si>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</si>
  <si>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</si>
  <si>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</si>
  <si>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</si>
  <si>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</si>
  <si>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</si>
  <si>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</si>
  <si>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</si>
  <si>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</si>
  <si>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</si>
  <si>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</si>
  <si>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</si>
  <si>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</si>
  <si>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</si>
  <si>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</si>
  <si>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</si>
  <si>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</si>
  <si>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</si>
  <si>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</si>
  <si>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</si>
  <si>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</si>
  <si>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</si>
  <si>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</si>
  <si>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</si>
  <si>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</si>
  <si>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</si>
  <si>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</si>
  <si>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</si>
  <si>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</si>
  <si>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</si>
  <si>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</si>
  <si>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</si>
  <si>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</si>
  <si>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</si>
  <si>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</si>
  <si>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</si>
  <si>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</si>
  <si>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</si>
  <si>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</si>
  <si>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</si>
  <si>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</si>
  <si>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</si>
  <si>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</si>
  <si>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</si>
  <si>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</si>
  <si>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</si>
  <si>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</si>
  <si>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</si>
  <si>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</si>
  <si>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</si>
  <si>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</si>
  <si>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</si>
  <si>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</si>
  <si>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</si>
  <si>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</si>
  <si>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</si>
  <si>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</si>
  <si>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</si>
  <si>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</si>
  <si>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</si>
  <si>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</si>
  <si>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</si>
  <si>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</si>
  <si>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</si>
  <si>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</si>
  <si>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</si>
  <si>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</si>
  <si>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</si>
  <si>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</si>
  <si>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</si>
  <si>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</si>
  <si>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</si>
  <si>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</si>
  <si>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</si>
  <si>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</si>
  <si>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</si>
  <si>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</si>
  <si>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</si>
  <si>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</si>
  <si>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</si>
  <si>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</si>
  <si>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</si>
  <si>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</si>
  <si>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</si>
  <si>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</si>
  <si>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</si>
  <si>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</si>
  <si>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</si>
  <si>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</si>
  <si>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</si>
  <si>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</si>
  <si>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</si>
  <si>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</si>
  <si>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</si>
  <si>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</si>
  <si>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</si>
  <si>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</si>
  <si>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</si>
  <si>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</si>
  <si>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</si>
  <si>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</si>
  <si>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</si>
  <si>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</si>
  <si>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</si>
  <si>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</si>
  <si>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</si>
  <si>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</si>
  <si>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</si>
  <si>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</si>
  <si>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</si>
  <si>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</si>
  <si>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</si>
  <si>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</si>
  <si>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</si>
  <si>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</si>
  <si>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</si>
  <si>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</si>
  <si>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</si>
  <si>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</si>
  <si>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</si>
  <si>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</si>
  <si>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</si>
  <si>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</si>
  <si>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</si>
  <si>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</si>
  <si>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</si>
  <si>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</si>
  <si>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</si>
  <si>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</si>
  <si>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</si>
  <si>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</si>
  <si>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</si>
  <si>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</si>
  <si>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</si>
  <si>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</si>
  <si>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</si>
  <si>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</si>
  <si>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</si>
  <si>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</si>
  <si>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</si>
  <si>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</si>
  <si>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</si>
  <si>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</si>
  <si>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</si>
  <si>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</si>
  <si>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</si>
  <si>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</si>
  <si>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</si>
  <si>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</si>
  <si>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</si>
  <si>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</si>
  <si>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</si>
  <si>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</si>
  <si>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</si>
  <si>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</si>
  <si>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</si>
  <si>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</si>
  <si>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</si>
  <si>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</si>
  <si>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</si>
  <si>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</si>
  <si>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</si>
  <si>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</si>
  <si>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</si>
  <si>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</si>
  <si>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</si>
  <si>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</si>
  <si>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</si>
  <si>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</si>
  <si>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</si>
  <si>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</si>
  <si>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</si>
  <si>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</si>
  <si>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</si>
  <si>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</si>
  <si>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</si>
  <si>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</si>
  <si>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</si>
  <si>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</si>
  <si>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</si>
  <si>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</si>
  <si>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</si>
  <si>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</si>
  <si>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</si>
  <si>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</si>
  <si>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</si>
  <si>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</si>
  <si>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</si>
  <si>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</si>
  <si>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</si>
  <si>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</si>
  <si>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</si>
  <si>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</si>
  <si>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</si>
  <si>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</si>
  <si>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</si>
  <si>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</si>
  <si>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</si>
  <si>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</si>
  <si>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</si>
  <si>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</si>
  <si>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</si>
  <si>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</si>
  <si>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</si>
  <si>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</si>
  <si>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</si>
  <si>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</si>
  <si>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</si>
  <si>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</si>
  <si>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</si>
  <si>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</si>
  <si>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</si>
  <si>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</si>
  <si>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</si>
  <si>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</si>
  <si>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</si>
  <si>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</si>
  <si>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</si>
  <si>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</si>
  <si>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</si>
  <si>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</si>
  <si>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</si>
  <si>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</si>
  <si>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</si>
  <si>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</si>
  <si>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</si>
  <si>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</si>
  <si>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</si>
  <si>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</si>
  <si>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</si>
  <si>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</si>
  <si>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</si>
  <si>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</si>
  <si>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</si>
  <si>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</si>
  <si>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</si>
  <si>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</si>
  <si>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</si>
  <si>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</si>
  <si>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</si>
  <si>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</si>
  <si>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</si>
  <si>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</si>
  <si>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</si>
  <si>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</si>
  <si>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</si>
  <si>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</si>
  <si>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</si>
  <si>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</si>
  <si>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</si>
  <si>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</si>
  <si>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</si>
  <si>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</si>
  <si>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</si>
  <si>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</si>
  <si>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</si>
  <si>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</si>
  <si>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</si>
  <si>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</si>
  <si>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</si>
  <si>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</si>
  <si>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</si>
  <si>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</si>
  <si>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</si>
  <si>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</si>
  <si>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</si>
  <si>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</si>
  <si>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</si>
  <si>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</si>
  <si>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</si>
  <si>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</si>
  <si>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</si>
  <si>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</si>
  <si>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</si>
  <si>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</si>
  <si>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</si>
  <si>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</si>
  <si>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</si>
  <si>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</si>
  <si>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</si>
  <si>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</si>
  <si>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</si>
  <si>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</si>
  <si>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</si>
  <si>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</si>
  <si>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</si>
  <si>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</si>
  <si>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</si>
  <si>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</si>
  <si>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</si>
  <si>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</si>
  <si>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</si>
  <si>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</si>
  <si>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</si>
  <si>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</si>
  <si>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</si>
  <si>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</si>
  <si>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</si>
  <si>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</si>
  <si>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</si>
  <si>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</si>
  <si>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</si>
  <si>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</si>
  <si>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</si>
  <si>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</si>
  <si>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</si>
  <si>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</si>
  <si>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</si>
  <si>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</si>
  <si>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</si>
  <si>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</si>
  <si>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</si>
  <si>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</si>
  <si>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</si>
  <si>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</si>
  <si>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</si>
  <si>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</si>
  <si>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</si>
  <si>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</si>
  <si>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</si>
  <si>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</si>
  <si>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</si>
  <si>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</si>
  <si>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</si>
  <si>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</si>
  <si>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</si>
  <si>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</si>
  <si>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</si>
  <si>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</si>
  <si>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</si>
  <si>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</si>
  <si>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</si>
  <si>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</si>
  <si>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</si>
  <si>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</si>
  <si>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</si>
  <si>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</si>
  <si>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</si>
  <si>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</si>
  <si>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</si>
  <si>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</si>
  <si>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</si>
  <si>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</si>
  <si>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</si>
  <si>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</si>
  <si>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</si>
  <si>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</si>
  <si>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</si>
  <si>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</si>
  <si>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</si>
  <si>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</si>
  <si>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</si>
  <si>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</si>
  <si>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</si>
  <si>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</si>
  <si>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</si>
  <si>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</si>
  <si>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</si>
  <si>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</si>
  <si>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</si>
  <si>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</si>
  <si>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</si>
  <si>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</si>
  <si>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</si>
  <si>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</si>
  <si>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</si>
  <si>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</si>
  <si>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</si>
  <si>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</si>
  <si>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</si>
  <si>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</si>
  <si>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</si>
  <si>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</si>
  <si>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</si>
  <si>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</si>
  <si>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</si>
  <si>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</si>
  <si>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</si>
  <si>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</si>
  <si>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</si>
  <si>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</si>
  <si>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</si>
  <si>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</si>
  <si>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</si>
  <si>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</si>
  <si>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</si>
  <si>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</si>
  <si>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</si>
  <si>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</si>
  <si>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</si>
  <si>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</si>
  <si>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</si>
  <si>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</si>
  <si>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</si>
  <si>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</si>
  <si>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</si>
  <si>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</si>
  <si>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</si>
  <si>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</si>
  <si>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</si>
  <si>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</si>
  <si>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</si>
  <si>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</si>
  <si>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</si>
  <si>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</si>
  <si>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</si>
  <si>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</si>
  <si>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</si>
  <si>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</si>
  <si>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</si>
  <si>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</si>
  <si>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</si>
  <si>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</si>
  <si>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</si>
  <si>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</si>
  <si>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</si>
  <si>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</si>
  <si>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</si>
  <si>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</si>
  <si>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</si>
  <si>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</si>
  <si>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</si>
  <si>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</si>
  <si>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</si>
  <si>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</si>
  <si>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</si>
  <si>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</si>
  <si>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</si>
  <si>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</si>
  <si>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</si>
  <si>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</si>
  <si>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</si>
  <si>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</si>
  <si>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</si>
  <si>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</si>
  <si>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</si>
  <si>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</si>
  <si>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</si>
  <si>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</si>
  <si>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</si>
  <si>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</si>
  <si>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</si>
  <si>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</si>
  <si>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</si>
  <si>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</si>
  <si>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</si>
  <si>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</si>
  <si>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</si>
  <si>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</si>
  <si>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</si>
  <si>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</si>
  <si>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</si>
  <si>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</si>
  <si>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</si>
  <si>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</si>
  <si>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</si>
  <si>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</si>
  <si>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</si>
  <si>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</si>
  <si>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</si>
  <si>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</si>
  <si>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</si>
  <si>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</si>
  <si>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</si>
  <si>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</si>
  <si>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</si>
  <si>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</si>
  <si>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</si>
  <si>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</si>
  <si>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</si>
  <si>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</si>
  <si>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</si>
  <si>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</si>
  <si>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</si>
  <si>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</si>
  <si>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</si>
  <si>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</si>
  <si>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</si>
  <si>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</si>
  <si>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</si>
  <si>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</si>
  <si>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</si>
  <si>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</si>
  <si>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</si>
  <si>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</si>
  <si>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</si>
  <si>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</si>
  <si>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</si>
  <si>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</si>
  <si>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</si>
  <si>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</si>
  <si>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</si>
  <si>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</si>
  <si>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</si>
  <si>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</si>
  <si>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</si>
  <si>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</si>
  <si>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</si>
  <si>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</si>
  <si>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</si>
  <si>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</si>
  <si>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</si>
  <si>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</si>
  <si>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</si>
  <si>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</si>
  <si>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</si>
  <si>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</si>
  <si>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</si>
  <si>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</si>
  <si>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</si>
  <si>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</si>
  <si>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</si>
  <si>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</si>
  <si>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</si>
  <si>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</si>
  <si>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</si>
  <si>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</si>
  <si>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</si>
  <si>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</si>
  <si>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</si>
  <si>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</si>
  <si>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</si>
  <si>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</si>
  <si>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</si>
  <si>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</si>
  <si>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</si>
  <si>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</si>
  <si>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</si>
  <si>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</si>
  <si>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</si>
  <si>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</si>
  <si>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</si>
  <si>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</si>
  <si>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</si>
  <si>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</si>
  <si>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</si>
  <si>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</si>
  <si>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</si>
  <si>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</si>
  <si>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</si>
  <si>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</si>
  <si>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</si>
  <si>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</si>
  <si>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</si>
  <si>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</si>
  <si>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</si>
  <si>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</si>
  <si>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</si>
  <si>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</si>
  <si>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</si>
  <si>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</si>
  <si>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</si>
  <si>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</si>
  <si>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</si>
  <si>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</si>
  <si>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</si>
  <si>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</si>
  <si>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</si>
  <si>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</si>
  <si>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</si>
  <si>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</si>
  <si>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</si>
  <si>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</si>
  <si>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</si>
  <si>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</si>
  <si>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</si>
  <si>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</si>
  <si>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</si>
  <si>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</si>
  <si>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</si>
  <si>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</si>
  <si>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</si>
  <si>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</si>
  <si>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</si>
  <si>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</si>
  <si>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</si>
  <si>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</si>
  <si>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</si>
  <si>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</si>
  <si>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</si>
  <si>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</si>
  <si>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</si>
  <si>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</si>
  <si>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</si>
  <si>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</si>
  <si>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</si>
  <si>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</si>
  <si>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</si>
  <si>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</si>
  <si>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</si>
  <si>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</si>
  <si>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</si>
  <si>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</si>
  <si>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</si>
  <si>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</si>
  <si>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</si>
  <si>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</si>
  <si>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</si>
  <si>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</si>
  <si>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</si>
  <si>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</si>
  <si>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</si>
  <si>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</si>
  <si>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</si>
  <si>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</si>
  <si>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</si>
  <si>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</si>
  <si>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</si>
  <si>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</si>
  <si>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</si>
  <si>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</si>
  <si>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</si>
  <si>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</si>
  <si>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</si>
  <si>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</si>
  <si>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</si>
  <si>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</si>
  <si>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</si>
  <si>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</si>
  <si>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</si>
  <si>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</si>
  <si>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</si>
  <si>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</si>
  <si>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</si>
  <si>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</si>
  <si>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</si>
  <si>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</si>
  <si>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</si>
  <si>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</si>
  <si>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</si>
  <si>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</si>
  <si>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</si>
  <si>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</si>
  <si>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</si>
  <si>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</si>
  <si>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</si>
  <si>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</si>
  <si>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</si>
  <si>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</si>
  <si>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</si>
  <si>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</si>
  <si>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</si>
  <si>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</si>
  <si>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</si>
  <si>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</si>
  <si>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</si>
  <si>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</si>
  <si>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</si>
  <si>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</si>
  <si>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</si>
  <si>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</si>
  <si>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</si>
  <si>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</si>
  <si>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</si>
  <si>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</si>
  <si>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</si>
  <si>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</si>
  <si>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</si>
  <si>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</si>
  <si>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</si>
  <si>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</si>
  <si>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</si>
  <si>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</si>
  <si>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</si>
  <si>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</si>
  <si>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</si>
  <si>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</si>
  <si>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</si>
  <si>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</si>
  <si>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</si>
  <si>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</si>
  <si>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</si>
  <si>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</si>
  <si>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</si>
  <si>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</si>
  <si>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</si>
  <si>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</si>
  <si>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</si>
  <si>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</si>
  <si>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</si>
  <si>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</si>
  <si>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</si>
  <si>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</si>
  <si>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</si>
  <si>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</si>
  <si>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</si>
  <si>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</si>
  <si>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</si>
  <si>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</si>
  <si>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</si>
  <si>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</si>
  <si>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</si>
  <si>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</si>
  <si>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</si>
  <si>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</si>
  <si>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</si>
  <si>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</si>
  <si>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</si>
  <si>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</si>
  <si>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</si>
  <si>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</si>
  <si>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</si>
  <si>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</si>
  <si>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</si>
  <si>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</si>
  <si>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</si>
  <si>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</si>
  <si>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</si>
  <si>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</si>
  <si>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</si>
  <si>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</si>
  <si>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</si>
  <si>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</si>
  <si>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</si>
  <si>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</si>
  <si>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</si>
  <si>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</si>
  <si>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</si>
  <si>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</si>
  <si>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</si>
  <si>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</si>
  <si>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</si>
  <si>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</si>
  <si>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</si>
  <si>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</si>
  <si>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</si>
  <si>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</si>
  <si>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</si>
  <si>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</si>
  <si>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</si>
  <si>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</si>
  <si>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</si>
  <si>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</si>
  <si>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</si>
  <si>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</si>
  <si>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</si>
  <si>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</si>
  <si>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</si>
  <si>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</si>
  <si>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</si>
  <si>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</si>
  <si>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</si>
  <si>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</si>
  <si>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</si>
  <si>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</si>
  <si>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</si>
  <si>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</si>
  <si>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</si>
  <si>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</si>
  <si>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</si>
  <si>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</si>
  <si>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</si>
  <si>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</si>
  <si>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</si>
  <si>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</si>
  <si>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</si>
  <si>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</si>
  <si>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</si>
  <si>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</si>
  <si>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</si>
  <si>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</si>
  <si>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</si>
  <si>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</si>
  <si>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</si>
  <si>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</si>
  <si>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</si>
  <si>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</si>
  <si>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</si>
  <si>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</si>
  <si>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</si>
  <si>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</si>
  <si>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</si>
  <si>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</si>
  <si>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</si>
  <si>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</si>
  <si>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</si>
  <si>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</si>
  <si>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</si>
  <si>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</si>
  <si>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</si>
  <si>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</si>
  <si>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</si>
  <si>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</si>
  <si>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</si>
  <si>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</si>
  <si>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</si>
  <si>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</si>
  <si>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</si>
  <si>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</si>
  <si>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</si>
  <si>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</si>
  <si>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</si>
  <si>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</si>
  <si>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</si>
  <si>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</si>
  <si>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</si>
  <si>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</si>
  <si>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</si>
  <si>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</si>
  <si>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</si>
  <si>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</si>
  <si>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</si>
  <si>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</si>
  <si>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</si>
  <si>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</si>
  <si>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</si>
  <si>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</si>
  <si>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</si>
  <si>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</si>
  <si>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</si>
  <si>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</si>
  <si>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</si>
  <si>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</si>
  <si>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</si>
  <si>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</si>
  <si>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</si>
  <si>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</si>
  <si>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</si>
  <si>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</si>
  <si>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</si>
  <si>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</si>
  <si>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</si>
  <si>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</si>
  <si>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</si>
  <si>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</si>
  <si>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</si>
  <si>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</si>
  <si>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</si>
  <si>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</si>
  <si>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</si>
  <si>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</si>
  <si>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</si>
  <si>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</si>
  <si>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</si>
  <si>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</si>
  <si>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</si>
  <si>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</si>
  <si>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</si>
  <si>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</si>
  <si>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</si>
  <si>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</si>
  <si>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</si>
  <si>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</si>
  <si>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</si>
  <si>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</si>
  <si>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</si>
  <si>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</si>
  <si>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</si>
  <si>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</si>
  <si>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</si>
  <si>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</si>
  <si>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</si>
  <si>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</si>
  <si>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</si>
  <si>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</si>
  <si>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</si>
  <si>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</si>
  <si>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</si>
  <si>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</si>
  <si>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</si>
  <si>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</si>
  <si>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</si>
  <si>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</si>
  <si>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</si>
  <si>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</si>
  <si>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</si>
  <si>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</si>
  <si>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</si>
  <si>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</si>
  <si>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</si>
  <si>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</si>
  <si>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</si>
  <si>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</si>
  <si>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</si>
  <si>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</si>
  <si>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</si>
  <si>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</si>
  <si>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</si>
  <si>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</si>
  <si>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</si>
  <si>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</si>
  <si>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</si>
  <si>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</si>
  <si>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</si>
  <si>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</si>
  <si>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</si>
  <si>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</si>
  <si>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</si>
  <si>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</si>
  <si>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</si>
  <si>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</si>
  <si>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</si>
  <si>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</si>
  <si>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</si>
  <si>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</si>
  <si>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</si>
  <si>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</si>
  <si>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</si>
  <si>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</si>
  <si>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</si>
  <si>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</si>
  <si>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</si>
  <si>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</si>
  <si>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</si>
  <si>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</si>
  <si>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</si>
  <si>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</si>
  <si>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</si>
  <si>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</si>
  <si>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</si>
  <si>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</si>
  <si>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</si>
  <si>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</si>
  <si>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</si>
  <si>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</si>
  <si>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</si>
  <si>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</si>
  <si>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</si>
  <si>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</si>
  <si>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</si>
  <si>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</si>
  <si>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</si>
  <si>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</si>
  <si>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</si>
  <si>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</si>
  <si>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</si>
  <si>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</si>
  <si>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</si>
  <si>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</si>
  <si>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</si>
  <si>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</si>
  <si>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</si>
  <si>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</si>
  <si>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</si>
  <si>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</si>
  <si>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</si>
  <si>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</si>
  <si>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</si>
  <si>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</si>
  <si>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</si>
  <si>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</si>
  <si>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</si>
  <si>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</si>
  <si>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</si>
  <si>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</si>
  <si>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</si>
  <si>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</si>
  <si>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</si>
  <si>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</si>
  <si>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</si>
  <si>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</si>
  <si>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</si>
  <si>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</si>
  <si>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</si>
  <si>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</si>
  <si>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</si>
  <si>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</si>
  <si>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</si>
  <si>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</si>
  <si>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</si>
  <si>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</si>
  <si>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</si>
  <si>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</si>
  <si>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</si>
  <si>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</si>
  <si>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</si>
  <si>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</si>
  <si>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</si>
  <si>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</si>
  <si>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</si>
  <si>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</si>
  <si>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</si>
  <si>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</si>
  <si>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</si>
  <si>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</si>
  <si>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</si>
  <si>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</si>
  <si>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</si>
  <si>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</si>
  <si>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</si>
  <si>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</si>
  <si>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</si>
  <si>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</si>
  <si>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</si>
  <si>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</si>
  <si>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</si>
  <si>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</si>
  <si>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</si>
  <si>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</si>
  <si>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</si>
  <si>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</si>
  <si>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</si>
  <si>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</si>
  <si>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</si>
  <si>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</si>
  <si>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</si>
  <si>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</si>
  <si>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</si>
  <si>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</si>
  <si>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</si>
  <si>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</si>
  <si>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</si>
  <si>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</si>
  <si>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</si>
  <si>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</si>
  <si>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</si>
  <si>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</si>
  <si>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</si>
  <si>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</si>
  <si>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</si>
  <si>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</si>
  <si>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</si>
  <si>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</si>
  <si>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</si>
  <si>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</si>
  <si>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</si>
  <si>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</si>
  <si>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</si>
  <si>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</si>
  <si>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</si>
  <si>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</si>
  <si>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</si>
  <si>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</si>
  <si>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</si>
  <si>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</si>
  <si>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</si>
  <si>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</si>
  <si>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</si>
  <si>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</si>
  <si>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</si>
  <si>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</si>
  <si>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</si>
  <si>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</si>
  <si>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</si>
  <si>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</si>
  <si>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</si>
  <si>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</si>
  <si>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</si>
  <si>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</si>
  <si>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</si>
  <si>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</si>
  <si>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</si>
  <si>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</si>
  <si>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</si>
  <si>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</si>
  <si>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</si>
  <si>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</si>
  <si>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</si>
  <si>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</si>
  <si>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</si>
  <si>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</si>
  <si>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</si>
  <si>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</si>
  <si>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</si>
  <si>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</si>
  <si>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</si>
  <si>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</si>
  <si>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</si>
  <si>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</si>
  <si>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</si>
  <si>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</si>
  <si>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</si>
  <si>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</si>
  <si>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</si>
  <si>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</si>
  <si>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</si>
  <si>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</si>
  <si>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</si>
  <si>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</si>
  <si>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</si>
  <si>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</si>
  <si>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</si>
  <si>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</si>
  <si>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</si>
  <si>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</si>
  <si>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</si>
  <si>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</si>
  <si>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</si>
  <si>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</si>
  <si>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</si>
  <si>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</si>
  <si>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</si>
  <si>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</si>
  <si>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</si>
  <si>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</si>
  <si>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</si>
  <si>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</si>
  <si>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</si>
  <si>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</si>
  <si>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</si>
  <si>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</si>
  <si>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</si>
  <si>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</si>
  <si>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</si>
  <si>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</si>
  <si>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</si>
  <si>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</si>
  <si>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</si>
  <si>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</si>
  <si>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</si>
  <si>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</si>
  <si>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</si>
  <si>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</si>
  <si>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</si>
  <si>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</si>
  <si>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</si>
  <si>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</si>
  <si>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</si>
  <si>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</si>
  <si>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</si>
  <si>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</si>
  <si>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</si>
  <si>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</si>
  <si>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</si>
  <si>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</si>
  <si>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</si>
  <si>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</si>
  <si>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</si>
  <si>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</si>
  <si>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</si>
  <si>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</si>
  <si>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</si>
  <si>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</si>
  <si>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</si>
  <si>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</si>
  <si>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</si>
  <si>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</si>
  <si>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</si>
  <si>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</si>
  <si>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</si>
  <si>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</si>
  <si>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</si>
  <si>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</si>
  <si>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</si>
  <si>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</si>
  <si>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</si>
  <si>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</si>
  <si>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</si>
  <si>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</si>
  <si>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</si>
  <si>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</si>
  <si>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</si>
  <si>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</si>
  <si>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</si>
  <si>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</si>
  <si>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</si>
  <si>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</si>
  <si>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</si>
  <si>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</si>
  <si>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</si>
  <si>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</si>
  <si>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</si>
  <si>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</si>
  <si>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</si>
  <si>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</si>
  <si>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</si>
  <si>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</si>
  <si>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</si>
  <si>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</si>
  <si>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</si>
  <si>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</si>
  <si>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</si>
  <si>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</si>
  <si>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</si>
  <si>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</si>
  <si>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</si>
  <si>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</si>
  <si>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</si>
  <si>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</si>
  <si>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</si>
  <si>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</si>
  <si>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</si>
  <si>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</si>
  <si>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</si>
  <si>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</si>
  <si>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</si>
  <si>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</si>
  <si>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</si>
  <si>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</si>
  <si>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</si>
  <si>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</si>
  <si>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</si>
  <si>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</si>
  <si>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</si>
  <si>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</si>
  <si>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</si>
  <si>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</si>
  <si>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</si>
  <si>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</si>
  <si>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</si>
  <si>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</si>
  <si>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</si>
  <si>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</si>
  <si>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</si>
  <si>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</si>
  <si>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</si>
  <si>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</si>
  <si>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</si>
  <si>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</si>
  <si>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</si>
  <si>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</si>
  <si>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</si>
  <si>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</si>
  <si>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</si>
  <si>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</si>
  <si>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</si>
  <si>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</si>
  <si>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</si>
  <si>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</si>
  <si>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</si>
  <si>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</si>
  <si>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</si>
  <si>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</si>
  <si>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</si>
  <si>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</si>
  <si>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</si>
  <si>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</si>
  <si>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</si>
  <si>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</si>
  <si>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</si>
  <si>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</si>
  <si>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</si>
  <si>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</si>
  <si>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</si>
  <si>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</si>
  <si>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</si>
  <si>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</si>
  <si>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</si>
  <si>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</si>
  <si>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</si>
  <si>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</si>
  <si>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</si>
  <si>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</si>
  <si>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</si>
  <si>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</si>
  <si>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</si>
  <si>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</si>
  <si>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</si>
  <si>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</si>
  <si>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</si>
  <si>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</si>
  <si>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</si>
  <si>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</si>
  <si>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</si>
  <si>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</si>
  <si>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</si>
  <si>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</si>
  <si>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</si>
  <si>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</si>
  <si>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</si>
  <si>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</si>
  <si>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</si>
  <si>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</si>
  <si>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</si>
  <si>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</si>
  <si>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</si>
  <si>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</si>
  <si>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</si>
  <si>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</si>
  <si>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</si>
  <si>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</si>
  <si>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</si>
  <si>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</si>
  <si>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</si>
  <si>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</si>
  <si>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</si>
  <si>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</si>
  <si>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</si>
  <si>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</si>
  <si>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</si>
  <si>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</si>
  <si>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</si>
  <si>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</si>
  <si>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</si>
  <si>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</si>
  <si>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</si>
  <si>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</si>
  <si>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</si>
  <si>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</si>
  <si>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</si>
  <si>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</si>
  <si>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</si>
  <si>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</si>
  <si>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</si>
  <si>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</si>
  <si>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</si>
  <si>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</si>
  <si>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</si>
  <si>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</si>
  <si>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</si>
  <si>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</si>
  <si>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</si>
  <si>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</si>
  <si>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</si>
  <si>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</si>
  <si>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</si>
  <si>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</si>
  <si>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</si>
  <si>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</si>
  <si>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</si>
  <si>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</si>
  <si>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</si>
  <si>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</si>
  <si>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</si>
  <si>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</si>
  <si>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</si>
  <si>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</si>
  <si>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</si>
  <si>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</si>
  <si>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</si>
  <si>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</si>
  <si>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</si>
  <si>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</si>
  <si>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</si>
  <si>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</si>
  <si>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</si>
  <si>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</si>
  <si>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</si>
  <si>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</si>
  <si>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</si>
  <si>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</si>
  <si>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</si>
  <si>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</si>
  <si>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</si>
  <si>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</si>
  <si>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</si>
  <si>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</si>
  <si>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</si>
  <si>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</si>
  <si>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</si>
  <si>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</si>
  <si>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</si>
  <si>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</si>
  <si>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</si>
  <si>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</si>
  <si>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</si>
  <si>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</si>
  <si>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</si>
  <si>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</si>
  <si>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</si>
  <si>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</si>
  <si>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</si>
  <si>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</si>
  <si>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</si>
  <si>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</si>
  <si>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</si>
  <si>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</si>
  <si>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</si>
  <si>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</si>
  <si>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</si>
  <si>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</si>
  <si>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</si>
  <si>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</si>
  <si>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</si>
  <si>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</si>
  <si>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</si>
  <si>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</si>
  <si>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</si>
  <si>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</si>
  <si>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</si>
  <si>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</si>
  <si>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</si>
  <si>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</si>
  <si>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</si>
  <si>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</si>
  <si>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</si>
  <si>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</si>
  <si>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</si>
  <si>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</si>
  <si>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</si>
  <si>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</si>
  <si>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</si>
  <si>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</si>
  <si>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</si>
  <si>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</si>
  <si>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</si>
  <si>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</si>
  <si>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</si>
  <si>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</si>
  <si>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</si>
  <si>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</si>
  <si>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</si>
  <si>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</si>
  <si>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</si>
  <si>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</si>
  <si>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</si>
  <si>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</si>
  <si>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</si>
  <si>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</si>
  <si>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</si>
  <si>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</si>
  <si>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</si>
  <si>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</si>
  <si>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</si>
  <si>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</si>
  <si>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</si>
  <si>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</si>
  <si>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</si>
  <si>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</si>
  <si>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</si>
  <si>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</si>
  <si>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</si>
  <si>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</si>
  <si>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</si>
  <si>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</si>
  <si>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</si>
  <si>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</si>
  <si>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</si>
  <si>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</si>
  <si>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</si>
  <si>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</si>
  <si>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</si>
  <si>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</si>
  <si>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</si>
  <si>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</si>
  <si>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</si>
  <si>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</si>
  <si>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</si>
  <si>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</si>
  <si>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</si>
  <si>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</si>
  <si>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</si>
  <si>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</si>
  <si>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</si>
  <si>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</si>
  <si>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</si>
  <si>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</si>
  <si>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</si>
  <si>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</si>
  <si>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</si>
  <si>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</si>
  <si>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</si>
  <si>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</si>
  <si>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</si>
  <si>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</si>
  <si>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</si>
  <si>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</si>
  <si>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</si>
  <si>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</si>
  <si>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</si>
  <si>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</si>
  <si>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</si>
  <si>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</si>
  <si>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</si>
  <si>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</si>
  <si>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</si>
  <si>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</si>
  <si>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</si>
  <si>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</si>
  <si>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</si>
  <si>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</si>
  <si>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</si>
  <si>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</si>
  <si>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</si>
  <si>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</si>
  <si>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</si>
  <si>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</si>
  <si>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</si>
  <si>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</si>
  <si>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</si>
  <si>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</si>
  <si>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</si>
  <si>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</si>
  <si>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</si>
  <si>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</si>
  <si>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</si>
  <si>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</si>
  <si>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</si>
  <si>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</si>
  <si>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</si>
  <si>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</si>
  <si>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</si>
  <si>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</si>
  <si>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</si>
  <si>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</si>
  <si>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</si>
  <si>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</si>
  <si>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</si>
  <si>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</si>
  <si>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</si>
  <si>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</si>
  <si>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</si>
  <si>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</si>
  <si>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</si>
  <si>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</si>
  <si>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</si>
  <si>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</si>
  <si>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</si>
  <si>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</si>
  <si>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</si>
  <si>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</si>
  <si>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</si>
  <si>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</si>
  <si>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</si>
  <si>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</si>
  <si>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</si>
  <si>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</si>
  <si>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</si>
  <si>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</si>
  <si>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</si>
  <si>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</si>
  <si>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</si>
  <si>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</si>
  <si>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</si>
  <si>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</si>
  <si>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</si>
  <si>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</si>
  <si>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</si>
  <si>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</si>
  <si>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</si>
  <si>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</si>
  <si>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</si>
  <si>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</si>
  <si>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</si>
  <si>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</si>
  <si>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</si>
  <si>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</si>
  <si>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</si>
  <si>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</si>
  <si>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</si>
  <si>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</si>
  <si>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</si>
  <si>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</si>
  <si>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</si>
  <si>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</si>
  <si>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</si>
  <si>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</si>
  <si>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</si>
  <si>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</si>
  <si>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</si>
  <si>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</si>
  <si>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</si>
  <si>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</si>
  <si>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</si>
  <si>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</si>
  <si>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</si>
  <si>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</si>
  <si>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</si>
  <si>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</si>
  <si>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</si>
  <si>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</si>
  <si>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</si>
  <si>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</si>
  <si>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</si>
  <si>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</si>
  <si>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</si>
  <si>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</si>
  <si>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</si>
  <si>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</si>
  <si>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</si>
  <si>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</si>
  <si>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</si>
  <si>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</si>
  <si>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</si>
  <si>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</si>
  <si>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</si>
  <si>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</si>
  <si>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</si>
  <si>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</si>
  <si>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</si>
  <si>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</si>
  <si>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</si>
  <si>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</si>
  <si>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</si>
  <si>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</si>
  <si>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</si>
  <si>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</si>
  <si>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</si>
  <si>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</si>
  <si>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</si>
  <si>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</si>
  <si>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</si>
  <si>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</si>
  <si>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</si>
  <si>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</si>
  <si>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</si>
  <si>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</si>
  <si>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</si>
  <si>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</si>
  <si>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</si>
  <si>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</si>
  <si>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</si>
  <si>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</si>
  <si>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</si>
  <si>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</si>
  <si>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</si>
  <si>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</si>
  <si>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</si>
  <si>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</si>
  <si>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</si>
  <si>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</si>
  <si>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</si>
  <si>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</si>
  <si>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</si>
  <si>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</si>
  <si>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</si>
  <si>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</si>
  <si>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</si>
  <si>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</si>
  <si>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</si>
  <si>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</si>
  <si>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</si>
  <si>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</si>
  <si>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</si>
  <si>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</si>
  <si>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</si>
  <si>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</si>
  <si>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</si>
  <si>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</si>
  <si>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</si>
  <si>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</si>
  <si>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</si>
  <si>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</si>
  <si>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</si>
  <si>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</si>
  <si>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</si>
  <si>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</si>
  <si>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</si>
  <si>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</si>
  <si>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</si>
  <si>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</si>
  <si>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</si>
  <si>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</si>
  <si>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</si>
  <si>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</si>
  <si>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</si>
  <si>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</si>
  <si>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</si>
  <si>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</si>
  <si>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</si>
  <si>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</si>
  <si>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</si>
  <si>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</si>
  <si>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</si>
  <si>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</si>
  <si>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</si>
  <si>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</si>
  <si>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</si>
  <si>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</si>
  <si>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</si>
  <si>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</si>
  <si>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</si>
  <si>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</si>
  <si>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</si>
  <si>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</si>
  <si>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</si>
  <si>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</si>
  <si>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</si>
  <si>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</si>
  <si>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</si>
  <si>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</si>
  <si>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</si>
  <si>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</si>
  <si>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</si>
  <si>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</si>
  <si>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</si>
  <si>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</si>
  <si>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</si>
  <si>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</si>
  <si>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</si>
  <si>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</si>
  <si>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</si>
  <si>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</si>
  <si>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</si>
  <si>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</si>
  <si>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</si>
  <si>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</si>
  <si>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</si>
  <si>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</si>
  <si>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</si>
  <si>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</si>
  <si>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</si>
  <si>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</si>
  <si>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</si>
  <si>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</si>
  <si>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</si>
  <si>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</si>
  <si>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</si>
  <si>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</si>
  <si>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</si>
  <si>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</si>
  <si>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</si>
  <si>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</si>
  <si>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</si>
  <si>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</si>
  <si>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</si>
  <si>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</si>
  <si>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</si>
  <si>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</si>
  <si>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</si>
  <si>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</si>
  <si>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</si>
  <si>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</si>
  <si>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</si>
  <si>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</si>
  <si>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</si>
  <si>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</si>
  <si>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</si>
  <si>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</si>
  <si>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</si>
  <si>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</si>
  <si>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</si>
  <si>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</si>
  <si>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</si>
  <si>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</si>
  <si>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</si>
  <si>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</si>
  <si>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</si>
  <si>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</si>
  <si>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</si>
  <si>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</si>
  <si>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</si>
  <si>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</si>
  <si>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</si>
  <si>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</si>
  <si>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</si>
  <si>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</si>
  <si>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</si>
  <si>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</si>
  <si>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</si>
  <si>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</si>
  <si>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</si>
  <si>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</si>
  <si>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</si>
  <si>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</si>
  <si>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</si>
  <si>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</si>
  <si>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</si>
  <si>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</si>
  <si>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</si>
  <si>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</si>
  <si>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</si>
  <si>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</si>
  <si>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</si>
  <si>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</si>
  <si>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</si>
  <si>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</si>
  <si>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</si>
  <si>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</si>
  <si>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</si>
  <si>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</si>
  <si>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</si>
  <si>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</si>
  <si>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</si>
  <si>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</si>
  <si>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</si>
  <si>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</si>
  <si>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</si>
  <si>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</si>
  <si>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</si>
  <si>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</si>
  <si>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</si>
  <si>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</si>
  <si>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</si>
  <si>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</si>
  <si>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</si>
  <si>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</si>
  <si>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</si>
  <si>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</si>
  <si>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</si>
  <si>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</si>
  <si>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</si>
  <si>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</si>
  <si>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</si>
  <si>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</si>
  <si>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</si>
  <si>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</si>
  <si>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</si>
  <si>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</si>
  <si>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</si>
  <si>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</si>
  <si>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</si>
  <si>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</si>
  <si>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</si>
  <si>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</si>
  <si>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</si>
  <si>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</si>
  <si>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</si>
  <si>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</si>
  <si>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</si>
  <si>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</si>
  <si>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</si>
  <si>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</si>
  <si>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</si>
  <si>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</si>
  <si>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</si>
  <si>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</si>
  <si>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</si>
  <si>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</si>
  <si>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</si>
  <si>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</si>
  <si>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</si>
  <si>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</si>
  <si>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</si>
  <si>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</si>
  <si>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</si>
  <si>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</si>
  <si>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</si>
  <si>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</si>
  <si>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</si>
  <si>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</si>
  <si>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</si>
  <si>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</si>
  <si>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</si>
  <si>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</si>
  <si>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</si>
  <si>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</si>
  <si>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</si>
  <si>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</si>
  <si>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</si>
  <si>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</si>
  <si>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</si>
  <si>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</si>
  <si>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</si>
  <si>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</si>
  <si>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</si>
  <si>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</si>
  <si>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</si>
  <si>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</si>
  <si>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</si>
  <si>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</si>
  <si>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</si>
  <si>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</si>
  <si>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</si>
  <si>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</si>
  <si>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</si>
  <si>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</si>
  <si>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</si>
  <si>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</si>
  <si>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</si>
  <si>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</si>
  <si>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</si>
  <si>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</si>
  <si>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</si>
  <si>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</si>
  <si>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</si>
  <si>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</si>
  <si>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</si>
  <si>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</si>
  <si>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</si>
  <si>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</si>
  <si>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</si>
  <si>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</si>
  <si>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</si>
  <si>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</si>
  <si>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</si>
  <si>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</si>
  <si>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</si>
  <si>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</si>
  <si>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</si>
  <si>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</si>
  <si>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</si>
  <si>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</si>
  <si>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</si>
  <si>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</si>
  <si>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</si>
  <si>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</si>
  <si>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</si>
  <si>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</si>
  <si>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</si>
  <si>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</si>
  <si>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</si>
  <si>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</si>
  <si>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</si>
  <si>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</si>
  <si>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</si>
  <si>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</si>
  <si>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</si>
  <si>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</si>
  <si>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</si>
  <si>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</si>
  <si>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</si>
  <si>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</si>
  <si>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</si>
  <si>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</si>
  <si>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</si>
  <si>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</si>
  <si>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</si>
  <si>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</si>
  <si>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</si>
  <si>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</si>
  <si>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</si>
  <si>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</si>
  <si>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</si>
  <si>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</si>
  <si>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</si>
  <si>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</si>
  <si>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</si>
  <si>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</si>
  <si>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</si>
  <si>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</si>
  <si>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</si>
  <si>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</si>
  <si>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</si>
  <si>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</si>
  <si>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</si>
  <si>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</si>
  <si>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</si>
  <si>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</si>
  <si>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</si>
  <si>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</si>
  <si>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</si>
  <si>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</si>
  <si>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</si>
  <si>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</si>
  <si>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</si>
  <si>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</si>
  <si>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</si>
  <si>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</si>
  <si>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</si>
  <si>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</si>
  <si>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</si>
  <si>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</si>
  <si>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</si>
  <si>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</si>
  <si>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</si>
  <si>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</si>
  <si>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</si>
  <si>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</si>
  <si>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</si>
  <si>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</si>
  <si>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</si>
  <si>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</si>
  <si>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</si>
  <si>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</si>
  <si>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</si>
  <si>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</si>
  <si>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</si>
  <si>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</si>
  <si>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</si>
  <si>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</si>
  <si>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</si>
  <si>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</si>
  <si>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</si>
  <si>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</si>
  <si>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</si>
  <si>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</si>
  <si>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</si>
  <si>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</si>
  <si>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</si>
  <si>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</si>
  <si>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</si>
  <si>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</si>
  <si>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</si>
  <si>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</si>
  <si>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</si>
  <si>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</si>
  <si>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</si>
  <si>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</si>
  <si>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</si>
  <si>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</si>
  <si>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</si>
  <si>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</si>
  <si>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</si>
  <si>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</si>
  <si>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</si>
  <si>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</si>
  <si>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</si>
  <si>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</si>
  <si>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</si>
  <si>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</si>
  <si>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</si>
  <si>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</si>
  <si>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</si>
  <si>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</si>
  <si>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</si>
  <si>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</si>
  <si>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</si>
  <si>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</si>
  <si>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</si>
  <si>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</si>
  <si>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</si>
  <si>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</si>
  <si>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</si>
  <si>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</si>
  <si>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</si>
  <si>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</si>
  <si>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</si>
  <si>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</si>
  <si>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</si>
  <si>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</si>
  <si>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</si>
  <si>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</si>
  <si>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</si>
  <si>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</si>
  <si>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</si>
  <si>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</si>
  <si>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</si>
  <si>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</si>
  <si>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</si>
  <si>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</si>
  <si>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</si>
  <si>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</si>
  <si>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</si>
  <si>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</si>
  <si>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</si>
  <si>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</si>
  <si>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</si>
  <si>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</si>
  <si>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</si>
  <si>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</si>
  <si>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</si>
  <si>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</si>
  <si>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</si>
  <si>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</si>
  <si>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</si>
  <si>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</si>
  <si>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</si>
  <si>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</si>
  <si>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</si>
  <si>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</si>
  <si>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</si>
  <si>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</si>
  <si>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</si>
  <si>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</si>
  <si>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</si>
  <si>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</si>
  <si>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</si>
  <si>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</si>
  <si>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</si>
  <si>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</si>
  <si>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</si>
  <si>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</si>
  <si>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</si>
  <si>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</si>
  <si>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</si>
  <si>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</si>
  <si>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</si>
  <si>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</si>
  <si>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</si>
  <si>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</si>
  <si>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</si>
  <si>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</si>
  <si>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</si>
  <si>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</si>
  <si>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</si>
  <si>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</si>
  <si>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</si>
  <si>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</si>
  <si>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</si>
  <si>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</si>
  <si>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</si>
  <si>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</si>
  <si>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</si>
  <si>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</si>
  <si>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</si>
  <si>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</si>
  <si>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</si>
  <si>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</si>
  <si>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</si>
  <si>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</si>
  <si>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</si>
  <si>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</si>
  <si>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</si>
  <si>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</si>
  <si>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</si>
  <si>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</si>
  <si>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</si>
  <si>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</si>
  <si>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</si>
  <si>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</si>
  <si>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</si>
  <si>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</si>
  <si>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</si>
  <si>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</si>
  <si>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</si>
  <si>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</si>
  <si>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</si>
  <si>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</si>
  <si>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</si>
  <si>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</si>
  <si>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</si>
  <si>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</si>
  <si>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</si>
  <si>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</si>
  <si>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</si>
  <si>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</si>
  <si>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</si>
  <si>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</si>
  <si>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</si>
  <si>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</si>
  <si>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</si>
  <si>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</si>
  <si>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</si>
  <si>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</si>
  <si>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</si>
  <si>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</si>
  <si>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</si>
  <si>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</si>
  <si>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</si>
  <si>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</si>
  <si>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</si>
  <si>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</si>
  <si>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</si>
  <si>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</si>
  <si>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</si>
  <si>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</si>
  <si>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</si>
  <si>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</si>
  <si>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</si>
  <si>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</si>
  <si>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</si>
  <si>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</si>
  <si>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</si>
  <si>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</si>
  <si>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</si>
  <si>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</si>
  <si>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</si>
  <si>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</si>
  <si>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</si>
  <si>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</si>
  <si>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</si>
  <si>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</si>
  <si>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</si>
  <si>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</si>
  <si>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</si>
  <si>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</si>
  <si>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</si>
  <si>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</si>
  <si>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</si>
  <si>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</si>
  <si>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</si>
  <si>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</si>
  <si>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</si>
  <si>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</si>
  <si>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</si>
  <si>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</si>
  <si>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</si>
  <si>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</si>
  <si>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</si>
  <si>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</si>
  <si>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</si>
  <si>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</si>
  <si>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</si>
  <si>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</si>
  <si>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</si>
  <si>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</si>
  <si>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</si>
  <si>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</si>
  <si>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</si>
  <si>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</si>
  <si>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</si>
  <si>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</si>
  <si>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</si>
  <si>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</si>
  <si>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</si>
  <si>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</si>
  <si>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</si>
  <si>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</si>
  <si>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</si>
  <si>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</si>
  <si>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</si>
  <si>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</si>
  <si>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</si>
  <si>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</si>
  <si>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</si>
  <si>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</si>
  <si>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</si>
  <si>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</si>
  <si>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</si>
  <si>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</si>
  <si>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</si>
  <si>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</si>
  <si>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</si>
  <si>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</si>
  <si>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</si>
  <si>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</si>
  <si>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</si>
  <si>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</si>
  <si>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</si>
  <si>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</si>
  <si>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</si>
  <si>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</si>
  <si>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</si>
  <si>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</si>
  <si>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</si>
  <si>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</si>
  <si>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</si>
  <si>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</si>
  <si>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</si>
  <si>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</si>
  <si>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</si>
  <si>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</si>
  <si>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</si>
  <si>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</si>
  <si>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</si>
  <si>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</si>
  <si>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</si>
  <si>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</si>
  <si>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</si>
  <si>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</si>
  <si>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</si>
  <si>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</si>
  <si>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</si>
  <si>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</si>
  <si>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</si>
  <si>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</si>
  <si>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</si>
  <si>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</si>
  <si>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</si>
  <si>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</si>
  <si>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</si>
  <si>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</si>
  <si>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</si>
  <si>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</si>
  <si>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</si>
  <si>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</si>
  <si>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</si>
  <si>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</si>
  <si>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</si>
  <si>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</si>
  <si>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</si>
  <si>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</si>
  <si>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</si>
  <si>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</si>
  <si>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</si>
  <si>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</si>
  <si>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</si>
  <si>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</si>
  <si>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</si>
  <si>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</si>
  <si>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</si>
  <si>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</si>
  <si>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</si>
  <si>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</si>
  <si>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</si>
  <si>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</si>
  <si>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</si>
  <si>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</si>
  <si>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</si>
  <si>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</si>
  <si>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</si>
  <si>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</si>
  <si>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</si>
  <si>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</si>
  <si>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</si>
  <si>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</si>
  <si>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</si>
  <si>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</si>
  <si>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</si>
  <si>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</si>
  <si>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</si>
  <si>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</si>
  <si>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</si>
  <si>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</si>
  <si>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</si>
  <si>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</si>
  <si>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</si>
  <si>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</si>
  <si>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</si>
  <si>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</si>
  <si>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</si>
  <si>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</si>
  <si>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</si>
  <si>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</si>
  <si>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</si>
  <si>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</si>
  <si>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</si>
  <si>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</si>
  <si>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</si>
  <si>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</si>
  <si>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</si>
  <si>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</si>
  <si>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</si>
  <si>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</si>
  <si>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</si>
  <si>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</si>
  <si>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</si>
  <si>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</si>
  <si>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</si>
  <si>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</si>
  <si>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</si>
  <si>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</si>
  <si>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</si>
  <si>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</si>
  <si>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</si>
  <si>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</si>
  <si>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</si>
  <si>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</si>
  <si>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</si>
  <si>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</si>
  <si>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</si>
  <si>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</si>
  <si>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</si>
  <si>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</si>
  <si>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</si>
  <si>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</si>
  <si>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</si>
  <si>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</si>
  <si>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</si>
  <si>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</si>
  <si>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</si>
  <si>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</si>
  <si>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</si>
  <si>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</si>
  <si>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</si>
  <si>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</si>
  <si>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</si>
  <si>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</si>
  <si>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</si>
  <si>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</si>
  <si>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</si>
  <si>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</si>
  <si>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</si>
  <si>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</si>
  <si>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</si>
  <si>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</si>
  <si>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</si>
  <si>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</si>
  <si>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</si>
  <si>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</si>
  <si>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</si>
  <si>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</si>
  <si>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</si>
  <si>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</si>
  <si>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</si>
  <si>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</si>
  <si>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</si>
  <si>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</si>
  <si>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</si>
  <si>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</si>
  <si>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</si>
  <si>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</si>
  <si>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</si>
  <si>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</si>
  <si>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</si>
  <si>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</si>
  <si>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</si>
  <si>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</si>
  <si>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</si>
  <si>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</si>
  <si>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</si>
  <si>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</si>
  <si>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</si>
  <si>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</si>
  <si>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</si>
  <si>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</si>
  <si>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</si>
  <si>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</si>
  <si>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</si>
  <si>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</si>
  <si>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</si>
  <si>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</si>
  <si>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</si>
  <si>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</si>
  <si>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</si>
  <si>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</si>
  <si>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</si>
  <si>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</si>
  <si>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</si>
  <si>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</si>
  <si>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</si>
  <si>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</si>
  <si>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</si>
  <si>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</si>
  <si>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</si>
  <si>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</si>
  <si>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</si>
  <si>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</si>
  <si>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</si>
  <si>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</si>
  <si>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</si>
  <si>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</si>
  <si>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</si>
  <si>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</si>
  <si>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</si>
  <si>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</si>
  <si>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</si>
  <si>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</si>
  <si>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</si>
  <si>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</si>
  <si>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</si>
  <si>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</si>
  <si>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</si>
  <si>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</si>
  <si>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</si>
  <si>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</si>
  <si>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</si>
  <si>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</si>
  <si>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</si>
  <si>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</si>
  <si>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</si>
  <si>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</si>
  <si>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</si>
  <si>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</si>
  <si>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</si>
  <si>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</si>
  <si>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</si>
  <si>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</si>
  <si>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</si>
  <si>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</si>
  <si>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</si>
  <si>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</si>
  <si>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</si>
  <si>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</si>
  <si>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</si>
  <si>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</si>
  <si>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</si>
  <si>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</si>
  <si>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</si>
  <si>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</si>
  <si>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</si>
  <si>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</si>
  <si>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</si>
  <si>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</si>
  <si>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</si>
  <si>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</si>
  <si>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</si>
  <si>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</si>
  <si>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</si>
  <si>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</si>
  <si>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</si>
  <si>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</si>
  <si>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</si>
  <si>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</si>
  <si>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</si>
  <si>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</si>
  <si>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</si>
  <si>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</si>
  <si>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</si>
  <si>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</si>
  <si>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</si>
  <si>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</si>
  <si>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</si>
  <si>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</si>
  <si>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</si>
  <si>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</si>
  <si>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</si>
  <si>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</si>
  <si>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</si>
  <si>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</si>
  <si>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</si>
  <si>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</si>
  <si>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</si>
  <si>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</si>
  <si>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</si>
  <si>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</si>
  <si>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</si>
  <si>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</si>
  <si>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</si>
  <si>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</si>
  <si>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</si>
  <si>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</si>
  <si>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</si>
  <si>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</si>
  <si>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</si>
  <si>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</si>
  <si>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</si>
  <si>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</si>
  <si>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</si>
  <si>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</si>
  <si>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</si>
  <si>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</si>
  <si>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</si>
  <si>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</si>
  <si>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</si>
  <si>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</si>
  <si>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</si>
  <si>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</si>
  <si>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</si>
  <si>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</si>
  <si>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</si>
  <si>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</si>
  <si>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</si>
  <si>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</si>
  <si>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</si>
  <si>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</si>
  <si>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</si>
  <si>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</si>
  <si>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</si>
  <si>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</si>
  <si>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</si>
  <si>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</si>
  <si>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</si>
  <si>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</si>
  <si>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</si>
  <si>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</si>
  <si>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</si>
  <si>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</si>
  <si>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</si>
  <si>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</si>
  <si>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</si>
  <si>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</si>
  <si>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</si>
  <si>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</si>
  <si>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</si>
  <si>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</si>
  <si>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</si>
  <si>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</si>
  <si>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</si>
  <si>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</si>
  <si>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</si>
  <si>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</si>
  <si>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</si>
  <si>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</si>
  <si>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</si>
  <si>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</si>
  <si>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</si>
  <si>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</si>
  <si>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</si>
  <si>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</si>
  <si>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</si>
  <si>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</si>
  <si>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</si>
  <si>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</si>
  <si>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</si>
  <si>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</si>
  <si>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</si>
  <si>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</si>
  <si>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</si>
  <si>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</si>
  <si>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</si>
  <si>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</si>
  <si>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</si>
  <si>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</si>
  <si>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</si>
  <si>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</si>
  <si>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</si>
  <si>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</si>
  <si>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</si>
  <si>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</si>
  <si>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</si>
  <si>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</si>
  <si>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</si>
  <si>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</si>
  <si>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</si>
  <si>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</si>
  <si>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</si>
  <si>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</si>
  <si>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</si>
  <si>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</si>
  <si>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</si>
  <si>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</si>
  <si>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</si>
  <si>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</si>
  <si>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</si>
  <si>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</si>
  <si>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</si>
  <si>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</si>
  <si>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</si>
  <si>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</si>
  <si>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</si>
  <si>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</si>
  <si>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</si>
  <si>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</si>
  <si>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</si>
  <si>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</si>
  <si>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</si>
  <si>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</si>
  <si>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</si>
  <si>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</si>
  <si>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</si>
  <si>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</si>
  <si>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</si>
  <si>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</si>
  <si>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</si>
  <si>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</si>
  <si>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</si>
  <si>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</si>
  <si>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</si>
  <si>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</si>
  <si>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</si>
  <si>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</si>
  <si>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</si>
  <si>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</si>
  <si>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</si>
  <si>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</si>
  <si>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</si>
  <si>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</si>
  <si>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</si>
  <si>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</si>
  <si>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</si>
  <si>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</si>
  <si>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</si>
  <si>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</si>
  <si>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</si>
  <si>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</si>
  <si>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</si>
  <si>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</si>
  <si>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</si>
  <si>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</si>
  <si>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</si>
  <si>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</si>
  <si>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</si>
  <si>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</si>
  <si>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</si>
  <si>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</si>
  <si>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</si>
  <si>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</si>
  <si>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</si>
  <si>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</si>
  <si>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</si>
  <si>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</si>
  <si>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</si>
  <si>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</si>
  <si>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</si>
  <si>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</si>
  <si>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</si>
  <si>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</si>
  <si>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</si>
  <si>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</si>
  <si>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</si>
  <si>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</si>
  <si>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</si>
  <si>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</si>
  <si>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</si>
  <si>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</si>
  <si>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</si>
  <si>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</si>
  <si>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</si>
  <si>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</si>
  <si>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</si>
  <si>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</si>
  <si>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</si>
  <si>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</si>
  <si>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</si>
  <si>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</si>
  <si>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</si>
  <si>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</si>
  <si>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</si>
  <si>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</si>
  <si>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</si>
  <si>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</si>
  <si>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</si>
  <si>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</si>
  <si>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</si>
  <si>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</si>
  <si>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</si>
  <si>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</si>
  <si>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</si>
  <si>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</si>
  <si>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</si>
  <si>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</si>
  <si>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</si>
  <si>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</si>
  <si>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</si>
  <si>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</si>
  <si>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</si>
  <si>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</si>
  <si>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</si>
  <si>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</si>
  <si>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</si>
  <si>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</si>
  <si>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</si>
  <si>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</si>
  <si>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</si>
  <si>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</si>
  <si>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</si>
  <si>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</si>
  <si>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</si>
  <si>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</si>
  <si>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</si>
  <si>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</si>
  <si>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</si>
  <si>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</si>
  <si>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</si>
  <si>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</si>
  <si>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</si>
  <si>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</si>
  <si>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</si>
  <si>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</si>
  <si>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</si>
  <si>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</si>
  <si>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</si>
  <si>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</si>
  <si>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</si>
  <si>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</si>
  <si>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</si>
  <si>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</si>
  <si>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</si>
  <si>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</si>
  <si>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</si>
  <si>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</si>
  <si>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</si>
  <si>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</si>
  <si>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</si>
  <si>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</si>
  <si>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</si>
  <si>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</si>
  <si>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</si>
  <si>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</si>
  <si>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</si>
  <si>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</si>
  <si>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</si>
  <si>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</si>
  <si>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</si>
  <si>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</si>
  <si>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</si>
  <si>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</si>
  <si>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</si>
  <si>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</si>
  <si>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</si>
  <si>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</si>
  <si>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</si>
  <si>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</si>
  <si>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</si>
  <si>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</si>
  <si>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</si>
  <si>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</si>
  <si>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</si>
  <si>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</si>
  <si>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</si>
  <si>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</si>
  <si>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</si>
  <si>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</si>
  <si>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</si>
  <si>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</si>
  <si>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</si>
  <si>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</si>
  <si>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</si>
  <si>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</si>
  <si>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</si>
  <si>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</si>
  <si>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</si>
  <si>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</si>
  <si>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</si>
  <si>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</si>
  <si>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</si>
  <si>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</si>
  <si>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</si>
  <si>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</si>
  <si>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</si>
  <si>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</si>
  <si>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</si>
  <si>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</si>
  <si>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</si>
  <si>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</si>
  <si>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</si>
  <si>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</si>
  <si>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</si>
  <si>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</si>
  <si>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</si>
  <si>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</si>
  <si>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</si>
  <si>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</si>
  <si>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</si>
  <si>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</si>
  <si>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</si>
  <si>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</si>
  <si>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</si>
  <si>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</si>
  <si>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</si>
  <si>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</si>
  <si>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</si>
  <si>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</si>
  <si>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</si>
  <si>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</si>
  <si>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</si>
  <si>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</si>
  <si>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</si>
  <si>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</si>
  <si>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</si>
  <si>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</si>
  <si>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</si>
  <si>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</si>
  <si>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</si>
  <si>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</si>
  <si>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</si>
  <si>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</si>
  <si>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</si>
  <si>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Кол-во</t>
  </si>
  <si>
    <t>Масса ед., кг.</t>
  </si>
  <si>
    <t>Примечание</t>
  </si>
  <si>
    <t>см. примечания</t>
  </si>
  <si>
    <t>Покрытие тип 1</t>
  </si>
  <si>
    <t>ГОСТ 8509-93</t>
  </si>
  <si>
    <t>Спецификация 1_гр</t>
  </si>
  <si>
    <t>Прокат</t>
  </si>
  <si>
    <t>Спецификация 1_кж</t>
  </si>
  <si>
    <t>7, 8, 9, 10, 11</t>
  </si>
  <si>
    <t>1, 2, 3, 4, 5, 6, 12, 13</t>
  </si>
  <si>
    <t>Armstrong Ceramguard (или аналог); Без отделки</t>
  </si>
  <si>
    <t>Потолок</t>
  </si>
  <si>
    <t>П2</t>
  </si>
  <si>
    <t>Armstrong Dune (или аналог); Без отделки</t>
  </si>
  <si>
    <t>П1</t>
  </si>
  <si>
    <t>Штукатурка; Шпатлёвка</t>
  </si>
  <si>
    <t>1_1_Перегородки кирпич.АР</t>
  </si>
  <si>
    <t>Кирпич 120 штукатурка с 2х сторон (1)</t>
  </si>
  <si>
    <t>Шпатлёвка ГКЛ</t>
  </si>
  <si>
    <t>1_1_Перегородки ГКЛ.АР</t>
  </si>
  <si>
    <t>ГКЛ - перегородка C112 250 мм</t>
  </si>
  <si>
    <t>ГКЛ - перегородка C112 125 мм</t>
  </si>
  <si>
    <t>ГКЛ - обшивка по каркасу С623 55 мм</t>
  </si>
  <si>
    <t>Армстронг; Без отделки</t>
  </si>
  <si>
    <t>!!П1</t>
  </si>
  <si>
    <t>Затирка; Шпатлёвка</t>
  </si>
  <si>
    <t>Колонны</t>
  </si>
  <si>
    <t>ЖБ</t>
  </si>
  <si>
    <t>!</t>
  </si>
  <si>
    <t>Зоны.АР</t>
  </si>
  <si>
    <t>Стены-разделители зон</t>
  </si>
  <si>
    <t>Грунтовка</t>
  </si>
  <si>
    <t>Окраска краской ВД-КЧ-183 (ГОСТ 28196-89)</t>
  </si>
  <si>
    <t>Добавить</t>
  </si>
  <si>
    <t>Окраска негорючей краской класса КМ0. НГ. моющейся. матовой</t>
  </si>
  <si>
    <t>Грунтовка; Шпатлёвка ГКЛ; Шпатлёвка</t>
  </si>
  <si>
    <t>Глазурованная керамическая плитка по ГОСТ 6141-91</t>
  </si>
  <si>
    <t>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</si>
  <si>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</si>
  <si>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</si>
  <si>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</si>
  <si>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</si>
  <si>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</t>
  </si>
  <si>
    <t>Подготовка поверхности стен, колонн</t>
  </si>
  <si>
    <t>Финишная отделка</t>
  </si>
  <si>
    <t xml:space="preserve"> Armstrong Dune (или аналог)</t>
  </si>
  <si>
    <t xml:space="preserve"> Armstrong Ceramguard (или аналог)</t>
  </si>
  <si>
    <t>Отделка потолка</t>
  </si>
  <si>
    <t>Общяя площадь отделки, кв.м.</t>
  </si>
  <si>
    <t>Lперим=107,3п.м.
Hmax=3,48м.</t>
  </si>
  <si>
    <t>Armstrong Dune (или аналог)</t>
  </si>
  <si>
    <t>1; 2; 3; 4; 5</t>
  </si>
  <si>
    <t>Тип_В</t>
  </si>
  <si>
    <t>Lперим=23,4п.м.
Hmax=3,48м.</t>
  </si>
  <si>
    <t>1,8</t>
  </si>
  <si>
    <t>Armstrong Ceramguard (или аналог)</t>
  </si>
  <si>
    <t>Тип_Б</t>
  </si>
  <si>
    <t>Lперим=21,5п.м.
Hmax=3,48м.</t>
  </si>
  <si>
    <t>8; 9; 10</t>
  </si>
  <si>
    <t>Тип_А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</si>
  <si>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</si>
  <si>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</si>
  <si>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</si>
  <si>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</si>
  <si>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</si>
  <si>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</si>
  <si>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Номера помещений</t>
  </si>
  <si>
    <t>Тип</t>
  </si>
  <si>
    <t>Устройство наружных стен из сэндвич-панелей с минераловатным утеплителем ТСП-Z-120-1000-В-Т-МВ</t>
  </si>
  <si>
    <t>ГОСТ 32603-2012</t>
  </si>
  <si>
    <t>Устройство стен, перегородок</t>
  </si>
  <si>
    <t>Площадь нар, кв.м</t>
  </si>
  <si>
    <t>!!!</t>
  </si>
  <si>
    <t>Длина вн цоколя, м</t>
  </si>
  <si>
    <t>Плитка керамическая на высоту 150 мм. от верха отмостки</t>
  </si>
  <si>
    <t>Штукатурка по сетке</t>
  </si>
  <si>
    <t>Окраска оштукатуренной поверхности атмосферостойой фасадной  в/э краской</t>
  </si>
  <si>
    <t>СТО 72746455-3.3.1-2012</t>
  </si>
  <si>
    <t>Утепление наружного ж/б цоколя</t>
  </si>
  <si>
    <t>Длина полистирола, мм</t>
  </si>
  <si>
    <t>Длина МВ, мм</t>
  </si>
  <si>
    <t>Толщина утеплителя,мм</t>
  </si>
  <si>
    <t>Длина,м</t>
  </si>
  <si>
    <t>МП Проект Труба водосточная D150</t>
  </si>
  <si>
    <t>МеталлПрофиль</t>
  </si>
  <si>
    <t>МП Проект Колено трубы сливное D150(60)</t>
  </si>
  <si>
    <t>МП Проект Колено трубы D150(60)</t>
  </si>
  <si>
    <t>МП Проект Держатель трубы D150</t>
  </si>
  <si>
    <t>Водосточная система</t>
  </si>
  <si>
    <t>Общая длина желобов, м</t>
  </si>
  <si>
    <t>Количество желобов</t>
  </si>
  <si>
    <t>Общая высота труб, м</t>
  </si>
  <si>
    <t>Количество труб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</si>
  <si>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</si>
  <si>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</si>
  <si>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</si>
  <si>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</si>
  <si>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</si>
  <si>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</si>
  <si>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</si>
  <si>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</si>
  <si>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</si>
  <si>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</si>
  <si>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</si>
  <si>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</si>
  <si>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</si>
  <si>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</si>
  <si>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</si>
  <si>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</si>
  <si>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</si>
  <si>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</si>
  <si>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</si>
  <si>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</si>
  <si>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</si>
  <si>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</si>
  <si>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</si>
  <si>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</si>
  <si>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</si>
  <si>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</si>
  <si>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</si>
  <si>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</si>
  <si>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</si>
  <si>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</si>
  <si>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</si>
  <si>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</si>
  <si>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</si>
  <si>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</si>
  <si>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</si>
  <si>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</si>
  <si>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Утепление ниже ур. отмостки - пенополистирол Технониколь Carbon Prof 300 (с креплением торельчатым дюбелем), t=150мм.</t>
  </si>
  <si>
    <t>Утепление выше ур. отмостки - минплита Технофас (с креплением торельчатым дюбелем), t=150мм.</t>
  </si>
  <si>
    <t>СТО 72746455-3.2.1-2018</t>
  </si>
  <si>
    <t>Окраска оштукатуренной поверхности атмосферостойой фасадной в/э краской</t>
  </si>
  <si>
    <t>Штукатурка для вн. работ, t=20мм.</t>
  </si>
  <si>
    <t>Облицовка двухслойная из листов ГКЛ тип С623</t>
  </si>
  <si>
    <t>Серия 1.073.9-2.08.1</t>
  </si>
  <si>
    <t>Перегородка с двумя слоями ГКЛ с обеих сторон, тип С112</t>
  </si>
  <si>
    <t>Серия 1.031.9-2.07</t>
  </si>
  <si>
    <t>Кладка из КР-р-по 250х120х65/1НФ/100/2,0/50 на ц/п растворе М75, t=120мм.</t>
  </si>
  <si>
    <t>ГОСТ 530-2012</t>
  </si>
  <si>
    <t>Устройство наружных стен из сэндвич-панелей с минераловатным утеплителем ТСП-Z-150-1000-В-Т-МВ</t>
  </si>
  <si>
    <t>"Rockwool" Аккустик Батс</t>
  </si>
  <si>
    <t>ТЕХНОРУФ Н ПРОФ, t=50мм., t=50мм.</t>
  </si>
  <si>
    <t>ТЕХНОРУФ В ЭКСТРА с, t=50мм., t=50мм.</t>
  </si>
  <si>
    <t>ТУ 5762-017-74182181-2015</t>
  </si>
  <si>
    <t>ТЕХНОРУФ Н КЛИН, t=150мм., t=150мм.</t>
  </si>
  <si>
    <t>ТУ 23.99.19-022-05961939-2017</t>
  </si>
  <si>
    <t>Полимерная мембрана LOGICROOF V-RP</t>
  </si>
  <si>
    <t>СТО 72746455-3.4.1-2013</t>
  </si>
  <si>
    <t>Паробарьер С</t>
  </si>
  <si>
    <t>СТО 72746455-3.1.9-2014</t>
  </si>
  <si>
    <t>Устройство кровли</t>
  </si>
  <si>
    <t>Бетон В15 F150</t>
  </si>
  <si>
    <t>ГОСТ 26633-2015</t>
  </si>
  <si>
    <t>Mastertop C713 0.1л/кв.м.</t>
  </si>
  <si>
    <t>Mastertop 450 5кг/кв.м.</t>
  </si>
  <si>
    <t>BASF</t>
  </si>
  <si>
    <t>4,62 кг.</t>
  </si>
  <si>
    <t>⌀5 A500C L= п.м.</t>
  </si>
  <si>
    <t>ГОСТ 34028-2016</t>
  </si>
  <si>
    <t>Пандус Пн</t>
  </si>
  <si>
    <t>38,52 кг.</t>
  </si>
  <si>
    <t>Решётка для чистки ног РН-7.5-2</t>
  </si>
  <si>
    <t>Серия 1.100.2-5</t>
  </si>
  <si>
    <t>Пв</t>
  </si>
  <si>
    <t>11,16 кг.</t>
  </si>
  <si>
    <t xml:space="preserve"> Уголок  40x3 L = п.м.</t>
  </si>
  <si>
    <t>12,48 кг.</t>
  </si>
  <si>
    <t>Входная площадка Пв</t>
  </si>
  <si>
    <t>Экструдированный
пенополистерол, t=30 мм</t>
  </si>
  <si>
    <t>Гидрошпонка ДЗ-140/30-4/35</t>
  </si>
  <si>
    <t>Праймер битумный концентрат 0.35л/кв.м</t>
  </si>
  <si>
    <t>ТУ 5775-011-17925162-2003</t>
  </si>
  <si>
    <t>Битум 70/30 в 2 слоя</t>
  </si>
  <si>
    <t>ГОСТ 25192-2012</t>
  </si>
  <si>
    <t>С-образный, хомут в стене</t>
  </si>
  <si>
    <t xml:space="preserve">Г-шка, выпуски в стены, двойная </t>
  </si>
  <si>
    <t xml:space="preserve"> П-шка по верху и торцу стены</t>
  </si>
  <si>
    <t>Фон стены нижняя сетка</t>
  </si>
  <si>
    <t xml:space="preserve"> П-шка по торцам фунд. Плиты</t>
  </si>
  <si>
    <t>Фон нижняя сетка</t>
  </si>
  <si>
    <t>Бетон В7.5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</si>
  <si>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</si>
  <si>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</si>
  <si>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</si>
  <si>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</si>
  <si>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</si>
  <si>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</si>
  <si>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</si>
  <si>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</si>
  <si>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</si>
  <si>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</si>
  <si>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</si>
  <si>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</si>
  <si>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</si>
  <si>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</si>
  <si>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</si>
  <si>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</si>
  <si>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</si>
  <si>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</si>
  <si>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</si>
  <si>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</si>
  <si>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</si>
  <si>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</si>
  <si>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</si>
  <si>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</si>
  <si>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</si>
  <si>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</si>
  <si>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</si>
  <si>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</si>
  <si>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</si>
  <si>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</si>
  <si>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</si>
  <si>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Марка
изделия.</t>
  </si>
  <si>
    <t>Поз.
дет.</t>
  </si>
  <si>
    <t>Кол-во*</t>
  </si>
  <si>
    <t>⌀10 A-I(A240) L=165мм.</t>
  </si>
  <si>
    <t>0,11 кг.</t>
  </si>
  <si>
    <t>⌀10 A-I(A240) L=1280мм.</t>
  </si>
  <si>
    <t>0,79 кг.</t>
  </si>
  <si>
    <t>ГОСТ 19903-2015 --10 L=50мм.</t>
  </si>
  <si>
    <t>3,93 кг.</t>
  </si>
  <si>
    <t>⌀14 A500C L=170мм.</t>
  </si>
  <si>
    <t>0,21 кг.</t>
  </si>
  <si>
    <t>ГОСТ 19903-2015 --8 L=2мм.</t>
  </si>
  <si>
    <t>0,13 кг.</t>
  </si>
  <si>
    <t>Уголок ГОСТ 8509-93 L250x28 L=100мм.</t>
  </si>
  <si>
    <t>7,86 кг.</t>
  </si>
  <si>
    <t>ГОСТ 19903-2015 --8 L=10мм.</t>
  </si>
  <si>
    <t>0,63 кг.</t>
  </si>
  <si>
    <t>Уголок ГОСТ 8509-93 L200x18 L=200мм.</t>
  </si>
  <si>
    <t>15,71 кг.</t>
  </si>
  <si>
    <t>Спм1_гр</t>
  </si>
  <si>
    <t>Изделия_спец.И</t>
  </si>
  <si>
    <t>Кровля_спец</t>
  </si>
  <si>
    <t>Масса 1 дет., кг.</t>
  </si>
  <si>
    <t>Масса изделия, кг.</t>
  </si>
  <si>
    <t>Крп20
(185 шт.)</t>
  </si>
  <si>
    <t>* расход на одно изделие</t>
  </si>
  <si>
    <t>Мн1
(1 шт.)</t>
  </si>
  <si>
    <t>Му2
(4 шт.)</t>
  </si>
  <si>
    <t>Перенумеровано сквнозной нумерацией</t>
  </si>
  <si>
    <t>Перенумеровано по сборкам</t>
  </si>
  <si>
    <t>Му1
(17 шт.)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</si>
  <si>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</si>
  <si>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</si>
  <si>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</si>
  <si>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</si>
  <si>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W6 F150</t>
  </si>
  <si>
    <t>Итого</t>
  </si>
  <si>
    <t>Спм1_норм</t>
  </si>
  <si>
    <t>_норм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</si>
  <si>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</si>
  <si>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</si>
  <si>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</si>
  <si>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</si>
  <si>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</si>
  <si>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</si>
  <si>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</si>
  <si>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</si>
  <si>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</si>
  <si>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</si>
  <si>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</si>
  <si>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</si>
  <si>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</si>
  <si>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ГОСТ 19903-2015</t>
  </si>
  <si>
    <t>⌀12</t>
  </si>
  <si>
    <t>⌀14</t>
  </si>
  <si>
    <t>⌀6</t>
  </si>
  <si>
    <t>⌀10</t>
  </si>
  <si>
    <t>Спм1, на все</t>
  </si>
  <si>
    <t>Спм1_кж</t>
  </si>
  <si>
    <t>АВТОКАД_Извлечение данных</t>
  </si>
  <si>
    <t>НИЖЕ ЭТИХ СТРОК НИЧЕГО ВРУЧНУЮ НЕ ВВОДИТЬ</t>
  </si>
  <si>
    <t>АВТОКАД_'A8C99B_*U237</t>
  </si>
  <si>
    <t>Пдм1</t>
  </si>
  <si>
    <t>АВТОКАД_'A8CA3A_*U119</t>
  </si>
  <si>
    <t>АВТОКАД_'A8CBF4_*U120</t>
  </si>
  <si>
    <t>АВТОКАД_'A95FFD_*U121</t>
  </si>
  <si>
    <t>АВТОКАД_'A9BF88_*U124</t>
  </si>
  <si>
    <t>АВТОКАД_'A9C0ED_*U123</t>
  </si>
  <si>
    <t>АВТОКАД_'AB7536_*U144</t>
  </si>
  <si>
    <t>АВТОКАД_'AB7701_*U145</t>
  </si>
  <si>
    <t>АВТОКАД_'AB77C0_*U146</t>
  </si>
  <si>
    <t>АВТОКАД_'AB8C87_*U142</t>
  </si>
  <si>
    <t>АВТОКАД_'AB8D01_*U141</t>
  </si>
  <si>
    <t>АВТОКАД_'AB8D7B_*U143</t>
  </si>
  <si>
    <t>АВТОКАД_'B4CF39_*U122</t>
  </si>
  <si>
    <t>АВТОКАД_Пдм1_autocad</t>
  </si>
  <si>
    <t>Гидрошпонка ХВС-120(2Ø)</t>
  </si>
  <si>
    <t>ТУ 5775-002-46603100-03 с изм.1.2</t>
  </si>
  <si>
    <t>З-шка</t>
  </si>
  <si>
    <t xml:space="preserve"> Пшки приямок</t>
  </si>
  <si>
    <t>Выпуски Пшки стены</t>
  </si>
  <si>
    <t>Выпуски Пшки стена большие</t>
  </si>
  <si>
    <t xml:space="preserve"> Доп АРМ У2</t>
  </si>
  <si>
    <t xml:space="preserve"> Доп АРМ X2</t>
  </si>
  <si>
    <t xml:space="preserve"> Доп АРМ У1</t>
  </si>
  <si>
    <t xml:space="preserve"> Доп АРМ Х1 </t>
  </si>
  <si>
    <t xml:space="preserve"> Доп АРМ X1</t>
  </si>
  <si>
    <t>Выпуски под колонны2</t>
  </si>
  <si>
    <t>Выпуски под колонны1</t>
  </si>
  <si>
    <t xml:space="preserve"> П-шка по торцам</t>
  </si>
  <si>
    <t xml:space="preserve"> Фон верхняя сетка</t>
  </si>
  <si>
    <t xml:space="preserve"> Фон нижняя сетка</t>
  </si>
  <si>
    <t>Праймер битумным концентрат 0.35л/кв.м</t>
  </si>
  <si>
    <t>Стяжка из ц/п раствора М150</t>
  </si>
  <si>
    <t>ГОСТ 28013-98</t>
  </si>
  <si>
    <t>Техноэласт ЭПП в 2 слоя t=8мм</t>
  </si>
  <si>
    <t>СТО 72746455-3.1.11-2015</t>
  </si>
  <si>
    <t>Бетон В15 W4 F100</t>
  </si>
  <si>
    <t xml:space="preserve">Бетон В7.5 </t>
  </si>
  <si>
    <t>Бетон В30 W8 F200</t>
  </si>
  <si>
    <t>Плита днища монолитная</t>
  </si>
  <si>
    <t>Площадь гидроизоляции,кв.м.</t>
  </si>
  <si>
    <t>Площадь отверстий, кв.м.</t>
  </si>
  <si>
    <t>Площадь, кв.м</t>
  </si>
  <si>
    <t>Периметр, мм</t>
  </si>
  <si>
    <t>Бетон В30 W8 F150</t>
  </si>
  <si>
    <t>сейсмика</t>
  </si>
  <si>
    <t>Пдм1_спец</t>
  </si>
  <si>
    <t>02.09.2020 20:55:47</t>
  </si>
  <si>
    <t>Бетон В7.5(подготовка)</t>
  </si>
  <si>
    <t>⌀14 A500C L= п.м.</t>
  </si>
  <si>
    <t>⌀12 A500C L= п.м.</t>
  </si>
  <si>
    <t>⌀12 A500C L=1480мм.</t>
  </si>
  <si>
    <t>⌀12 A500C L=870мм.</t>
  </si>
  <si>
    <t>⌀6 A-I(A240) L=245мм.</t>
  </si>
  <si>
    <t>Спм1_об</t>
  </si>
  <si>
    <t>_об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</si>
  <si>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</si>
  <si>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</si>
  <si>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</si>
  <si>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</si>
  <si>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</si>
  <si>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</si>
  <si>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</si>
  <si>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</si>
  <si>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</si>
  <si>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</si>
  <si>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</si>
  <si>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</si>
  <si>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</si>
  <si>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</si>
  <si>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</si>
  <si>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</si>
  <si>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</si>
  <si>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</si>
  <si>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</si>
  <si>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</si>
  <si>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</si>
  <si>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</si>
  <si>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</si>
  <si>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⌀12 A500C L=200мм.</t>
  </si>
  <si>
    <t>Прочие элементы</t>
  </si>
  <si>
    <t>Сортаменты обновлёны</t>
  </si>
  <si>
    <t>---</t>
  </si>
  <si>
    <t>Ведомость отделки фасадов</t>
  </si>
  <si>
    <t>Кровля_об</t>
  </si>
  <si>
    <t>Отделка_вед</t>
  </si>
  <si>
    <t>Отделка_правила</t>
  </si>
  <si>
    <t>Отделка_экспл</t>
  </si>
  <si>
    <t>Пандус_об</t>
  </si>
  <si>
    <t>Прочие</t>
  </si>
  <si>
    <t>⌀12 A500C L=3378мм.</t>
  </si>
  <si>
    <t>1,32</t>
  </si>
  <si>
    <t>0,78</t>
  </si>
  <si>
    <t>0,06</t>
  </si>
  <si>
    <t>83,5</t>
  </si>
  <si>
    <t>24,7</t>
  </si>
  <si>
    <t>19,3</t>
  </si>
  <si>
    <t>3,2</t>
  </si>
  <si>
    <t>0,18</t>
  </si>
  <si>
    <t>3,00</t>
  </si>
  <si>
    <t>243,5</t>
  </si>
  <si>
    <t>3191,76 кг.</t>
  </si>
  <si>
    <t>2871,54 кг.</t>
  </si>
  <si>
    <t>3*</t>
  </si>
  <si>
    <t>1412,4 кг.</t>
  </si>
  <si>
    <t>4*</t>
  </si>
  <si>
    <t>3 кг.</t>
  </si>
  <si>
    <t>834,6 кг.</t>
  </si>
  <si>
    <t>5*</t>
  </si>
  <si>
    <t>0,19 кг.</t>
  </si>
  <si>
    <t>477,3 кг.</t>
  </si>
  <si>
    <t>5,21 кг.</t>
  </si>
  <si>
    <t>188,53 кг.</t>
  </si>
  <si>
    <t>46,08 кг.</t>
  </si>
  <si>
    <t>0,72 кг.</t>
  </si>
  <si>
    <t>709,61 кг.</t>
  </si>
  <si>
    <t>21,07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</si>
</sst>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0" xfId="0" applyNumberFormat="1" applyFont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2" fillId="0" borderId="10" xfId="0" applyNumberFormat="1" applyFont="1" applyFill="1" applyBorder="1" applyAlignment="1">
      <alignment horizontal="center" vertical="center" wrapText="1" shrinkToFi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2" fillId="0" borderId="26" xfId="0" applyNumberFormat="1" applyFont="1" applyFill="1" applyBorder="1" applyAlignment="1">
      <alignment horizontal="center" vertical="center" wrapText="1" shrinkToFit="1"/>
    </xf>
    <xf numFmtId="49" fontId="24" fillId="0" borderId="26" xfId="0" applyNumberFormat="1" applyFont="1" applyFill="1" applyBorder="1" applyAlignment="1">
      <alignment horizontal="center" vertical="center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9" borderId="14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40" borderId="3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1" fillId="41" borderId="15" xfId="0" applyFont="1" applyFill="1" applyBorder="1" applyAlignment="1">
      <alignment horizontal="center" vertical="center" shrinkToFit="1"/>
    </xf>
    <xf numFmtId="0" fontId="20" fillId="42" borderId="15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43" borderId="14" xfId="0" applyFont="1" applyFill="1" applyBorder="1" applyAlignment="1">
      <alignment horizontal="center" vertical="center" wrapText="1"/>
    </xf>
    <xf numFmtId="0" fontId="20" fillId="43" borderId="10" xfId="0" applyFont="1" applyFill="1" applyBorder="1" applyAlignment="1">
      <alignment horizontal="center" vertical="center" wrapText="1"/>
    </xf>
    <xf numFmtId="0" fontId="20" fillId="43" borderId="11" xfId="0" applyFont="1" applyFill="1" applyBorder="1" applyAlignment="1">
      <alignment horizontal="center" vertical="center" wrapText="1"/>
    </xf>
    <xf numFmtId="0" fontId="20" fillId="44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shrinkToFit="1"/>
    </xf>
    <xf numFmtId="0" fontId="20" fillId="0" borderId="35" xfId="0" applyFont="1" applyFill="1" applyBorder="1" applyAlignment="1">
      <alignment horizontal="center" vertical="center" shrinkToFit="1"/>
    </xf>
    <xf numFmtId="0" fontId="21" fillId="41" borderId="36" xfId="0" applyFont="1" applyFill="1" applyBorder="1" applyAlignment="1">
      <alignment horizontal="center" vertical="center" shrinkToFi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49" fontId="22" fillId="0" borderId="24" xfId="0" applyNumberFormat="1" applyFont="1" applyFill="1" applyBorder="1" applyAlignment="1">
      <alignment horizontal="center" vertical="center" wrapText="1" shrinkToFi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textRotation="90" wrapText="1"/>
    </xf>
    <xf numFmtId="49" fontId="24" fillId="0" borderId="11" xfId="0" applyNumberFormat="1" applyFont="1" applyFill="1" applyBorder="1" applyAlignment="1">
      <alignment horizontal="center" vertical="center" textRotation="90" wrapText="1"/>
    </xf>
    <xf numFmtId="49" fontId="24" fillId="0" borderId="20" xfId="0" applyNumberFormat="1" applyFont="1" applyFill="1" applyBorder="1" applyAlignment="1">
      <alignment horizontal="center" vertical="center" textRotation="90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textRotation="90" wrapText="1"/>
    </xf>
    <xf numFmtId="49" fontId="20" fillId="0" borderId="12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49" fontId="20" fillId="0" borderId="18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textRotation="90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textRotation="90" wrapText="1"/>
    </xf>
    <xf numFmtId="0" fontId="20" fillId="0" borderId="10" xfId="0" applyFont="1" applyFill="1" applyBorder="1" applyAlignment="1">
      <alignment horizontal="center" vertical="center" textRotation="90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29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vbur\YandexDisk\&#1056;&#1072;&#1073;&#1086;&#1090;&#1072;\material-specification\&#1057;&#1087;&#1077;&#1094;-&#1050;&#1046;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м1_спец"/>
      <sheetName val="Изделия_спец.И"/>
      <sheetName val="Бм_спец"/>
      <sheetName val="из архикада Стены"/>
      <sheetName val="из архикада Плиты"/>
      <sheetName val="из архикада Колонны"/>
      <sheetName val="из архикада Балки"/>
      <sheetName val="из архикада Ведомость отверстий"/>
      <sheetName val="Пм1_кж"/>
      <sheetName val="Пм1_об"/>
      <sheetName val="Стремянки_об"/>
      <sheetName val="Бм_об"/>
      <sheetName val="Бм_кж"/>
      <sheetName val="Щиты_об"/>
      <sheetName val="Щиты"/>
      <sheetName val="Пандус_об"/>
      <sheetName val="Пдм1_об"/>
      <sheetName val="Пдм1_кж"/>
      <sheetName val="!System"/>
    </sheetNames>
    <sheetDataSet>
      <sheetData sheetId="0" refreshError="1"/>
      <sheetData sheetId="1" refreshError="1"/>
      <sheetData sheetId="2" refreshError="1"/>
      <sheetData sheetId="3">
        <row r="5">
          <cell r="A5" t="str">
            <v>Кр1</v>
          </cell>
          <cell r="C5" t="str">
            <v xml:space="preserve"> </v>
          </cell>
          <cell r="D5" t="str">
            <v>Каркас Кр1</v>
          </cell>
        </row>
        <row r="9">
          <cell r="A9" t="str">
            <v>Кр2</v>
          </cell>
          <cell r="C9" t="str">
            <v xml:space="preserve"> </v>
          </cell>
          <cell r="D9" t="str">
            <v>Каркас Кр2</v>
          </cell>
        </row>
        <row r="13">
          <cell r="A13" t="str">
            <v>Кр3</v>
          </cell>
          <cell r="C13" t="str">
            <v xml:space="preserve"> </v>
          </cell>
          <cell r="D13" t="str">
            <v>Каркас Кр3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1"/>
  <sheetViews>
    <sheetView workbookViewId="0"/>
  </sheetViews>
  <sheetFormatPr defaultRowHeight="15" x14ac:dyDescent="0.25"/>
  <cols>
    <col min="1" max="5" width="36.7109375" style="96" customWidth="1"/>
    <col min="6" max="6" width="9.140625" style="96"/>
    <col min="7" max="7" width="8.7109375" style="96" customWidth="1"/>
    <col min="8" max="8" width="15.7109375" style="96" customWidth="1"/>
    <col min="9" max="22" width="10.7109375" style="96" customWidth="1"/>
    <col min="23" max="16384" width="9.140625" style="5"/>
  </cols>
  <sheetData>
    <row r="1" spans="1:22" s="94" customFormat="1" ht="27.95" customHeight="1" x14ac:dyDescent="0.25">
      <c r="A1" s="95" t="s">
        <v>26</v>
      </c>
      <c r="B1" s="95" t="s">
        <v>27</v>
      </c>
      <c r="C1" s="95" t="s">
        <v>21</v>
      </c>
      <c r="D1" s="95" t="s">
        <v>22</v>
      </c>
      <c r="E1" s="95" t="s">
        <v>23</v>
      </c>
      <c r="F1" s="95"/>
      <c r="G1" s="95" t="s">
        <v>28</v>
      </c>
      <c r="H1" s="95" t="s">
        <v>29</v>
      </c>
      <c r="I1" s="95" t="s">
        <v>30</v>
      </c>
      <c r="J1" s="95" t="s">
        <v>31</v>
      </c>
      <c r="K1" s="95" t="s">
        <v>32</v>
      </c>
      <c r="L1" s="95" t="s">
        <v>33</v>
      </c>
      <c r="M1" s="95" t="s">
        <v>34</v>
      </c>
      <c r="N1" s="95" t="s">
        <v>35</v>
      </c>
      <c r="O1" s="95" t="s">
        <v>36</v>
      </c>
      <c r="P1" s="95" t="s">
        <v>37</v>
      </c>
      <c r="Q1" s="95" t="s">
        <v>38</v>
      </c>
      <c r="R1" s="95" t="s">
        <v>39</v>
      </c>
      <c r="S1" s="95" t="s">
        <v>40</v>
      </c>
      <c r="T1" s="95" t="s">
        <v>41</v>
      </c>
      <c r="U1" s="95" t="s">
        <v>42</v>
      </c>
      <c r="V1" s="95" t="s">
        <v>43</v>
      </c>
    </row>
    <row r="2" spans="1:22" x14ac:dyDescent="0.25">
      <c r="E2" s="97" t="s">
        <v>3258</v>
      </c>
      <c r="G2" s="96">
        <v>1</v>
      </c>
      <c r="H2" s="96" t="s">
        <v>3263</v>
      </c>
      <c r="I2" s="96" t="b">
        <v>0</v>
      </c>
      <c r="J2" s="96" t="b">
        <v>0</v>
      </c>
      <c r="K2" s="96" t="b">
        <v>0</v>
      </c>
      <c r="L2" s="96" t="b">
        <v>0</v>
      </c>
      <c r="M2" s="96" t="b">
        <v>1</v>
      </c>
      <c r="N2" s="96" t="b">
        <v>0</v>
      </c>
      <c r="O2" s="96" t="b">
        <v>1</v>
      </c>
      <c r="P2" s="96" t="b">
        <v>1</v>
      </c>
      <c r="Q2" s="96" t="b">
        <v>0</v>
      </c>
      <c r="R2" s="96" t="b">
        <v>0</v>
      </c>
      <c r="S2" s="96" t="b">
        <v>1</v>
      </c>
      <c r="T2" s="96" t="b">
        <v>0</v>
      </c>
      <c r="U2" s="96" t="b">
        <v>0</v>
      </c>
      <c r="V2" s="96" t="b">
        <v>0</v>
      </c>
    </row>
    <row r="3" spans="1:22" x14ac:dyDescent="0.25">
      <c r="C3" s="97" t="s">
        <v>3264</v>
      </c>
      <c r="G3" s="96">
        <v>1</v>
      </c>
      <c r="H3" s="96" t="s">
        <v>3263</v>
      </c>
      <c r="I3" s="96" t="b">
        <v>0</v>
      </c>
      <c r="J3" s="96" t="b">
        <v>0</v>
      </c>
      <c r="K3" s="96" t="b">
        <v>0</v>
      </c>
      <c r="L3" s="96" t="b">
        <v>0</v>
      </c>
      <c r="M3" s="96" t="b">
        <v>1</v>
      </c>
      <c r="N3" s="96" t="b">
        <v>0</v>
      </c>
      <c r="O3" s="96" t="b">
        <v>1</v>
      </c>
      <c r="P3" s="96" t="b">
        <v>1</v>
      </c>
      <c r="Q3" s="96" t="b">
        <v>0</v>
      </c>
      <c r="R3" s="96" t="b">
        <v>0</v>
      </c>
      <c r="S3" s="96" t="b">
        <v>1</v>
      </c>
      <c r="T3" s="96" t="b">
        <v>0</v>
      </c>
      <c r="U3" s="96" t="b">
        <v>0</v>
      </c>
      <c r="V3" s="96" t="b">
        <v>0</v>
      </c>
    </row>
    <row r="4" spans="1:22" x14ac:dyDescent="0.25">
      <c r="C4" s="97" t="s">
        <v>3140</v>
      </c>
      <c r="G4" s="96">
        <v>1</v>
      </c>
      <c r="H4" s="96" t="s">
        <v>3263</v>
      </c>
      <c r="I4" s="96" t="b">
        <v>0</v>
      </c>
      <c r="J4" s="96" t="b">
        <v>0</v>
      </c>
      <c r="K4" s="96" t="b">
        <v>0</v>
      </c>
      <c r="L4" s="96" t="b">
        <v>0</v>
      </c>
      <c r="M4" s="96" t="b">
        <v>1</v>
      </c>
      <c r="N4" s="96" t="b">
        <v>0</v>
      </c>
      <c r="O4" s="96" t="b">
        <v>1</v>
      </c>
      <c r="P4" s="96" t="b">
        <v>1</v>
      </c>
      <c r="Q4" s="96" t="b">
        <v>0</v>
      </c>
      <c r="R4" s="96" t="b">
        <v>0</v>
      </c>
      <c r="S4" s="96" t="b">
        <v>1</v>
      </c>
      <c r="T4" s="96" t="b">
        <v>0</v>
      </c>
      <c r="U4" s="96" t="b">
        <v>0</v>
      </c>
      <c r="V4" s="96" t="b">
        <v>0</v>
      </c>
    </row>
    <row r="5" spans="1:22" x14ac:dyDescent="0.25">
      <c r="D5" s="97" t="s">
        <v>3265</v>
      </c>
      <c r="G5" s="96">
        <v>1</v>
      </c>
      <c r="H5" s="96" t="s">
        <v>3263</v>
      </c>
      <c r="I5" s="96" t="b">
        <v>0</v>
      </c>
      <c r="J5" s="96" t="b">
        <v>0</v>
      </c>
      <c r="K5" s="96" t="b">
        <v>0</v>
      </c>
      <c r="L5" s="96" t="b">
        <v>0</v>
      </c>
      <c r="M5" s="96" t="b">
        <v>1</v>
      </c>
      <c r="N5" s="96" t="b">
        <v>0</v>
      </c>
      <c r="O5" s="96" t="b">
        <v>1</v>
      </c>
      <c r="P5" s="96" t="b">
        <v>1</v>
      </c>
      <c r="Q5" s="96" t="b">
        <v>0</v>
      </c>
      <c r="R5" s="96" t="b">
        <v>0</v>
      </c>
      <c r="S5" s="96" t="b">
        <v>1</v>
      </c>
      <c r="T5" s="96" t="b">
        <v>0</v>
      </c>
      <c r="U5" s="96" t="b">
        <v>0</v>
      </c>
      <c r="V5" s="96" t="b">
        <v>0</v>
      </c>
    </row>
    <row r="6" spans="1:22" x14ac:dyDescent="0.25">
      <c r="E6" s="97" t="s">
        <v>3141</v>
      </c>
      <c r="G6" s="96">
        <v>1</v>
      </c>
      <c r="H6" s="96" t="s">
        <v>3263</v>
      </c>
      <c r="I6" s="96" t="b">
        <v>0</v>
      </c>
      <c r="J6" s="96" t="b">
        <v>0</v>
      </c>
      <c r="K6" s="96" t="b">
        <v>0</v>
      </c>
      <c r="L6" s="96" t="b">
        <v>0</v>
      </c>
      <c r="M6" s="96" t="b">
        <v>1</v>
      </c>
      <c r="N6" s="96" t="b">
        <v>0</v>
      </c>
      <c r="O6" s="96" t="b">
        <v>1</v>
      </c>
      <c r="P6" s="96" t="b">
        <v>1</v>
      </c>
      <c r="Q6" s="96" t="b">
        <v>0</v>
      </c>
      <c r="R6" s="96" t="b">
        <v>0</v>
      </c>
      <c r="S6" s="96" t="b">
        <v>1</v>
      </c>
      <c r="T6" s="96" t="b">
        <v>0</v>
      </c>
      <c r="U6" s="96" t="b">
        <v>0</v>
      </c>
      <c r="V6" s="96" t="b">
        <v>0</v>
      </c>
    </row>
    <row r="7" spans="1:22" x14ac:dyDescent="0.25">
      <c r="D7" s="97" t="s">
        <v>2376</v>
      </c>
      <c r="G7" s="96">
        <v>1</v>
      </c>
      <c r="H7" s="96" t="s">
        <v>3263</v>
      </c>
      <c r="I7" s="96" t="b">
        <v>0</v>
      </c>
      <c r="J7" s="96" t="b">
        <v>0</v>
      </c>
      <c r="K7" s="96" t="b">
        <v>0</v>
      </c>
      <c r="L7" s="96" t="b">
        <v>0</v>
      </c>
      <c r="M7" s="96" t="b">
        <v>1</v>
      </c>
      <c r="N7" s="96" t="b">
        <v>0</v>
      </c>
      <c r="O7" s="96" t="b">
        <v>1</v>
      </c>
      <c r="P7" s="96" t="b">
        <v>1</v>
      </c>
      <c r="Q7" s="96" t="b">
        <v>0</v>
      </c>
      <c r="R7" s="96" t="b">
        <v>0</v>
      </c>
      <c r="S7" s="96" t="b">
        <v>1</v>
      </c>
      <c r="T7" s="96" t="b">
        <v>0</v>
      </c>
      <c r="U7" s="96" t="b">
        <v>0</v>
      </c>
      <c r="V7" s="96" t="b">
        <v>0</v>
      </c>
    </row>
    <row r="8" spans="1:22" x14ac:dyDescent="0.25">
      <c r="C8" s="97" t="s">
        <v>3266</v>
      </c>
      <c r="G8" s="96">
        <v>1</v>
      </c>
      <c r="H8" s="96" t="s">
        <v>3263</v>
      </c>
      <c r="I8" s="96" t="b">
        <v>0</v>
      </c>
      <c r="J8" s="96" t="b">
        <v>0</v>
      </c>
      <c r="K8" s="96" t="b">
        <v>0</v>
      </c>
      <c r="L8" s="96" t="b">
        <v>0</v>
      </c>
      <c r="M8" s="96" t="b">
        <v>1</v>
      </c>
      <c r="N8" s="96" t="b">
        <v>0</v>
      </c>
      <c r="O8" s="96" t="b">
        <v>1</v>
      </c>
      <c r="P8" s="96" t="b">
        <v>1</v>
      </c>
      <c r="Q8" s="96" t="b">
        <v>0</v>
      </c>
      <c r="R8" s="96" t="b">
        <v>0</v>
      </c>
      <c r="S8" s="96" t="b">
        <v>1</v>
      </c>
      <c r="T8" s="96" t="b">
        <v>0</v>
      </c>
      <c r="U8" s="96" t="b">
        <v>0</v>
      </c>
      <c r="V8" s="96" t="b">
        <v>0</v>
      </c>
    </row>
    <row r="9" spans="1:22" x14ac:dyDescent="0.25">
      <c r="E9" s="97" t="s">
        <v>3267</v>
      </c>
      <c r="G9" s="96">
        <v>1</v>
      </c>
      <c r="H9" s="96" t="s">
        <v>3263</v>
      </c>
      <c r="I9" s="96" t="b">
        <v>0</v>
      </c>
      <c r="J9" s="96" t="b">
        <v>0</v>
      </c>
      <c r="K9" s="96" t="b">
        <v>0</v>
      </c>
      <c r="L9" s="96" t="b">
        <v>0</v>
      </c>
      <c r="M9" s="96" t="b">
        <v>1</v>
      </c>
      <c r="N9" s="96" t="b">
        <v>0</v>
      </c>
      <c r="O9" s="96" t="b">
        <v>1</v>
      </c>
      <c r="P9" s="96" t="b">
        <v>1</v>
      </c>
      <c r="Q9" s="96" t="b">
        <v>0</v>
      </c>
      <c r="R9" s="96" t="b">
        <v>0</v>
      </c>
      <c r="S9" s="96" t="b">
        <v>1</v>
      </c>
      <c r="T9" s="96" t="b">
        <v>0</v>
      </c>
      <c r="U9" s="96" t="b">
        <v>0</v>
      </c>
      <c r="V9" s="96" t="b">
        <v>0</v>
      </c>
    </row>
    <row r="10" spans="1:22" x14ac:dyDescent="0.25">
      <c r="C10" s="97" t="s">
        <v>3268</v>
      </c>
      <c r="G10" s="96">
        <v>1</v>
      </c>
      <c r="H10" s="96" t="s">
        <v>3263</v>
      </c>
      <c r="I10" s="96" t="b">
        <v>0</v>
      </c>
      <c r="J10" s="96" t="b">
        <v>0</v>
      </c>
      <c r="K10" s="96" t="b">
        <v>0</v>
      </c>
      <c r="L10" s="96" t="b">
        <v>0</v>
      </c>
      <c r="M10" s="96" t="b">
        <v>1</v>
      </c>
      <c r="N10" s="96" t="b">
        <v>0</v>
      </c>
      <c r="O10" s="96" t="b">
        <v>1</v>
      </c>
      <c r="P10" s="96" t="b">
        <v>1</v>
      </c>
      <c r="Q10" s="96" t="b">
        <v>0</v>
      </c>
      <c r="R10" s="96" t="b">
        <v>0</v>
      </c>
      <c r="S10" s="96" t="b">
        <v>1</v>
      </c>
      <c r="T10" s="96" t="b">
        <v>0</v>
      </c>
      <c r="U10" s="96" t="b">
        <v>0</v>
      </c>
      <c r="V10" s="96" t="b">
        <v>0</v>
      </c>
    </row>
    <row r="11" spans="1:22" x14ac:dyDescent="0.25">
      <c r="D11" s="97" t="s">
        <v>3269</v>
      </c>
      <c r="G11" s="96">
        <v>1</v>
      </c>
      <c r="H11" s="96" t="s">
        <v>3263</v>
      </c>
      <c r="I11" s="96" t="b">
        <v>0</v>
      </c>
      <c r="J11" s="96" t="b">
        <v>0</v>
      </c>
      <c r="K11" s="96" t="b">
        <v>0</v>
      </c>
      <c r="L11" s="96" t="b">
        <v>0</v>
      </c>
      <c r="M11" s="96" t="b">
        <v>1</v>
      </c>
      <c r="N11" s="96" t="b">
        <v>0</v>
      </c>
      <c r="O11" s="96" t="b">
        <v>1</v>
      </c>
      <c r="P11" s="96" t="b">
        <v>1</v>
      </c>
      <c r="Q11" s="96" t="b">
        <v>0</v>
      </c>
      <c r="R11" s="96" t="b">
        <v>0</v>
      </c>
      <c r="S11" s="96" t="b">
        <v>1</v>
      </c>
      <c r="T11" s="96" t="b">
        <v>0</v>
      </c>
      <c r="U11" s="96" t="b">
        <v>0</v>
      </c>
      <c r="V11" s="96" t="b">
        <v>0</v>
      </c>
    </row>
    <row r="12" spans="1:22" x14ac:dyDescent="0.25">
      <c r="E12" s="97" t="s">
        <v>3227</v>
      </c>
      <c r="G12" s="96">
        <v>1</v>
      </c>
      <c r="H12" s="96" t="s">
        <v>3263</v>
      </c>
      <c r="I12" s="96" t="b">
        <v>0</v>
      </c>
      <c r="J12" s="96" t="b">
        <v>0</v>
      </c>
      <c r="K12" s="96" t="b">
        <v>0</v>
      </c>
      <c r="L12" s="96" t="b">
        <v>0</v>
      </c>
      <c r="M12" s="96" t="b">
        <v>1</v>
      </c>
      <c r="N12" s="96" t="b">
        <v>0</v>
      </c>
      <c r="O12" s="96" t="b">
        <v>1</v>
      </c>
      <c r="P12" s="96" t="b">
        <v>1</v>
      </c>
      <c r="Q12" s="96" t="b">
        <v>0</v>
      </c>
      <c r="R12" s="96" t="b">
        <v>0</v>
      </c>
      <c r="S12" s="96" t="b">
        <v>1</v>
      </c>
      <c r="T12" s="96" t="b">
        <v>0</v>
      </c>
      <c r="U12" s="96" t="b">
        <v>0</v>
      </c>
      <c r="V12" s="96" t="b">
        <v>0</v>
      </c>
    </row>
    <row r="13" spans="1:22" x14ac:dyDescent="0.25">
      <c r="D13" s="97" t="s">
        <v>3091</v>
      </c>
      <c r="G13" s="96">
        <v>1</v>
      </c>
      <c r="H13" s="96" t="s">
        <v>3263</v>
      </c>
      <c r="I13" s="96" t="b">
        <v>0</v>
      </c>
      <c r="J13" s="96" t="b">
        <v>0</v>
      </c>
      <c r="K13" s="96" t="b">
        <v>0</v>
      </c>
      <c r="L13" s="96" t="b">
        <v>0</v>
      </c>
      <c r="M13" s="96" t="b">
        <v>1</v>
      </c>
      <c r="N13" s="96" t="b">
        <v>0</v>
      </c>
      <c r="O13" s="96" t="b">
        <v>1</v>
      </c>
      <c r="P13" s="96" t="b">
        <v>1</v>
      </c>
      <c r="Q13" s="96" t="b">
        <v>0</v>
      </c>
      <c r="R13" s="96" t="b">
        <v>0</v>
      </c>
      <c r="S13" s="96" t="b">
        <v>1</v>
      </c>
      <c r="T13" s="96" t="b">
        <v>0</v>
      </c>
      <c r="U13" s="96" t="b">
        <v>0</v>
      </c>
      <c r="V13" s="96" t="b">
        <v>0</v>
      </c>
    </row>
    <row r="14" spans="1:22" x14ac:dyDescent="0.25">
      <c r="D14" s="97" t="s">
        <v>3139</v>
      </c>
      <c r="G14" s="96">
        <v>1</v>
      </c>
      <c r="H14" s="96" t="s">
        <v>3263</v>
      </c>
      <c r="I14" s="96" t="b">
        <v>0</v>
      </c>
      <c r="J14" s="96" t="b">
        <v>0</v>
      </c>
      <c r="K14" s="96" t="b">
        <v>0</v>
      </c>
      <c r="L14" s="96" t="b">
        <v>0</v>
      </c>
      <c r="M14" s="96" t="b">
        <v>1</v>
      </c>
      <c r="N14" s="96" t="b">
        <v>0</v>
      </c>
      <c r="O14" s="96" t="b">
        <v>1</v>
      </c>
      <c r="P14" s="96" t="b">
        <v>1</v>
      </c>
      <c r="Q14" s="96" t="b">
        <v>0</v>
      </c>
      <c r="R14" s="96" t="b">
        <v>0</v>
      </c>
      <c r="S14" s="96" t="b">
        <v>1</v>
      </c>
      <c r="T14" s="96" t="b">
        <v>0</v>
      </c>
      <c r="U14" s="96" t="b">
        <v>0</v>
      </c>
      <c r="V14" s="96" t="b">
        <v>0</v>
      </c>
    </row>
    <row r="15" spans="1:22" x14ac:dyDescent="0.25">
      <c r="D15" s="97" t="s">
        <v>3178</v>
      </c>
      <c r="G15" s="96">
        <v>1</v>
      </c>
      <c r="H15" s="96" t="s">
        <v>3263</v>
      </c>
      <c r="I15" s="96" t="b">
        <v>0</v>
      </c>
      <c r="J15" s="96" t="b">
        <v>0</v>
      </c>
      <c r="K15" s="96" t="b">
        <v>0</v>
      </c>
      <c r="L15" s="96" t="b">
        <v>0</v>
      </c>
      <c r="M15" s="96" t="b">
        <v>1</v>
      </c>
      <c r="N15" s="96" t="b">
        <v>0</v>
      </c>
      <c r="O15" s="96" t="b">
        <v>1</v>
      </c>
      <c r="P15" s="96" t="b">
        <v>1</v>
      </c>
      <c r="Q15" s="96" t="b">
        <v>0</v>
      </c>
      <c r="R15" s="96" t="b">
        <v>0</v>
      </c>
      <c r="S15" s="96" t="b">
        <v>1</v>
      </c>
      <c r="T15" s="96" t="b">
        <v>0</v>
      </c>
      <c r="U15" s="96" t="b">
        <v>0</v>
      </c>
      <c r="V15" s="96" t="b">
        <v>0</v>
      </c>
    </row>
    <row r="16" spans="1:22" x14ac:dyDescent="0.25">
      <c r="C16" s="97" t="s">
        <v>3157</v>
      </c>
      <c r="G16" s="96">
        <v>1</v>
      </c>
      <c r="H16" s="96" t="s">
        <v>3263</v>
      </c>
      <c r="I16" s="96" t="b">
        <v>0</v>
      </c>
      <c r="J16" s="96" t="b">
        <v>0</v>
      </c>
      <c r="K16" s="96" t="b">
        <v>0</v>
      </c>
      <c r="L16" s="96" t="b">
        <v>0</v>
      </c>
      <c r="M16" s="96" t="b">
        <v>1</v>
      </c>
      <c r="N16" s="96" t="b">
        <v>0</v>
      </c>
      <c r="O16" s="96" t="b">
        <v>1</v>
      </c>
      <c r="P16" s="96" t="b">
        <v>1</v>
      </c>
      <c r="Q16" s="96" t="b">
        <v>0</v>
      </c>
      <c r="R16" s="96" t="b">
        <v>0</v>
      </c>
      <c r="S16" s="96" t="b">
        <v>1</v>
      </c>
      <c r="T16" s="96" t="b">
        <v>0</v>
      </c>
      <c r="U16" s="96" t="b">
        <v>0</v>
      </c>
      <c r="V16" s="96" t="b">
        <v>0</v>
      </c>
    </row>
    <row r="17" spans="1:22" x14ac:dyDescent="0.25">
      <c r="D17" s="97" t="s">
        <v>3235</v>
      </c>
      <c r="G17" s="96">
        <v>1</v>
      </c>
      <c r="H17" s="96" t="s">
        <v>3263</v>
      </c>
      <c r="I17" s="96" t="b">
        <v>0</v>
      </c>
      <c r="J17" s="96" t="b">
        <v>0</v>
      </c>
      <c r="K17" s="96" t="b">
        <v>0</v>
      </c>
      <c r="L17" s="96" t="b">
        <v>0</v>
      </c>
      <c r="M17" s="96" t="b">
        <v>1</v>
      </c>
      <c r="N17" s="96" t="b">
        <v>0</v>
      </c>
      <c r="O17" s="96" t="b">
        <v>1</v>
      </c>
      <c r="P17" s="96" t="b">
        <v>1</v>
      </c>
      <c r="Q17" s="96" t="b">
        <v>0</v>
      </c>
      <c r="R17" s="96" t="b">
        <v>0</v>
      </c>
      <c r="S17" s="96" t="b">
        <v>1</v>
      </c>
      <c r="T17" s="96" t="b">
        <v>0</v>
      </c>
      <c r="U17" s="96" t="b">
        <v>0</v>
      </c>
      <c r="V17" s="96" t="b">
        <v>0</v>
      </c>
    </row>
    <row r="18" spans="1:22" x14ac:dyDescent="0.25">
      <c r="E18" s="97" t="s">
        <v>3116</v>
      </c>
      <c r="G18" s="96">
        <v>1</v>
      </c>
      <c r="H18" s="96" t="s">
        <v>3263</v>
      </c>
      <c r="I18" s="96" t="b">
        <v>0</v>
      </c>
      <c r="J18" s="96" t="b">
        <v>0</v>
      </c>
      <c r="K18" s="96" t="b">
        <v>0</v>
      </c>
      <c r="L18" s="96" t="b">
        <v>0</v>
      </c>
      <c r="M18" s="96" t="b">
        <v>1</v>
      </c>
      <c r="N18" s="96" t="b">
        <v>0</v>
      </c>
      <c r="O18" s="96" t="b">
        <v>1</v>
      </c>
      <c r="P18" s="96" t="b">
        <v>1</v>
      </c>
      <c r="Q18" s="96" t="b">
        <v>0</v>
      </c>
      <c r="R18" s="96" t="b">
        <v>0</v>
      </c>
      <c r="S18" s="96" t="b">
        <v>1</v>
      </c>
      <c r="T18" s="96" t="b">
        <v>0</v>
      </c>
      <c r="U18" s="96" t="b">
        <v>0</v>
      </c>
      <c r="V18" s="96" t="b">
        <v>0</v>
      </c>
    </row>
    <row r="19" spans="1:22" x14ac:dyDescent="0.25">
      <c r="B19" s="97" t="s">
        <v>2373</v>
      </c>
    </row>
    <row r="20" spans="1:22" x14ac:dyDescent="0.25">
      <c r="A20" s="97" t="s">
        <v>25</v>
      </c>
    </row>
    <row r="21" spans="1:22" x14ac:dyDescent="0.25">
      <c r="A21" s="97" t="s">
        <v>24</v>
      </c>
    </row>
  </sheetData>
  <sortState ref="A2:V21">
    <sortCondition ref="H2:H600"/>
  </sortState>
  <conditionalFormatting sqref="A1:V1048576">
    <cfRule type="containsText" dxfId="328" priority="7" operator="containsText" text="_спец">
      <formula>NOT(ISERROR(SEARCH("_спец",A1)))</formula>
    </cfRule>
    <cfRule type="containsText" dxfId="327" priority="6" operator="containsText" text="!">
      <formula>NOT(ISERROR(SEARCH("!",A1)))</formula>
    </cfRule>
    <cfRule type="expression" dxfId="326" priority="5">
      <formula>LEN(TRIM(A1))=0</formula>
    </cfRule>
    <cfRule type="containsText" dxfId="325" priority="4" operator="containsText" text="|">
      <formula>NOT(ISERROR(SEARCH("|",A1)))</formula>
    </cfRule>
    <cfRule type="containsText" dxfId="324" priority="3" operator="containsText" text="_кж">
      <formula>NOT(ISERROR(SEARCH("_кж",A1)))</formula>
    </cfRule>
    <cfRule type="containsText" dxfId="323" priority="2" operator="containsText" text="_км">
      <formula>NOT(ISERROR(SEARCH("_км",A1)))</formula>
    </cfRule>
    <cfRule type="containsText" dxfId="322" priority="1" operator="containsText" text="_поз">
      <formula>NOT(ISERROR(SEARCH("_поз",A1)))</formula>
    </cfRule>
  </conditionalFormatting>
  <hyperlinks>
    <hyperlink ref="B19" location="'!System'!B2" display="'!System'!B2"/>
    <hyperlink ref="A20" location="'|Лог|'!A1" display="'|Лог|'!A1"/>
    <hyperlink ref="A21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5" location="'Кровля_об'!D4" display="'Кровля_об'!D4"/>
    <hyperlink ref="E6" location="'Кровля_спец'!E3" display="'Кровля_спец'!E3"/>
    <hyperlink ref="D7" location="'Лист1'!D4" display="'Лист1'!D4"/>
    <hyperlink ref="C8" location="'Отделка_вед'!C3" display="'Отделка_вед'!C3"/>
    <hyperlink ref="E9" location="'Отделка_правила'!E3" display="'Отделка_правила'!E3"/>
    <hyperlink ref="C10" location="'Отделка_экспл'!C3" display="'Отделка_экспл'!C3"/>
    <hyperlink ref="D11" location="'Пандус_об'!D4" display="'Пандус_об'!D4"/>
    <hyperlink ref="E12" location="'Пдм1_спец'!E3" display="'Пдм1_спец'!E3"/>
    <hyperlink ref="D13" location="'Спм1'!D4" display="'Спм1'!D4"/>
    <hyperlink ref="D14" location="'Спм1_гр'!D4" display="'Спм1_гр'!D4"/>
    <hyperlink ref="D15" location="'Спм1_кж'!D4" display="'Спм1_кж'!D4"/>
    <hyperlink ref="C16" location="'Спм1_норм'!C3" display="'Спм1_норм'!C3"/>
    <hyperlink ref="D17" location="'Спм1_об'!D4" display="'Спм1_об'!D4"/>
    <hyperlink ref="E18" location="'Спм1_спец'!E3" display="'Сп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R456" sqref="R456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2912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2914</v>
      </c>
      <c r="D3" s="1" t="s">
        <v>2901</v>
      </c>
      <c r="E3" s="6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3116</v>
      </c>
      <c r="D4" s="1" t="s">
        <v>3117</v>
      </c>
      <c r="E4" s="6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3116</v>
      </c>
      <c r="D5" s="1" t="s">
        <v>3117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3115</v>
      </c>
      <c r="E6" s="1" t="s">
        <v>3118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3107</v>
      </c>
      <c r="E7" s="1" t="s">
        <v>3119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3139</v>
      </c>
      <c r="D8" s="1" t="s">
        <v>2900</v>
      </c>
      <c r="E8" s="6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3115</v>
      </c>
      <c r="E9" s="6" t="s">
        <v>3118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3115</v>
      </c>
      <c r="E10" s="6" t="s">
        <v>3118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3107</v>
      </c>
      <c r="E11" s="6" t="s">
        <v>3119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3107</v>
      </c>
      <c r="E12" s="1" t="s">
        <v>3119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3139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3116</v>
      </c>
      <c r="D14" s="1" t="s">
        <v>3117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3107</v>
      </c>
      <c r="E15" s="6" t="s">
        <v>3119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3107</v>
      </c>
      <c r="E16" s="6" t="s">
        <v>3119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3139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3116</v>
      </c>
      <c r="D18" s="1" t="s">
        <v>3117</v>
      </c>
      <c r="E18" s="6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3116</v>
      </c>
      <c r="D19" s="1" t="s">
        <v>3117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3116</v>
      </c>
      <c r="D20" s="1" t="s">
        <v>3117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3116</v>
      </c>
      <c r="D21" s="1" t="s">
        <v>3117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3116</v>
      </c>
      <c r="D22" s="1" t="s">
        <v>2585</v>
      </c>
      <c r="E22" s="1" t="s">
        <v>3148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3116</v>
      </c>
      <c r="D23" s="1" t="s">
        <v>3117</v>
      </c>
      <c r="E23" s="6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3116</v>
      </c>
      <c r="D24" s="1" t="s">
        <v>2585</v>
      </c>
      <c r="E24" s="1" t="s">
        <v>3149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3116</v>
      </c>
      <c r="D25" s="1" t="s">
        <v>3117</v>
      </c>
      <c r="E25" s="6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3116</v>
      </c>
      <c r="D26" s="1" t="s">
        <v>3117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3116</v>
      </c>
      <c r="D27" s="1" t="s">
        <v>3117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3116</v>
      </c>
      <c r="D28" s="1" t="s">
        <v>3117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3115</v>
      </c>
      <c r="E29" s="1" t="s">
        <v>3118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3115</v>
      </c>
      <c r="E30" s="6" t="s">
        <v>3118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3107</v>
      </c>
      <c r="E31" s="1" t="s">
        <v>3119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3107</v>
      </c>
      <c r="E32" s="6" t="s">
        <v>3119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3139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3116</v>
      </c>
      <c r="D34" s="1" t="s">
        <v>3117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3107</v>
      </c>
      <c r="E35" s="1" t="s">
        <v>3119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3107</v>
      </c>
      <c r="E36" s="1" t="s">
        <v>3119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3139</v>
      </c>
      <c r="D37" s="1"/>
      <c r="E37" s="6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3116</v>
      </c>
      <c r="D38" s="1" t="s">
        <v>3117</v>
      </c>
      <c r="E38" s="6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3116</v>
      </c>
      <c r="D39" s="1" t="s">
        <v>3117</v>
      </c>
      <c r="E39" s="6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3157</v>
      </c>
      <c r="D40" s="1" t="s">
        <v>3158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3116</v>
      </c>
      <c r="D41" s="1" t="s">
        <v>3117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3159</v>
      </c>
      <c r="D42" s="1"/>
      <c r="E42" s="6" t="s">
        <v>3160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3161</v>
      </c>
      <c r="D43" s="1" t="s">
        <v>3162</v>
      </c>
      <c r="E43" s="6" t="s">
        <v>3163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3116</v>
      </c>
      <c r="D44" s="1" t="s">
        <v>3117</v>
      </c>
      <c r="E44" s="6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3164</v>
      </c>
      <c r="C45" s="1" t="s">
        <v>3116</v>
      </c>
      <c r="D45" s="1" t="s">
        <v>3117</v>
      </c>
      <c r="E45" s="6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3164</v>
      </c>
      <c r="C46" s="1" t="s">
        <v>3178</v>
      </c>
      <c r="D46" s="1" t="s">
        <v>2901</v>
      </c>
      <c r="E46" s="6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3164</v>
      </c>
      <c r="C47" s="1" t="s">
        <v>3116</v>
      </c>
      <c r="D47" s="1" t="s">
        <v>3117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3164</v>
      </c>
      <c r="C48" s="1" t="s">
        <v>3116</v>
      </c>
      <c r="D48" s="1" t="s">
        <v>3117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3164</v>
      </c>
      <c r="C49" s="1" t="s">
        <v>3116</v>
      </c>
      <c r="D49" s="1" t="s">
        <v>3117</v>
      </c>
      <c r="E49" s="6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3164</v>
      </c>
      <c r="C50" s="1" t="s">
        <v>3116</v>
      </c>
      <c r="D50" s="1" t="s">
        <v>3117</v>
      </c>
      <c r="E50" s="6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3164</v>
      </c>
      <c r="C51" s="1" t="s">
        <v>3116</v>
      </c>
      <c r="D51" s="1" t="s">
        <v>3117</v>
      </c>
      <c r="E51" s="6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3164</v>
      </c>
      <c r="C52" s="1" t="s">
        <v>3116</v>
      </c>
      <c r="D52" s="1" t="s">
        <v>3117</v>
      </c>
      <c r="E52" s="6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3164</v>
      </c>
      <c r="C53" s="1" t="s">
        <v>3178</v>
      </c>
      <c r="D53" s="1"/>
      <c r="E53" s="6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3164</v>
      </c>
      <c r="C54" s="1" t="s">
        <v>3116</v>
      </c>
      <c r="D54" s="1" t="s">
        <v>3117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3164</v>
      </c>
      <c r="C55" s="1" t="s">
        <v>3141</v>
      </c>
      <c r="D55" s="1" t="s">
        <v>3117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3164</v>
      </c>
      <c r="C56" s="1" t="s">
        <v>3116</v>
      </c>
      <c r="D56" s="1" t="s">
        <v>3117</v>
      </c>
      <c r="E56" s="6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3164</v>
      </c>
      <c r="C57" s="1" t="s">
        <v>3116</v>
      </c>
      <c r="D57" s="1" t="s">
        <v>3117</v>
      </c>
      <c r="E57" s="6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3164</v>
      </c>
      <c r="C58" s="1" t="s">
        <v>3116</v>
      </c>
      <c r="D58" s="1" t="s">
        <v>3117</v>
      </c>
      <c r="E58" s="6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3164</v>
      </c>
      <c r="C59" s="1" t="s">
        <v>3227</v>
      </c>
      <c r="D59" s="1" t="s">
        <v>3117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3164</v>
      </c>
      <c r="C60" s="1" t="s">
        <v>3227</v>
      </c>
      <c r="D60" s="1" t="s">
        <v>3117</v>
      </c>
      <c r="E60" s="6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3164</v>
      </c>
      <c r="C61" s="1" t="s">
        <v>3227</v>
      </c>
      <c r="D61" s="1" t="s">
        <v>3117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3164</v>
      </c>
      <c r="C62" s="1" t="s">
        <v>3227</v>
      </c>
      <c r="D62" s="1" t="s">
        <v>3117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3164</v>
      </c>
      <c r="C63" s="1" t="s">
        <v>3227</v>
      </c>
      <c r="D63" s="1" t="s">
        <v>2585</v>
      </c>
      <c r="E63" s="6" t="s">
        <v>3149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3116</v>
      </c>
      <c r="D64" s="1" t="s">
        <v>3117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3116</v>
      </c>
      <c r="D65" s="1" t="s">
        <v>3117</v>
      </c>
      <c r="E65" s="6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3116</v>
      </c>
      <c r="D66" s="1" t="s">
        <v>3117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3116</v>
      </c>
      <c r="D67" s="1" t="s">
        <v>3117</v>
      </c>
      <c r="E67" s="6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3141</v>
      </c>
      <c r="D68" s="1" t="s">
        <v>3117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3227</v>
      </c>
      <c r="D69" s="1" t="s">
        <v>3117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3116</v>
      </c>
      <c r="D70" s="1" t="s">
        <v>3117</v>
      </c>
      <c r="E70" s="6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3116</v>
      </c>
      <c r="D71" s="1" t="s">
        <v>3117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3178</v>
      </c>
      <c r="D72" s="1"/>
      <c r="E72" s="6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3116</v>
      </c>
      <c r="D73" s="1" t="s">
        <v>3117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3116</v>
      </c>
      <c r="D74" s="1" t="s">
        <v>3117</v>
      </c>
      <c r="E74" s="6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3116</v>
      </c>
      <c r="D75" s="1" t="s">
        <v>3117</v>
      </c>
      <c r="E75" s="6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3178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3116</v>
      </c>
      <c r="D77" s="1" t="s">
        <v>3117</v>
      </c>
      <c r="E77" s="6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3116</v>
      </c>
      <c r="D78" s="1" t="s">
        <v>3117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3116</v>
      </c>
      <c r="D79" s="1" t="s">
        <v>3117</v>
      </c>
      <c r="E79" s="6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3178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3091</v>
      </c>
      <c r="D81" s="1"/>
      <c r="E81" s="6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3235</v>
      </c>
      <c r="D82" s="1" t="s">
        <v>3236</v>
      </c>
      <c r="E82" s="6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3227</v>
      </c>
      <c r="D83" s="1" t="s">
        <v>3117</v>
      </c>
      <c r="E83" s="6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3116</v>
      </c>
      <c r="D84" s="1" t="s">
        <v>3117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3116</v>
      </c>
      <c r="D85" s="1" t="s">
        <v>3117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3116</v>
      </c>
      <c r="D86" s="1" t="s">
        <v>3117</v>
      </c>
      <c r="E86" s="6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3235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3116</v>
      </c>
      <c r="D88" s="1" t="s">
        <v>3117</v>
      </c>
      <c r="E88" s="6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3235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3116</v>
      </c>
      <c r="D90" s="1" t="s">
        <v>3117</v>
      </c>
      <c r="E90" s="6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3235</v>
      </c>
      <c r="D91" s="1"/>
      <c r="E91" s="6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3116</v>
      </c>
      <c r="D92" s="1" t="s">
        <v>3117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3116</v>
      </c>
      <c r="D93" s="1" t="s">
        <v>3117</v>
      </c>
      <c r="E93" s="6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3235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3116</v>
      </c>
      <c r="D95" s="1" t="s">
        <v>3117</v>
      </c>
      <c r="E95" s="6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3235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3116</v>
      </c>
      <c r="D97" s="1" t="s">
        <v>3117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3235</v>
      </c>
      <c r="D98" s="1"/>
      <c r="E98" s="6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3116</v>
      </c>
      <c r="D99" s="1" t="s">
        <v>3117</v>
      </c>
      <c r="E99" s="6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3235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3116</v>
      </c>
      <c r="D101" s="1" t="s">
        <v>3117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3235</v>
      </c>
      <c r="D102" s="1"/>
      <c r="E102" s="6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3116</v>
      </c>
      <c r="D103" s="1" t="s">
        <v>3117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3235</v>
      </c>
      <c r="D104" s="1"/>
      <c r="E104" s="6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3258</v>
      </c>
      <c r="D105" s="1" t="s">
        <v>3117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3258</v>
      </c>
      <c r="D106" s="1" t="s">
        <v>3117</v>
      </c>
      <c r="E106" s="6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3258</v>
      </c>
      <c r="D107" s="1" t="s">
        <v>3117</v>
      </c>
      <c r="E107" s="6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3227</v>
      </c>
      <c r="D108" s="1" t="s">
        <v>3117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3140</v>
      </c>
      <c r="D109" s="1" t="s">
        <v>3117</v>
      </c>
      <c r="E109" s="6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3227</v>
      </c>
      <c r="D110" s="1" t="s">
        <v>3117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3227</v>
      </c>
      <c r="D111" s="1" t="s">
        <v>3117</v>
      </c>
      <c r="E111" s="6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3227</v>
      </c>
      <c r="D112" s="1" t="s">
        <v>3117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3116</v>
      </c>
      <c r="D113" s="1" t="s">
        <v>3117</v>
      </c>
      <c r="E113" s="6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3116</v>
      </c>
      <c r="D114" s="1" t="s">
        <v>3117</v>
      </c>
      <c r="E114" s="6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3116</v>
      </c>
      <c r="D115" s="1" t="s">
        <v>3117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3116</v>
      </c>
      <c r="D116" s="1" t="s">
        <v>3117</v>
      </c>
      <c r="E116" s="6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3235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3116</v>
      </c>
      <c r="D118" s="1" t="s">
        <v>3117</v>
      </c>
      <c r="E118" s="6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3116</v>
      </c>
      <c r="D119" s="1" t="s">
        <v>3117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3116</v>
      </c>
      <c r="D120" s="1" t="s">
        <v>3117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3235</v>
      </c>
      <c r="D121" s="1"/>
      <c r="E121" s="6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3116</v>
      </c>
      <c r="D122" s="1" t="s">
        <v>3117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3235</v>
      </c>
      <c r="D123" s="1"/>
      <c r="E123" s="6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3116</v>
      </c>
      <c r="D124" s="1" t="s">
        <v>3117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3235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3116</v>
      </c>
      <c r="D126" s="1" t="s">
        <v>3117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3235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3116</v>
      </c>
      <c r="D128" s="1" t="s">
        <v>3117</v>
      </c>
      <c r="E128" s="6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3235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3116</v>
      </c>
      <c r="D130" s="1" t="s">
        <v>3117</v>
      </c>
      <c r="E130" s="6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3235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3116</v>
      </c>
      <c r="D132" s="1" t="s">
        <v>3117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3235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3116</v>
      </c>
      <c r="D134" s="1" t="s">
        <v>3117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3235</v>
      </c>
      <c r="D135" s="1"/>
      <c r="E135" s="6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3116</v>
      </c>
      <c r="D136" s="1" t="s">
        <v>3117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3235</v>
      </c>
      <c r="D137" s="1"/>
      <c r="E137" s="6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3116</v>
      </c>
      <c r="D138" s="1" t="s">
        <v>3117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3235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3116</v>
      </c>
      <c r="D140" s="1" t="s">
        <v>3117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3235</v>
      </c>
      <c r="D141" s="1"/>
      <c r="E141" s="6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3116</v>
      </c>
      <c r="D142" s="1" t="s">
        <v>3117</v>
      </c>
      <c r="E142" s="6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3235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3116</v>
      </c>
      <c r="D144" s="1" t="s">
        <v>3117</v>
      </c>
      <c r="E144" s="6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3235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3116</v>
      </c>
      <c r="D146" s="1" t="s">
        <v>3117</v>
      </c>
      <c r="E146" s="6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3235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3116</v>
      </c>
      <c r="D148" s="1" t="s">
        <v>3117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3258</v>
      </c>
      <c r="D149" s="1" t="s">
        <v>3117</v>
      </c>
      <c r="E149" s="6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3116</v>
      </c>
      <c r="D150" s="1" t="s">
        <v>3117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3235</v>
      </c>
      <c r="D151" s="1"/>
      <c r="E151" s="6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3116</v>
      </c>
      <c r="D152" s="1" t="s">
        <v>3117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3235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3116</v>
      </c>
      <c r="D154" s="1" t="s">
        <v>3117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3235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3116</v>
      </c>
      <c r="D156" s="1" t="s">
        <v>3117</v>
      </c>
      <c r="E156" s="6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3235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3116</v>
      </c>
      <c r="D158" s="1" t="s">
        <v>3117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3235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3116</v>
      </c>
      <c r="D160" s="1" t="s">
        <v>3117</v>
      </c>
      <c r="E160" s="6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3235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3116</v>
      </c>
      <c r="D162" s="1" t="s">
        <v>3117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3116</v>
      </c>
      <c r="D163" s="1" t="s">
        <v>3117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3116</v>
      </c>
      <c r="D164" s="1" t="s">
        <v>3117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3116</v>
      </c>
      <c r="D165" s="1" t="s">
        <v>3117</v>
      </c>
      <c r="E165" s="6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3116</v>
      </c>
      <c r="D166" s="1" t="s">
        <v>3117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3116</v>
      </c>
      <c r="D167" s="1" t="s">
        <v>3117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3235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3116</v>
      </c>
      <c r="D169" s="1" t="s">
        <v>3117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3116</v>
      </c>
      <c r="D170" s="1" t="s">
        <v>3117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3116</v>
      </c>
      <c r="D171" s="1" t="s">
        <v>3117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3235</v>
      </c>
      <c r="D172" s="1"/>
      <c r="E172" s="6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3262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3262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3116</v>
      </c>
      <c r="D175" s="1" t="s">
        <v>3117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44077.677939814814</v>
      </c>
      <c r="B176" s="1" t="s">
        <v>2584</v>
      </c>
      <c r="C176" s="1" t="s">
        <v>3116</v>
      </c>
      <c r="D176" s="1" t="s">
        <v>3117</v>
      </c>
      <c r="E176" s="1">
        <v>0</v>
      </c>
      <c r="F176" s="1">
        <v>3.89</v>
      </c>
      <c r="G176" s="1">
        <v>3.97</v>
      </c>
      <c r="H176" s="1">
        <v>3.28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44077.678217592591</v>
      </c>
      <c r="B177" s="1" t="s">
        <v>2584</v>
      </c>
      <c r="C177" s="1" t="s">
        <v>3116</v>
      </c>
      <c r="D177" s="1" t="s">
        <v>3117</v>
      </c>
      <c r="E177" s="6">
        <v>0</v>
      </c>
      <c r="F177" s="1">
        <v>3.89</v>
      </c>
      <c r="G177" s="1">
        <v>3.97</v>
      </c>
      <c r="H177" s="1">
        <v>3.28</v>
      </c>
      <c r="I177" s="1">
        <v>1.1499999999999999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44077.678229166668</v>
      </c>
      <c r="B178" s="1" t="s">
        <v>2584</v>
      </c>
      <c r="C178" s="1" t="s">
        <v>3235</v>
      </c>
      <c r="D178" s="1"/>
      <c r="E178" s="1" t="s">
        <v>2585</v>
      </c>
      <c r="F178" s="1">
        <v>3.89</v>
      </c>
      <c r="G178" s="1">
        <v>3.97</v>
      </c>
      <c r="H178" s="1">
        <v>3.28</v>
      </c>
      <c r="I178" s="1">
        <v>1.1499999999999999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44077.680474537039</v>
      </c>
      <c r="B179" s="1" t="s">
        <v>2584</v>
      </c>
      <c r="C179" s="1" t="s">
        <v>3116</v>
      </c>
      <c r="D179" s="1" t="s">
        <v>3117</v>
      </c>
      <c r="E179" s="6">
        <v>0</v>
      </c>
      <c r="F179" s="1">
        <v>3.89</v>
      </c>
      <c r="G179" s="1">
        <v>3.97</v>
      </c>
      <c r="H179" s="1">
        <v>3.28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44077.681215277778</v>
      </c>
      <c r="B180" s="1" t="s">
        <v>2584</v>
      </c>
      <c r="C180" s="1" t="s">
        <v>3116</v>
      </c>
      <c r="D180" s="1" t="s">
        <v>3117</v>
      </c>
      <c r="E180" s="1">
        <v>0</v>
      </c>
      <c r="F180" s="1">
        <v>3.89</v>
      </c>
      <c r="G180" s="1">
        <v>3.97</v>
      </c>
      <c r="H180" s="1">
        <v>3.28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44077.681238425925</v>
      </c>
      <c r="B181" s="1" t="s">
        <v>2584</v>
      </c>
      <c r="C181" s="1" t="s">
        <v>3178</v>
      </c>
      <c r="D181" s="1"/>
      <c r="E181" s="1" t="s">
        <v>2585</v>
      </c>
      <c r="F181" s="1">
        <v>3.89</v>
      </c>
      <c r="G181" s="1">
        <v>3.97</v>
      </c>
      <c r="H181" s="1">
        <v>3.28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44077.740879629629</v>
      </c>
      <c r="B182" s="1" t="s">
        <v>2584</v>
      </c>
      <c r="C182" s="1" t="s">
        <v>3116</v>
      </c>
      <c r="D182" s="1" t="s">
        <v>3117</v>
      </c>
      <c r="E182" s="1">
        <v>0</v>
      </c>
      <c r="F182" s="1">
        <v>3.89</v>
      </c>
      <c r="G182" s="1">
        <v>3.97</v>
      </c>
      <c r="H182" s="1">
        <v>3.28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44077.740891203706</v>
      </c>
      <c r="B183" s="1" t="s">
        <v>2584</v>
      </c>
      <c r="C183" s="1" t="s">
        <v>3178</v>
      </c>
      <c r="D183" s="1"/>
      <c r="E183" s="1" t="s">
        <v>2585</v>
      </c>
      <c r="F183" s="1">
        <v>3.89</v>
      </c>
      <c r="G183" s="1">
        <v>3.97</v>
      </c>
      <c r="H183" s="1">
        <v>3.28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44077.744062500002</v>
      </c>
      <c r="B184" s="1" t="s">
        <v>2584</v>
      </c>
      <c r="C184" s="1" t="s">
        <v>3116</v>
      </c>
      <c r="D184" s="1" t="s">
        <v>3117</v>
      </c>
      <c r="E184" s="6">
        <v>0</v>
      </c>
      <c r="F184" s="1">
        <v>3.89</v>
      </c>
      <c r="G184" s="1">
        <v>3.97</v>
      </c>
      <c r="H184" s="1">
        <v>3.28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44077.744074074071</v>
      </c>
      <c r="B185" s="1" t="s">
        <v>2584</v>
      </c>
      <c r="C185" s="1" t="s">
        <v>3178</v>
      </c>
      <c r="D185" s="1"/>
      <c r="E185" s="1" t="s">
        <v>2585</v>
      </c>
      <c r="F185" s="1">
        <v>3.89</v>
      </c>
      <c r="G185" s="1">
        <v>3.97</v>
      </c>
      <c r="H185" s="1">
        <v>3.28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44077.744837962964</v>
      </c>
      <c r="B186" s="1" t="s">
        <v>2584</v>
      </c>
      <c r="C186" s="1" t="s">
        <v>3116</v>
      </c>
      <c r="D186" s="1" t="s">
        <v>3117</v>
      </c>
      <c r="E186" s="6">
        <v>0</v>
      </c>
      <c r="F186" s="1">
        <v>3.89</v>
      </c>
      <c r="G186" s="1">
        <v>3.97</v>
      </c>
      <c r="H186" s="1">
        <v>3.28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44077.744849537034</v>
      </c>
      <c r="B187" s="1" t="s">
        <v>2584</v>
      </c>
      <c r="C187" s="1" t="s">
        <v>3178</v>
      </c>
      <c r="D187" s="1"/>
      <c r="E187" s="1" t="s">
        <v>2585</v>
      </c>
      <c r="F187" s="1">
        <v>3.89</v>
      </c>
      <c r="G187" s="1">
        <v>3.97</v>
      </c>
      <c r="H187" s="1">
        <v>3.28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44077.745416666665</v>
      </c>
      <c r="B188" s="1" t="s">
        <v>2584</v>
      </c>
      <c r="C188" s="1" t="s">
        <v>3116</v>
      </c>
      <c r="D188" s="1" t="s">
        <v>3117</v>
      </c>
      <c r="E188" s="1">
        <v>0</v>
      </c>
      <c r="F188" s="1">
        <v>3.89</v>
      </c>
      <c r="G188" s="1">
        <v>3.97</v>
      </c>
      <c r="H188" s="1">
        <v>3.28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44077.745428240742</v>
      </c>
      <c r="B189" s="1" t="s">
        <v>2584</v>
      </c>
      <c r="C189" s="1" t="s">
        <v>3178</v>
      </c>
      <c r="D189" s="1"/>
      <c r="E189" s="1" t="s">
        <v>2585</v>
      </c>
      <c r="F189" s="1">
        <v>3.89</v>
      </c>
      <c r="G189" s="1">
        <v>3.97</v>
      </c>
      <c r="H189" s="1">
        <v>3.28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44077.74560185185</v>
      </c>
      <c r="B190" s="1" t="s">
        <v>2584</v>
      </c>
      <c r="C190" s="1" t="s">
        <v>3116</v>
      </c>
      <c r="D190" s="1" t="s">
        <v>3117</v>
      </c>
      <c r="E190" s="1">
        <v>0</v>
      </c>
      <c r="F190" s="1">
        <v>3.89</v>
      </c>
      <c r="G190" s="1">
        <v>3.97</v>
      </c>
      <c r="H190" s="1">
        <v>3.28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44077.745625000003</v>
      </c>
      <c r="B191" s="1" t="s">
        <v>2584</v>
      </c>
      <c r="C191" s="1" t="s">
        <v>3235</v>
      </c>
      <c r="D191" s="1"/>
      <c r="E191" s="6" t="s">
        <v>2585</v>
      </c>
      <c r="F191" s="1">
        <v>3.89</v>
      </c>
      <c r="G191" s="1">
        <v>3.97</v>
      </c>
      <c r="H191" s="1">
        <v>3.28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44077.745717592596</v>
      </c>
      <c r="B192" s="1" t="s">
        <v>2584</v>
      </c>
      <c r="C192" s="1" t="s">
        <v>3116</v>
      </c>
      <c r="D192" s="1" t="s">
        <v>3117</v>
      </c>
      <c r="E192" s="1">
        <v>0</v>
      </c>
      <c r="F192" s="1">
        <v>3.89</v>
      </c>
      <c r="G192" s="1">
        <v>3.97</v>
      </c>
      <c r="H192" s="1">
        <v>3.28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44077.746203703704</v>
      </c>
      <c r="B193" s="1" t="s">
        <v>2584</v>
      </c>
      <c r="C193" s="1" t="s">
        <v>3116</v>
      </c>
      <c r="D193" s="1" t="s">
        <v>3117</v>
      </c>
      <c r="E193" s="6">
        <v>0</v>
      </c>
      <c r="F193" s="1">
        <v>3.89</v>
      </c>
      <c r="G193" s="1">
        <v>3.97</v>
      </c>
      <c r="H193" s="1">
        <v>3.28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44077.74622685185</v>
      </c>
      <c r="B194" s="1" t="s">
        <v>2584</v>
      </c>
      <c r="C194" s="1" t="s">
        <v>3235</v>
      </c>
      <c r="D194" s="1"/>
      <c r="E194" s="1" t="s">
        <v>2585</v>
      </c>
      <c r="F194" s="1">
        <v>3.89</v>
      </c>
      <c r="G194" s="1">
        <v>3.97</v>
      </c>
      <c r="H194" s="1">
        <v>3.28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44077.754270833335</v>
      </c>
      <c r="B195" s="1" t="s">
        <v>2584</v>
      </c>
      <c r="C195" s="1" t="s">
        <v>3116</v>
      </c>
      <c r="D195" s="1" t="s">
        <v>3117</v>
      </c>
      <c r="E195" s="1">
        <v>0</v>
      </c>
      <c r="F195" s="1">
        <v>3.89</v>
      </c>
      <c r="G195" s="1">
        <v>3.97</v>
      </c>
      <c r="H195" s="1">
        <v>3.28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44077.754282407404</v>
      </c>
      <c r="B196" s="1" t="s">
        <v>2584</v>
      </c>
      <c r="C196" s="1" t="s">
        <v>3235</v>
      </c>
      <c r="D196" s="1"/>
      <c r="E196" s="1" t="s">
        <v>2585</v>
      </c>
      <c r="F196" s="1">
        <v>3.89</v>
      </c>
      <c r="G196" s="1">
        <v>3.97</v>
      </c>
      <c r="H196" s="1">
        <v>3.28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44077.755115740743</v>
      </c>
      <c r="B197" s="1" t="s">
        <v>2584</v>
      </c>
      <c r="C197" s="1" t="s">
        <v>3116</v>
      </c>
      <c r="D197" s="1" t="s">
        <v>3117</v>
      </c>
      <c r="E197" s="1">
        <v>0</v>
      </c>
      <c r="F197" s="1">
        <v>3.89</v>
      </c>
      <c r="G197" s="1">
        <v>3.97</v>
      </c>
      <c r="H197" s="1">
        <v>3.28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44077.755127314813</v>
      </c>
      <c r="B198" s="1" t="s">
        <v>2584</v>
      </c>
      <c r="C198" s="1" t="s">
        <v>3235</v>
      </c>
      <c r="D198" s="1"/>
      <c r="E198" s="6" t="s">
        <v>2585</v>
      </c>
      <c r="F198" s="1">
        <v>3.89</v>
      </c>
      <c r="G198" s="1">
        <v>3.97</v>
      </c>
      <c r="H198" s="1">
        <v>3.28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44077.755798611113</v>
      </c>
      <c r="B199" s="1" t="s">
        <v>2584</v>
      </c>
      <c r="C199" s="1" t="s">
        <v>3116</v>
      </c>
      <c r="D199" s="1" t="s">
        <v>3117</v>
      </c>
      <c r="E199" s="1">
        <v>0</v>
      </c>
      <c r="F199" s="1">
        <v>3.89</v>
      </c>
      <c r="G199" s="1">
        <v>3.97</v>
      </c>
      <c r="H199" s="1">
        <v>3.28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44077.755810185183</v>
      </c>
      <c r="B200" s="1" t="s">
        <v>2584</v>
      </c>
      <c r="C200" s="1" t="s">
        <v>3235</v>
      </c>
      <c r="D200" s="1"/>
      <c r="E200" s="1" t="s">
        <v>2585</v>
      </c>
      <c r="F200" s="1">
        <v>3.89</v>
      </c>
      <c r="G200" s="1">
        <v>3.97</v>
      </c>
      <c r="H200" s="1">
        <v>3.28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44077.759444444448</v>
      </c>
      <c r="B201" s="1" t="s">
        <v>2584</v>
      </c>
      <c r="C201" s="1" t="s">
        <v>3116</v>
      </c>
      <c r="D201" s="1" t="s">
        <v>3117</v>
      </c>
      <c r="E201" s="1">
        <v>0</v>
      </c>
      <c r="F201" s="1">
        <v>3.89</v>
      </c>
      <c r="G201" s="1">
        <v>3.97</v>
      </c>
      <c r="H201" s="1">
        <v>3.28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44077.759456018517</v>
      </c>
      <c r="B202" s="1" t="s">
        <v>2584</v>
      </c>
      <c r="C202" s="1" t="s">
        <v>3235</v>
      </c>
      <c r="D202" s="1"/>
      <c r="E202" s="1" t="s">
        <v>2585</v>
      </c>
      <c r="F202" s="1">
        <v>3.89</v>
      </c>
      <c r="G202" s="1">
        <v>3.97</v>
      </c>
      <c r="H202" s="1">
        <v>3.28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44077.75990740741</v>
      </c>
      <c r="B203" s="1" t="s">
        <v>2584</v>
      </c>
      <c r="C203" s="1" t="s">
        <v>3116</v>
      </c>
      <c r="D203" s="1" t="s">
        <v>3117</v>
      </c>
      <c r="E203" s="1">
        <v>0</v>
      </c>
      <c r="F203" s="1">
        <v>3.89</v>
      </c>
      <c r="G203" s="1">
        <v>3.97</v>
      </c>
      <c r="H203" s="1">
        <v>3.28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44077.759918981479</v>
      </c>
      <c r="B204" s="1" t="s">
        <v>2584</v>
      </c>
      <c r="C204" s="1" t="s">
        <v>3235</v>
      </c>
      <c r="D204" s="1"/>
      <c r="E204" s="1" t="s">
        <v>2585</v>
      </c>
      <c r="F204" s="1">
        <v>3.89</v>
      </c>
      <c r="G204" s="1">
        <v>3.97</v>
      </c>
      <c r="H204" s="1">
        <v>3.28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44077.760023148148</v>
      </c>
      <c r="B205" s="1" t="s">
        <v>2584</v>
      </c>
      <c r="C205" s="1" t="s">
        <v>3116</v>
      </c>
      <c r="D205" s="1" t="s">
        <v>3117</v>
      </c>
      <c r="E205" s="1">
        <v>0</v>
      </c>
      <c r="F205" s="1">
        <v>3.89</v>
      </c>
      <c r="G205" s="1">
        <v>3.97</v>
      </c>
      <c r="H205" s="1">
        <v>3.28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44077.760034722225</v>
      </c>
      <c r="B206" s="1" t="s">
        <v>2584</v>
      </c>
      <c r="C206" s="1" t="s">
        <v>3235</v>
      </c>
      <c r="D206" s="1"/>
      <c r="E206" s="1" t="s">
        <v>2585</v>
      </c>
      <c r="F206" s="1">
        <v>3.89</v>
      </c>
      <c r="G206" s="1">
        <v>3.97</v>
      </c>
      <c r="H206" s="1">
        <v>3.28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44077.760891203703</v>
      </c>
      <c r="B207" s="1" t="s">
        <v>2584</v>
      </c>
      <c r="C207" s="1" t="s">
        <v>3116</v>
      </c>
      <c r="D207" s="1" t="s">
        <v>3117</v>
      </c>
      <c r="E207" s="1">
        <v>1</v>
      </c>
      <c r="F207" s="1">
        <v>3.89</v>
      </c>
      <c r="G207" s="1">
        <v>3.97</v>
      </c>
      <c r="H207" s="1">
        <v>3.28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44077.76090277778</v>
      </c>
      <c r="B208" s="1" t="s">
        <v>2584</v>
      </c>
      <c r="C208" s="1" t="s">
        <v>3235</v>
      </c>
      <c r="D208" s="1"/>
      <c r="E208" s="1" t="s">
        <v>2585</v>
      </c>
      <c r="F208" s="1">
        <v>3.89</v>
      </c>
      <c r="G208" s="1">
        <v>3.97</v>
      </c>
      <c r="H208" s="1">
        <v>3.28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44077.761400462965</v>
      </c>
      <c r="B209" s="1" t="s">
        <v>2584</v>
      </c>
      <c r="C209" s="1" t="s">
        <v>3116</v>
      </c>
      <c r="D209" s="1" t="s">
        <v>3117</v>
      </c>
      <c r="E209" s="1">
        <v>1</v>
      </c>
      <c r="F209" s="1">
        <v>3.89</v>
      </c>
      <c r="G209" s="1">
        <v>3.97</v>
      </c>
      <c r="H209" s="1">
        <v>3.28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44077.761412037034</v>
      </c>
      <c r="B210" s="1" t="s">
        <v>2584</v>
      </c>
      <c r="C210" s="1" t="s">
        <v>3235</v>
      </c>
      <c r="D210" s="1"/>
      <c r="E210" s="1" t="s">
        <v>2585</v>
      </c>
      <c r="F210" s="1">
        <v>3.89</v>
      </c>
      <c r="G210" s="1">
        <v>3.97</v>
      </c>
      <c r="H210" s="1">
        <v>3.28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44077.765833333331</v>
      </c>
      <c r="B211" s="1" t="s">
        <v>2584</v>
      </c>
      <c r="C211" s="1" t="s">
        <v>3116</v>
      </c>
      <c r="D211" s="1" t="s">
        <v>3117</v>
      </c>
      <c r="E211" s="1">
        <v>1</v>
      </c>
      <c r="F211" s="1">
        <v>3.89</v>
      </c>
      <c r="G211" s="1">
        <v>3.97</v>
      </c>
      <c r="H211" s="1">
        <v>3.28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44077.765844907408</v>
      </c>
      <c r="B212" s="1" t="s">
        <v>2584</v>
      </c>
      <c r="C212" s="1" t="s">
        <v>3235</v>
      </c>
      <c r="D212" s="1"/>
      <c r="E212" s="1" t="s">
        <v>2585</v>
      </c>
      <c r="F212" s="1">
        <v>3.89</v>
      </c>
      <c r="G212" s="1">
        <v>3.97</v>
      </c>
      <c r="H212" s="1">
        <v>3.28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44079.940312500003</v>
      </c>
      <c r="B213" s="1" t="s">
        <v>3164</v>
      </c>
      <c r="C213" s="1" t="s">
        <v>3116</v>
      </c>
      <c r="D213" s="1" t="s">
        <v>3117</v>
      </c>
      <c r="E213" s="1">
        <v>1</v>
      </c>
      <c r="F213" s="1">
        <v>3.89</v>
      </c>
      <c r="G213" s="1">
        <v>3.97</v>
      </c>
      <c r="H213" s="1">
        <v>3.28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44079.940324074072</v>
      </c>
      <c r="B214" s="1" t="s">
        <v>3164</v>
      </c>
      <c r="C214" s="1" t="s">
        <v>3235</v>
      </c>
      <c r="D214" s="1"/>
      <c r="E214" s="1" t="s">
        <v>2585</v>
      </c>
      <c r="F214" s="1">
        <v>3.89</v>
      </c>
      <c r="G214" s="1">
        <v>3.97</v>
      </c>
      <c r="H214" s="1">
        <v>3.28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44088.649340277778</v>
      </c>
      <c r="B215" s="1" t="s">
        <v>2584</v>
      </c>
      <c r="C215" s="1" t="s">
        <v>3227</v>
      </c>
      <c r="D215" s="1" t="s">
        <v>3117</v>
      </c>
      <c r="E215" s="1">
        <v>0</v>
      </c>
      <c r="F215" s="1">
        <v>3.91</v>
      </c>
      <c r="G215" s="1">
        <v>3.97</v>
      </c>
      <c r="H215" s="1">
        <v>3.28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44088.649386574078</v>
      </c>
      <c r="B216" s="1" t="s">
        <v>2584</v>
      </c>
      <c r="C216" s="1" t="s">
        <v>3227</v>
      </c>
      <c r="D216" s="1" t="s">
        <v>3117</v>
      </c>
      <c r="E216" s="1">
        <v>0</v>
      </c>
      <c r="F216" s="1">
        <v>3.91</v>
      </c>
      <c r="G216" s="1">
        <v>3.97</v>
      </c>
      <c r="H216" s="1">
        <v>3.28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44088.64949074074</v>
      </c>
      <c r="B217" s="1" t="s">
        <v>2584</v>
      </c>
      <c r="C217" s="1" t="s">
        <v>3227</v>
      </c>
      <c r="D217" s="1" t="s">
        <v>3117</v>
      </c>
      <c r="E217" s="1">
        <v>2</v>
      </c>
      <c r="F217" s="1">
        <v>3.91</v>
      </c>
      <c r="G217" s="1">
        <v>3.97</v>
      </c>
      <c r="H217" s="1">
        <v>3.28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44088.649710648147</v>
      </c>
      <c r="B218" s="1" t="s">
        <v>2584</v>
      </c>
      <c r="C218" s="1" t="s">
        <v>3227</v>
      </c>
      <c r="D218" s="1" t="s">
        <v>3117</v>
      </c>
      <c r="E218" s="1">
        <v>2</v>
      </c>
      <c r="F218" s="1">
        <v>3.91</v>
      </c>
      <c r="G218" s="1">
        <v>3.97</v>
      </c>
      <c r="H218" s="1">
        <v>3.28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44088.649791666663</v>
      </c>
      <c r="B219" s="1" t="s">
        <v>2584</v>
      </c>
      <c r="C219" s="1" t="s">
        <v>3227</v>
      </c>
      <c r="D219" s="1" t="s">
        <v>3117</v>
      </c>
      <c r="E219" s="1">
        <v>1</v>
      </c>
      <c r="F219" s="1">
        <v>3.91</v>
      </c>
      <c r="G219" s="1">
        <v>3.97</v>
      </c>
      <c r="H219" s="1">
        <v>3.28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44088.650069444448</v>
      </c>
      <c r="B220" s="1" t="s">
        <v>2584</v>
      </c>
      <c r="C220" s="1" t="s">
        <v>3227</v>
      </c>
      <c r="D220" s="1" t="s">
        <v>3117</v>
      </c>
      <c r="E220" s="1">
        <v>1</v>
      </c>
      <c r="F220" s="1">
        <v>3.91</v>
      </c>
      <c r="G220" s="1">
        <v>3.97</v>
      </c>
      <c r="H220" s="1">
        <v>3.28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6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6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6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6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6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6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6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6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7"/>
    </row>
    <row r="1002" spans="1:15" x14ac:dyDescent="0.25">
      <c r="A1002" s="7"/>
    </row>
    <row r="1003" spans="1:15" x14ac:dyDescent="0.25">
      <c r="A1003" s="7"/>
    </row>
    <row r="1004" spans="1:15" x14ac:dyDescent="0.25">
      <c r="A1004" s="7"/>
    </row>
    <row r="1005" spans="1:15" x14ac:dyDescent="0.25">
      <c r="A1005" s="7"/>
    </row>
    <row r="1006" spans="1:15" x14ac:dyDescent="0.25">
      <c r="A1006" s="7"/>
    </row>
    <row r="1007" spans="1:15" x14ac:dyDescent="0.25">
      <c r="A1007" s="7"/>
    </row>
    <row r="1008" spans="1:15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36"/>
  <sheetViews>
    <sheetView topLeftCell="A4" zoomScale="80" zoomScaleNormal="80" workbookViewId="0">
      <selection activeCell="E22" sqref="E2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104" t="s">
        <v>3019</v>
      </c>
      <c r="B1" s="105" t="s">
        <v>2903</v>
      </c>
      <c r="C1" s="105" t="s">
        <v>2904</v>
      </c>
      <c r="D1" s="105" t="s">
        <v>2905</v>
      </c>
      <c r="E1" s="105" t="s">
        <v>3018</v>
      </c>
      <c r="F1" s="105" t="s">
        <v>3017</v>
      </c>
      <c r="G1" s="105" t="s">
        <v>3016</v>
      </c>
      <c r="H1" s="105" t="s">
        <v>3015</v>
      </c>
      <c r="I1" s="105"/>
      <c r="J1" s="105"/>
      <c r="K1" s="105" t="s">
        <v>2913</v>
      </c>
      <c r="L1" s="105"/>
      <c r="M1" s="105"/>
      <c r="N1" s="105"/>
      <c r="O1" s="105"/>
      <c r="P1" s="105"/>
      <c r="Q1" s="105"/>
      <c r="R1" s="105" t="s">
        <v>3014</v>
      </c>
      <c r="S1" s="105" t="s">
        <v>3013</v>
      </c>
      <c r="T1" s="105"/>
      <c r="U1" s="106"/>
    </row>
    <row r="2" spans="1:21" ht="63" x14ac:dyDescent="0.25">
      <c r="A2" s="99"/>
      <c r="B2" s="98"/>
      <c r="C2" s="98"/>
      <c r="D2" s="98"/>
      <c r="E2" s="98"/>
      <c r="F2" s="98"/>
      <c r="G2" s="98"/>
      <c r="H2" s="98" t="s">
        <v>3012</v>
      </c>
      <c r="I2" s="98" t="s">
        <v>3011</v>
      </c>
      <c r="J2" s="98" t="s">
        <v>3010</v>
      </c>
      <c r="K2" s="98" t="s">
        <v>3009</v>
      </c>
      <c r="L2" s="98" t="s">
        <v>3008</v>
      </c>
      <c r="M2" s="98" t="s">
        <v>3007</v>
      </c>
      <c r="N2" s="98" t="s">
        <v>3006</v>
      </c>
      <c r="O2" s="98" t="s">
        <v>3005</v>
      </c>
      <c r="P2" s="98" t="s">
        <v>3004</v>
      </c>
      <c r="Q2" s="98" t="s">
        <v>3003</v>
      </c>
      <c r="R2" s="98"/>
      <c r="S2" s="98" t="s">
        <v>3002</v>
      </c>
      <c r="T2" s="98" t="s">
        <v>3001</v>
      </c>
      <c r="U2" s="100" t="s">
        <v>3000</v>
      </c>
    </row>
    <row r="3" spans="1:21" ht="15.75" x14ac:dyDescent="0.25">
      <c r="A3" s="45" t="str">
        <f>A4</f>
        <v>Спм1</v>
      </c>
      <c r="B3" s="44" t="s">
        <v>2979</v>
      </c>
      <c r="C3" s="44" t="s">
        <v>3098</v>
      </c>
      <c r="D3" s="44" t="s">
        <v>3089</v>
      </c>
      <c r="E3" s="44">
        <f>0.78*107</f>
        <v>83.460000000000008</v>
      </c>
      <c r="F3" s="44" t="s">
        <v>4</v>
      </c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tr">
        <f>A5</f>
        <v>Спм1</v>
      </c>
      <c r="B4" s="44" t="s">
        <v>2979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tr">
        <f>A6</f>
        <v>Спм1</v>
      </c>
      <c r="B5" s="44" t="s">
        <v>2979</v>
      </c>
      <c r="C5" s="44"/>
      <c r="D5" s="44" t="s">
        <v>3097</v>
      </c>
      <c r="E5" s="44">
        <f>1.6*107</f>
        <v>171.20000000000002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tr">
        <f>A8</f>
        <v>Спм1</v>
      </c>
      <c r="B6" s="44" t="s">
        <v>2979</v>
      </c>
      <c r="C6" s="44"/>
      <c r="D6" s="44" t="s">
        <v>3096</v>
      </c>
      <c r="E6" s="44">
        <v>200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>A8</f>
        <v>Спм1</v>
      </c>
      <c r="B7" s="44" t="s">
        <v>2979</v>
      </c>
      <c r="C7" s="44"/>
      <c r="D7" s="44" t="s">
        <v>3095</v>
      </c>
      <c r="E7" s="44">
        <v>107000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>A9</f>
        <v>Спм1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>A10</f>
        <v>Спм1</v>
      </c>
      <c r="B9" s="44" t="s">
        <v>2979</v>
      </c>
      <c r="C9" s="44"/>
      <c r="D9" s="44" t="s">
        <v>3093</v>
      </c>
      <c r="E9" s="44">
        <f>2.3*107</f>
        <v>246.1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5.75" x14ac:dyDescent="0.25">
      <c r="A10" s="45" t="str">
        <f>A11</f>
        <v>Спм1</v>
      </c>
      <c r="B10" s="44" t="s">
        <v>2979</v>
      </c>
      <c r="C10" s="44"/>
      <c r="D10" s="44" t="s">
        <v>3092</v>
      </c>
      <c r="E10" s="44">
        <f>1.8*107.2</f>
        <v>192.96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31.5" x14ac:dyDescent="0.25">
      <c r="A11" s="42" t="str">
        <f>B11</f>
        <v>Спм1</v>
      </c>
      <c r="B11" s="41" t="s">
        <v>3091</v>
      </c>
      <c r="C11" s="41"/>
      <c r="D11" s="41" t="s">
        <v>3090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5.75" x14ac:dyDescent="0.25">
      <c r="A12" s="99" t="str">
        <f t="shared" ref="A12:A28" si="0">$B$11</f>
        <v>Спм1</v>
      </c>
      <c r="B12" s="98"/>
      <c r="C12" s="49" t="s">
        <v>3081</v>
      </c>
      <c r="D12" s="49" t="s">
        <v>3089</v>
      </c>
      <c r="E12" s="49">
        <f>E3</f>
        <v>83.460000000000008</v>
      </c>
      <c r="F12" s="44" t="s">
        <v>4</v>
      </c>
      <c r="G12" s="98" t="s">
        <v>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</row>
    <row r="13" spans="1:21" ht="15.75" x14ac:dyDescent="0.25">
      <c r="A13" s="99" t="str">
        <f t="shared" si="0"/>
        <v>Спм1</v>
      </c>
      <c r="B13" s="98"/>
      <c r="C13" s="49" t="s">
        <v>3081</v>
      </c>
      <c r="D13" s="49" t="s">
        <v>3229</v>
      </c>
      <c r="E13" s="49">
        <f>E9*0.1</f>
        <v>24.61</v>
      </c>
      <c r="F13" s="44" t="s">
        <v>4</v>
      </c>
      <c r="G13" s="98" t="s">
        <v>3</v>
      </c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100"/>
    </row>
    <row r="14" spans="1:21" ht="15.75" x14ac:dyDescent="0.25">
      <c r="A14" s="99" t="str">
        <f t="shared" si="0"/>
        <v>Спм1</v>
      </c>
      <c r="B14" s="98"/>
      <c r="C14" s="49" t="s">
        <v>3081</v>
      </c>
      <c r="D14" s="49" t="s">
        <v>3088</v>
      </c>
      <c r="E14" s="49">
        <f>E10*0.1</f>
        <v>19.296000000000003</v>
      </c>
      <c r="F14" s="44" t="s">
        <v>4</v>
      </c>
      <c r="G14" s="98" t="s">
        <v>3</v>
      </c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100"/>
    </row>
    <row r="15" spans="1:21" ht="15.75" x14ac:dyDescent="0.25">
      <c r="A15" s="99" t="str">
        <f t="shared" si="0"/>
        <v>Спм1</v>
      </c>
      <c r="B15" s="98">
        <v>2</v>
      </c>
      <c r="C15" s="98" t="s">
        <v>3066</v>
      </c>
      <c r="D15" s="98" t="s">
        <v>3087</v>
      </c>
      <c r="E15" s="98">
        <v>2</v>
      </c>
      <c r="F15" s="44">
        <v>0.88800000000000001</v>
      </c>
      <c r="G15" s="98" t="s">
        <v>20</v>
      </c>
      <c r="H15" s="98">
        <v>1616851.9772999999</v>
      </c>
      <c r="I15" s="98">
        <v>12</v>
      </c>
      <c r="J15" s="98" t="s">
        <v>2</v>
      </c>
      <c r="K15" s="98"/>
      <c r="L15" s="98"/>
      <c r="M15" s="98"/>
      <c r="N15" s="98"/>
      <c r="O15" s="98"/>
      <c r="P15" s="98"/>
      <c r="Q15" s="98"/>
      <c r="R15" s="98"/>
      <c r="S15" s="98">
        <v>500</v>
      </c>
      <c r="T15" s="98">
        <v>600</v>
      </c>
      <c r="U15" s="100">
        <v>30</v>
      </c>
    </row>
    <row r="16" spans="1:21" ht="31.5" x14ac:dyDescent="0.25">
      <c r="A16" s="99" t="str">
        <f t="shared" si="0"/>
        <v>Спм1</v>
      </c>
      <c r="B16" s="98">
        <v>4</v>
      </c>
      <c r="C16" s="98" t="s">
        <v>3066</v>
      </c>
      <c r="D16" s="98" t="s">
        <v>3086</v>
      </c>
      <c r="E16" s="98">
        <f>ROUNDUP(E7*2/200,0)</f>
        <v>1070</v>
      </c>
      <c r="F16" s="44">
        <v>0.88800000000000001</v>
      </c>
      <c r="G16" s="98" t="s">
        <v>0</v>
      </c>
      <c r="H16" s="98">
        <f>Арм_Элемент_П(E6*2,E6-2*50,I16,J16)</f>
        <v>870</v>
      </c>
      <c r="I16" s="98">
        <v>12</v>
      </c>
      <c r="J16" s="98" t="s">
        <v>2</v>
      </c>
      <c r="K16" s="98"/>
      <c r="L16" s="98"/>
      <c r="M16" s="98"/>
      <c r="N16" s="98"/>
      <c r="O16" s="98"/>
      <c r="P16" s="98"/>
      <c r="Q16" s="98"/>
      <c r="R16" s="98"/>
      <c r="S16" s="98">
        <v>500</v>
      </c>
      <c r="T16" s="98">
        <v>600</v>
      </c>
      <c r="U16" s="100">
        <v>30</v>
      </c>
    </row>
    <row r="17" spans="1:21" ht="15.75" x14ac:dyDescent="0.25">
      <c r="A17" s="99" t="str">
        <f t="shared" si="0"/>
        <v>Спм1</v>
      </c>
      <c r="B17" s="98">
        <v>1</v>
      </c>
      <c r="C17" s="98" t="s">
        <v>3066</v>
      </c>
      <c r="D17" s="98" t="s">
        <v>3085</v>
      </c>
      <c r="E17" s="48">
        <v>2</v>
      </c>
      <c r="F17" s="44">
        <v>1.208</v>
      </c>
      <c r="G17" s="98" t="s">
        <v>20</v>
      </c>
      <c r="H17" s="48">
        <f>Арм_ПоПлощади(E9*1000*1000,200,T17)</f>
        <v>1321090</v>
      </c>
      <c r="I17" s="98">
        <v>14</v>
      </c>
      <c r="J17" s="98" t="s">
        <v>2</v>
      </c>
      <c r="K17" s="98"/>
      <c r="L17" s="98"/>
      <c r="M17" s="98"/>
      <c r="N17" s="98"/>
      <c r="O17" s="98"/>
      <c r="P17" s="98"/>
      <c r="Q17" s="98"/>
      <c r="R17" s="98"/>
      <c r="S17" s="98">
        <v>580</v>
      </c>
      <c r="T17" s="98">
        <v>700</v>
      </c>
      <c r="U17" s="100">
        <v>35</v>
      </c>
    </row>
    <row r="18" spans="1:21" ht="31.5" x14ac:dyDescent="0.25">
      <c r="A18" s="99" t="str">
        <f t="shared" si="0"/>
        <v>Спм1</v>
      </c>
      <c r="B18" s="98">
        <v>4</v>
      </c>
      <c r="C18" s="98" t="s">
        <v>3066</v>
      </c>
      <c r="D18" s="98" t="s">
        <v>3084</v>
      </c>
      <c r="E18" s="98">
        <v>1</v>
      </c>
      <c r="F18" s="44">
        <v>0.88800000000000001</v>
      </c>
      <c r="G18" s="98" t="s">
        <v>0</v>
      </c>
      <c r="H18" s="98">
        <v>3378</v>
      </c>
      <c r="I18" s="98">
        <v>12</v>
      </c>
      <c r="J18" s="98" t="s">
        <v>2</v>
      </c>
      <c r="K18" s="98"/>
      <c r="L18" s="98"/>
      <c r="M18" s="98"/>
      <c r="N18" s="98"/>
      <c r="O18" s="98"/>
      <c r="P18" s="98"/>
      <c r="Q18" s="98"/>
      <c r="R18" s="98"/>
      <c r="S18" s="98">
        <v>500</v>
      </c>
      <c r="T18" s="98">
        <v>600</v>
      </c>
      <c r="U18" s="100">
        <v>30</v>
      </c>
    </row>
    <row r="19" spans="1:21" ht="31.5" x14ac:dyDescent="0.25">
      <c r="A19" s="99" t="str">
        <f t="shared" si="0"/>
        <v>Спм1</v>
      </c>
      <c r="B19" s="98">
        <v>3</v>
      </c>
      <c r="C19" s="98" t="s">
        <v>3066</v>
      </c>
      <c r="D19" s="98" t="s">
        <v>3083</v>
      </c>
      <c r="E19" s="98">
        <f>ROUNDUP(E7/200,0)*2</f>
        <v>1070</v>
      </c>
      <c r="F19" s="44">
        <v>0.88800000000000001</v>
      </c>
      <c r="G19" s="98" t="s">
        <v>0</v>
      </c>
      <c r="H19" s="98">
        <f>Арм_Элемент_Г((500-125),T19+125,I19,J19)</f>
        <v>1480</v>
      </c>
      <c r="I19" s="98">
        <v>12</v>
      </c>
      <c r="J19" s="98" t="s">
        <v>2</v>
      </c>
      <c r="K19" s="98"/>
      <c r="L19" s="98"/>
      <c r="M19" s="98"/>
      <c r="N19" s="98"/>
      <c r="O19" s="98"/>
      <c r="P19" s="98"/>
      <c r="Q19" s="98"/>
      <c r="R19" s="98"/>
      <c r="S19" s="98">
        <v>995</v>
      </c>
      <c r="T19" s="98">
        <v>995</v>
      </c>
      <c r="U19" s="100">
        <v>30</v>
      </c>
    </row>
    <row r="20" spans="1:21" ht="31.5" x14ac:dyDescent="0.25">
      <c r="A20" s="99" t="str">
        <f t="shared" si="0"/>
        <v>Спм1</v>
      </c>
      <c r="B20" s="98">
        <v>5</v>
      </c>
      <c r="C20" s="98" t="s">
        <v>3066</v>
      </c>
      <c r="D20" s="98" t="s">
        <v>3082</v>
      </c>
      <c r="E20" s="98">
        <f>ROUNDUP((E18/2*6),0)</f>
        <v>3</v>
      </c>
      <c r="F20" s="44">
        <v>0.222</v>
      </c>
      <c r="G20" s="98" t="s">
        <v>0</v>
      </c>
      <c r="H20" s="98">
        <f>245</f>
        <v>245</v>
      </c>
      <c r="I20" s="98">
        <v>6</v>
      </c>
      <c r="J20" s="98" t="s">
        <v>1</v>
      </c>
      <c r="K20" s="98"/>
      <c r="L20" s="98"/>
      <c r="M20" s="98"/>
      <c r="N20" s="98"/>
      <c r="O20" s="98"/>
      <c r="P20" s="98"/>
      <c r="Q20" s="98"/>
      <c r="R20" s="98"/>
      <c r="S20" s="98">
        <v>200</v>
      </c>
      <c r="T20" s="98">
        <v>250</v>
      </c>
      <c r="U20" s="100">
        <v>7.5</v>
      </c>
    </row>
    <row r="21" spans="1:21" ht="15.75" x14ac:dyDescent="0.25">
      <c r="A21" s="99" t="str">
        <f t="shared" si="0"/>
        <v>Спм1</v>
      </c>
      <c r="B21" s="47" t="str">
        <f>Изделия_спец.И!A5</f>
        <v>Крп20</v>
      </c>
      <c r="C21" s="47" t="str">
        <f>Изделия_спец.И!C5</f>
        <v xml:space="preserve"> </v>
      </c>
      <c r="D21" s="47" t="str">
        <f>Изделия_спец.И!D5</f>
        <v>Каркас Крп20</v>
      </c>
      <c r="E21" s="47">
        <f>ROUNDUP(Арм_ПоПлощади(E5*1000*1000,1000,0)/1000,0)</f>
        <v>185</v>
      </c>
      <c r="F21" s="44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100"/>
    </row>
    <row r="22" spans="1:21" ht="15.75" x14ac:dyDescent="0.25">
      <c r="A22" s="99" t="str">
        <f t="shared" si="0"/>
        <v>Спм1</v>
      </c>
      <c r="B22" s="98"/>
      <c r="C22" s="98" t="s">
        <v>3081</v>
      </c>
      <c r="D22" s="98" t="s">
        <v>3080</v>
      </c>
      <c r="E22" s="98">
        <f>(6.5*E7/1000)*2</f>
        <v>1391</v>
      </c>
      <c r="F22" s="98"/>
      <c r="G22" s="98" t="s">
        <v>2369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</row>
    <row r="23" spans="1:21" ht="31.5" x14ac:dyDescent="0.25">
      <c r="A23" s="99" t="str">
        <f t="shared" si="0"/>
        <v>Спм1</v>
      </c>
      <c r="B23" s="98"/>
      <c r="C23" s="98" t="s">
        <v>3079</v>
      </c>
      <c r="D23" s="98" t="s">
        <v>3078</v>
      </c>
      <c r="E23" s="98">
        <f>(6.5*E7/1000)*0.35</f>
        <v>243.42499999999998</v>
      </c>
      <c r="F23" s="98"/>
      <c r="G23" s="72" t="s">
        <v>2371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</row>
    <row r="24" spans="1:21" ht="31.5" x14ac:dyDescent="0.25">
      <c r="A24" s="99" t="str">
        <f t="shared" si="0"/>
        <v>Спм1</v>
      </c>
      <c r="B24" s="98"/>
      <c r="C24" s="98"/>
      <c r="D24" s="98" t="s">
        <v>3077</v>
      </c>
      <c r="E24" s="98">
        <f>4*1.7</f>
        <v>6.8</v>
      </c>
      <c r="F24" s="98"/>
      <c r="G24" s="98" t="s">
        <v>20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100"/>
    </row>
    <row r="25" spans="1:21" ht="31.5" x14ac:dyDescent="0.25">
      <c r="A25" s="99" t="str">
        <f t="shared" si="0"/>
        <v>Спм1</v>
      </c>
      <c r="B25" s="98"/>
      <c r="C25" s="98"/>
      <c r="D25" s="98" t="s">
        <v>3076</v>
      </c>
      <c r="E25" s="98">
        <f>4*0.78</f>
        <v>3.12</v>
      </c>
      <c r="F25" s="98"/>
      <c r="G25" s="98" t="s">
        <v>2369</v>
      </c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</row>
    <row r="26" spans="1:21" ht="15.75" x14ac:dyDescent="0.25">
      <c r="A26" s="99" t="str">
        <f t="shared" si="0"/>
        <v>Спм1</v>
      </c>
      <c r="B26" s="47" t="str">
        <f>Изделия_спец.И!$B$9</f>
        <v>Мн1</v>
      </c>
      <c r="C26" s="47" t="str">
        <f>Изделия_спец.И!$C$9</f>
        <v>данный лист</v>
      </c>
      <c r="D26" s="47" t="str">
        <f>Изделия_спец.И!$D$9</f>
        <v>Закладная деталь Мн1</v>
      </c>
      <c r="E26" s="47">
        <v>1</v>
      </c>
      <c r="F26" s="44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100"/>
    </row>
    <row r="27" spans="1:21" ht="15.75" x14ac:dyDescent="0.25">
      <c r="A27" s="99" t="str">
        <f t="shared" si="0"/>
        <v>Спм1</v>
      </c>
      <c r="B27" s="47" t="str">
        <f>Изделия_спец.И!$B$14</f>
        <v>Му1</v>
      </c>
      <c r="C27" s="47" t="str">
        <f>Изделия_спец.И!$C$14</f>
        <v>данный лист</v>
      </c>
      <c r="D27" s="47" t="str">
        <f>Изделия_спец.И!$D$14</f>
        <v>Закладная деталь Му1</v>
      </c>
      <c r="E27" s="47">
        <v>2</v>
      </c>
      <c r="F27" s="44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100"/>
    </row>
    <row r="28" spans="1:21" ht="15.75" x14ac:dyDescent="0.25">
      <c r="A28" s="99" t="str">
        <f t="shared" si="0"/>
        <v>Спм1</v>
      </c>
      <c r="B28" s="47" t="str">
        <f>Изделия_спец.И!$B$18</f>
        <v>Му2</v>
      </c>
      <c r="C28" s="47" t="str">
        <f>Изделия_спец.И!$C$18</f>
        <v>данный лист</v>
      </c>
      <c r="D28" s="47" t="str">
        <f>Изделия_спец.И!$D$18</f>
        <v>Закладная деталь Му2</v>
      </c>
      <c r="E28" s="47">
        <v>4</v>
      </c>
      <c r="F28" s="44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100"/>
    </row>
    <row r="29" spans="1:21" ht="15.75" x14ac:dyDescent="0.25">
      <c r="A29" s="99" t="str">
        <f>A28</f>
        <v>Спм1</v>
      </c>
      <c r="B29" s="47" t="str">
        <f>Изделия_спец.И!$B$14</f>
        <v>Му1</v>
      </c>
      <c r="C29" s="47" t="str">
        <f>Изделия_спец.И!$C$14</f>
        <v>данный лист</v>
      </c>
      <c r="D29" s="47" t="str">
        <f>Изделия_спец.И!$D$14</f>
        <v>Закладная деталь Му1</v>
      </c>
      <c r="E29" s="47">
        <v>15</v>
      </c>
      <c r="F29" s="44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100"/>
    </row>
    <row r="30" spans="1:21" ht="16.5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</row>
    <row r="31" spans="1:21" ht="16.5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</row>
    <row r="32" spans="1:21" ht="16.5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</row>
    <row r="33" spans="1:21" ht="16.5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</row>
    <row r="34" spans="1:21" ht="31.5" x14ac:dyDescent="0.25">
      <c r="A34" s="99"/>
      <c r="B34" s="98">
        <v>4</v>
      </c>
      <c r="C34" s="98" t="s">
        <v>3066</v>
      </c>
      <c r="D34" s="98" t="s">
        <v>3084</v>
      </c>
      <c r="E34" s="98">
        <f>ROUNDUP((E23/200+2300/200*10),0)</f>
        <v>117</v>
      </c>
      <c r="F34" s="44">
        <v>0.88800000000000001</v>
      </c>
      <c r="G34" s="98" t="s">
        <v>20</v>
      </c>
      <c r="H34" s="98">
        <f>Арм_Элемент_П(E22*2,E22-2*50,I34,J34)</f>
        <v>6830</v>
      </c>
      <c r="I34" s="98">
        <v>12</v>
      </c>
      <c r="J34" s="98" t="s">
        <v>2</v>
      </c>
      <c r="K34" s="98"/>
      <c r="L34" s="98"/>
      <c r="M34" s="98"/>
      <c r="N34" s="98"/>
      <c r="O34" s="98"/>
      <c r="P34" s="98"/>
      <c r="Q34" s="98"/>
      <c r="R34" s="98"/>
      <c r="S34" s="98" t="s">
        <v>3108</v>
      </c>
      <c r="T34" s="98" t="s">
        <v>3108</v>
      </c>
      <c r="U34" s="100">
        <v>30</v>
      </c>
    </row>
    <row r="35" spans="1:21" ht="31.5" x14ac:dyDescent="0.25">
      <c r="A35" s="99"/>
      <c r="B35" s="98">
        <v>3</v>
      </c>
      <c r="C35" s="98" t="s">
        <v>3066</v>
      </c>
      <c r="D35" s="98" t="s">
        <v>3083</v>
      </c>
      <c r="E35" s="98">
        <f>ROUNDUP(E23/200,0)*2</f>
        <v>4</v>
      </c>
      <c r="F35" s="44">
        <v>0.88800000000000001</v>
      </c>
      <c r="G35" s="98" t="s">
        <v>0</v>
      </c>
      <c r="H35" s="98">
        <v>200</v>
      </c>
      <c r="I35" s="98">
        <v>12</v>
      </c>
      <c r="J35" s="98" t="s">
        <v>2</v>
      </c>
      <c r="K35" s="98"/>
      <c r="L35" s="98"/>
      <c r="M35" s="98"/>
      <c r="N35" s="98"/>
      <c r="O35" s="98"/>
      <c r="P35" s="98"/>
      <c r="Q35" s="98"/>
      <c r="R35" s="98"/>
      <c r="S35" s="98" t="s">
        <v>3108</v>
      </c>
      <c r="T35" s="98" t="s">
        <v>3108</v>
      </c>
      <c r="U35" s="100">
        <v>30</v>
      </c>
    </row>
    <row r="36" spans="1:21" ht="32.25" thickBot="1" x14ac:dyDescent="0.3">
      <c r="A36" s="101"/>
      <c r="B36" s="102">
        <v>5</v>
      </c>
      <c r="C36" s="102" t="s">
        <v>3066</v>
      </c>
      <c r="D36" s="102" t="s">
        <v>3082</v>
      </c>
      <c r="E36" s="102">
        <f>ROUNDUP((E34/2*6),0)</f>
        <v>351</v>
      </c>
      <c r="F36" s="46">
        <v>0.222</v>
      </c>
      <c r="G36" s="102" t="s">
        <v>0</v>
      </c>
      <c r="H36" s="102">
        <f>245</f>
        <v>245</v>
      </c>
      <c r="I36" s="102">
        <v>6</v>
      </c>
      <c r="J36" s="102" t="s">
        <v>1</v>
      </c>
      <c r="K36" s="102"/>
      <c r="L36" s="102"/>
      <c r="M36" s="102"/>
      <c r="N36" s="102"/>
      <c r="O36" s="102"/>
      <c r="P36" s="102"/>
      <c r="Q36" s="102"/>
      <c r="R36" s="102"/>
      <c r="S36" s="102" t="s">
        <v>3108</v>
      </c>
      <c r="T36" s="102" t="s">
        <v>3108</v>
      </c>
      <c r="U36" s="103">
        <v>7.5</v>
      </c>
    </row>
  </sheetData>
  <conditionalFormatting sqref="A1:U36">
    <cfRule type="containsText" dxfId="321" priority="14" stopIfTrue="1" operator="containsText" text="шт.)">
      <formula>NOT(ISERROR(SEARCH("шт.)",A1)))</formula>
    </cfRule>
    <cfRule type="containsText" dxfId="320" priority="13" stopIfTrue="1" operator="containsText" text=", на ">
      <formula>NOT(ISERROR(SEARCH(", на ",A1)))</formula>
    </cfRule>
    <cfRule type="containsText" dxfId="319" priority="12" stopIfTrue="1" operator="containsText" text="Элементы на отм.">
      <formula>NOT(ISERROR(SEARCH("Элементы на отм.",A1)))</formula>
    </cfRule>
    <cfRule type="containsText" dxfId="318" priority="11" stopIfTrue="1" operator="containsText" text=" Прокат ">
      <formula>NOT(ISERROR(SEARCH(" Прокат ",A1)))</formula>
    </cfRule>
    <cfRule type="containsText" dxfId="317" priority="10" stopIfTrue="1" operator="containsText" text=" Изделия арматурные ">
      <formula>NOT(ISERROR(SEARCH(" Изделия арматурные ",A1)))</formula>
    </cfRule>
    <cfRule type="containsText" dxfId="316" priority="9" stopIfTrue="1" operator="containsText" text=" Материалы ">
      <formula>NOT(ISERROR(SEARCH(" Материалы ",A1)))</formula>
    </cfRule>
    <cfRule type="containsText" dxfId="315" priority="8" stopIfTrue="1" operator="containsText" text=" Изделия ">
      <formula>NOT(ISERROR(SEARCH(" Изделия ",A1)))</formula>
    </cfRule>
    <cfRule type="containsText" dxfId="314" priority="7" stopIfTrue="1" operator="containsText" text=" Сборочные единицы ">
      <formula>NOT(ISERROR(SEARCH(" Сборочные единицы ",A1)))</formula>
    </cfRule>
    <cfRule type="containsText" dxfId="313" priority="6" stopIfTrue="1" operator="containsText" text=" Заполнения проёмов ">
      <formula>NOT(ISERROR(SEARCH(" Заполнения проёмов ",A1)))</formula>
    </cfRule>
    <cfRule type="containsText" dxfId="312" priority="5" stopIfTrue="1" operator="containsText" text=" Сборочные единицы ">
      <formula>NOT(ISERROR(SEARCH(" Сборочные единицы ",A1)))</formula>
    </cfRule>
    <cfRule type="containsText" dxfId="311" priority="4" stopIfTrue="1" operator="containsText" text=" Заполнения проёмов ">
      <formula>NOT(ISERROR(SEARCH(" Заполнения проёмов ",A1)))</formula>
    </cfRule>
    <cfRule type="containsText" dxfId="310" priority="3" stopIfTrue="1" operator="containsText" text="!!!">
      <formula>NOT(ISERROR(SEARCH("!!!",A1)))</formula>
    </cfRule>
    <cfRule type="containsText" dxfId="309" priority="2" stopIfTrue="1" operator="containsText" text="ИЗ ФАЙЛА">
      <formula>NOT(ISERROR(SEARCH("ИЗ ФАЙЛА",A1)))</formula>
    </cfRule>
    <cfRule type="containsText" dxfId="30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'!System'!$BW$1:$BW$6</xm:f>
          </x14:formula1>
          <xm:sqref>G3:G36</xm:sqref>
        </x14:dataValidation>
        <x14:dataValidation type="list" allowBlank="1" showInputMessage="1" showErrorMessage="1">
          <x14:formula1>
            <xm:f>'!System'!$AG$1:$AO$1</xm:f>
          </x14:formula1>
          <xm:sqref>J3:J36</xm:sqref>
        </x14:dataValidation>
        <x14:dataValidation type="list" allowBlank="1" showInputMessage="1" showErrorMessage="1">
          <x14:formula1>
            <xm:f>'!System'!$A$1:$AE$1</xm:f>
          </x14:formula1>
          <xm:sqref>L3:L36</xm:sqref>
        </x14:dataValidation>
        <x14:dataValidation type="list" allowBlank="1" showInputMessage="1" showErrorMessage="1">
          <x14:formula1>
            <xm:f>'!System'!$AP$1:$BV$1</xm:f>
          </x14:formula1>
          <xm:sqref>O3:O36</xm:sqref>
        </x14:dataValidation>
        <x14:dataValidation type="list" allowBlank="1" showInputMessage="1" showErrorMessage="1">
          <x14:formula1>
            <xm:f>'!System'!$BX$1:$BX$5</xm:f>
          </x14:formula1>
          <xm:sqref>P3:P36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'!System'!$AH$2:$AH$16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3"/>
  <sheetViews>
    <sheetView workbookViewId="0">
      <selection activeCell="M8" sqref="M8"/>
    </sheetView>
  </sheetViews>
  <sheetFormatPr defaultRowHeight="15" x14ac:dyDescent="0.25"/>
  <cols>
    <col min="1" max="1" width="15.7109375" style="5" customWidth="1"/>
    <col min="2" max="2" width="25.7109375" style="5" customWidth="1"/>
    <col min="3" max="5" width="15.7109375" style="5" customWidth="1"/>
    <col min="6" max="16384" width="9.140625" style="5"/>
  </cols>
  <sheetData>
    <row r="1" spans="1:5" ht="47.25" x14ac:dyDescent="0.25">
      <c r="A1" s="57" t="s">
        <v>2903</v>
      </c>
      <c r="B1" s="58" t="s">
        <v>3151</v>
      </c>
      <c r="C1" s="58" t="s">
        <v>3152</v>
      </c>
      <c r="D1" s="58" t="s">
        <v>3153</v>
      </c>
      <c r="E1" s="59" t="s">
        <v>3154</v>
      </c>
    </row>
    <row r="2" spans="1:5" ht="15.75" x14ac:dyDescent="0.25">
      <c r="A2" s="60" t="s">
        <v>3091</v>
      </c>
      <c r="B2" s="61" t="s">
        <v>3155</v>
      </c>
      <c r="C2" s="61">
        <v>83</v>
      </c>
      <c r="D2" s="61">
        <v>9625</v>
      </c>
      <c r="E2" s="62">
        <v>116</v>
      </c>
    </row>
    <row r="3" spans="1:5" ht="16.5" thickBot="1" x14ac:dyDescent="0.3">
      <c r="A3" s="63" t="s">
        <v>3156</v>
      </c>
      <c r="B3" s="64" t="s">
        <v>2902</v>
      </c>
      <c r="C3" s="64">
        <v>83</v>
      </c>
      <c r="D3" s="64">
        <v>9625</v>
      </c>
      <c r="E3" s="65">
        <v>116</v>
      </c>
    </row>
  </sheetData>
  <conditionalFormatting sqref="A1:E3">
    <cfRule type="containsText" dxfId="307" priority="2" stopIfTrue="1" operator="containsText" text="С ЛИСТА">
      <formula>NOT(ISERROR(SEARCH("С ЛИСТА",A1)))</formula>
    </cfRule>
    <cfRule type="containsText" dxfId="306" priority="3" stopIfTrue="1" operator="containsText" text="ИЗ ФАЙЛА">
      <formula>NOT(ISERROR(SEARCH("ИЗ ФАЙЛА",A1)))</formula>
    </cfRule>
    <cfRule type="containsText" dxfId="305" priority="4" stopIfTrue="1" operator="containsText" text="!!!">
      <formula>NOT(ISERROR(SEARCH("!!!",A1)))</formula>
    </cfRule>
    <cfRule type="containsText" dxfId="304" priority="5" stopIfTrue="1" operator="containsText" text=" Заполнения проёмов ">
      <formula>NOT(ISERROR(SEARCH(" Заполнения проёмов ",A1)))</formula>
    </cfRule>
    <cfRule type="containsText" dxfId="303" priority="6" stopIfTrue="1" operator="containsText" text=" Сборочные единицы ">
      <formula>NOT(ISERROR(SEARCH(" Сборочные единицы ",A1)))</formula>
    </cfRule>
    <cfRule type="containsText" dxfId="302" priority="7" stopIfTrue="1" operator="containsText" text=" Заполнения проёмов ">
      <formula>NOT(ISERROR(SEARCH(" Заполнения проёмов ",A1)))</formula>
    </cfRule>
    <cfRule type="containsText" dxfId="301" priority="8" stopIfTrue="1" operator="containsText" text=" Сборочные единицы ">
      <formula>NOT(ISERROR(SEARCH(" Сборочные единицы ",A1)))</formula>
    </cfRule>
    <cfRule type="containsText" dxfId="300" priority="9" stopIfTrue="1" operator="containsText" text=" Изделия ">
      <formula>NOT(ISERROR(SEARCH(" Изделия ",A1)))</formula>
    </cfRule>
    <cfRule type="containsText" dxfId="299" priority="10" stopIfTrue="1" operator="containsText" text=" Материалы ">
      <formula>NOT(ISERROR(SEARCH(" Материалы ",A1)))</formula>
    </cfRule>
    <cfRule type="containsText" dxfId="298" priority="11" stopIfTrue="1" operator="containsText" text=" Изделия арматурные ">
      <formula>NOT(ISERROR(SEARCH(" Изделия арматурные ",A1)))</formula>
    </cfRule>
    <cfRule type="containsText" dxfId="297" priority="12" stopIfTrue="1" operator="containsText" text=" Прокат ">
      <formula>NOT(ISERROR(SEARCH(" Прокат ",A1)))</formula>
    </cfRule>
    <cfRule type="containsText" dxfId="296" priority="13" stopIfTrue="1" operator="containsText" text="Элементы на отм.">
      <formula>NOT(ISERROR(SEARCH("Элементы на отм.",A1)))</formula>
    </cfRule>
    <cfRule type="containsText" dxfId="295" priority="14" stopIfTrue="1" operator="containsText" text=", на ">
      <formula>NOT(ISERROR(SEARCH(", на ",A1)))</formula>
    </cfRule>
    <cfRule type="containsText" dxfId="294" priority="15" stopIfTrue="1" operator="containsText" text="шт.)">
      <formula>NOT(ISERROR(SEARCH("шт.)",A1)))</formula>
    </cfRule>
  </conditionalFormatting>
  <conditionalFormatting sqref="E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U68"/>
  <sheetViews>
    <sheetView tabSelected="1" topLeftCell="A4" zoomScaleNormal="100" workbookViewId="0">
      <selection activeCell="Y11" sqref="Y11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107" t="s">
        <v>3012</v>
      </c>
      <c r="I2" s="107" t="s">
        <v>3011</v>
      </c>
      <c r="J2" s="107" t="s">
        <v>3010</v>
      </c>
      <c r="K2" s="107" t="s">
        <v>3009</v>
      </c>
      <c r="L2" s="107" t="s">
        <v>3008</v>
      </c>
      <c r="M2" s="107" t="s">
        <v>3007</v>
      </c>
      <c r="N2" s="107" t="s">
        <v>3006</v>
      </c>
      <c r="O2" s="107" t="s">
        <v>3005</v>
      </c>
      <c r="P2" s="107" t="s">
        <v>3004</v>
      </c>
      <c r="Q2" s="107" t="s">
        <v>3003</v>
      </c>
      <c r="R2" s="111"/>
      <c r="S2" s="107" t="s">
        <v>3002</v>
      </c>
      <c r="T2" s="107" t="s">
        <v>3001</v>
      </c>
      <c r="U2" s="109" t="s">
        <v>3000</v>
      </c>
    </row>
    <row r="3" spans="1:21" ht="15.75" x14ac:dyDescent="0.25">
      <c r="A3" s="45" t="str">
        <f t="shared" ref="A3:A10" si="0">A4</f>
        <v>Пдм1</v>
      </c>
      <c r="B3" s="44" t="s">
        <v>2979</v>
      </c>
      <c r="C3" s="44"/>
      <c r="D3" s="44" t="s">
        <v>3226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tr">
        <f t="shared" si="0"/>
        <v>Пдм1</v>
      </c>
      <c r="B4" s="44" t="s">
        <v>2979</v>
      </c>
      <c r="C4" s="44" t="s">
        <v>3098</v>
      </c>
      <c r="D4" s="44" t="s">
        <v>3225</v>
      </c>
      <c r="E4" s="44">
        <f>(E6*E7/1000)/1.15</f>
        <v>260.28260869565219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tr">
        <f t="shared" si="0"/>
        <v>Пдм1</v>
      </c>
      <c r="B5" s="44" t="s">
        <v>2979</v>
      </c>
      <c r="C5" s="44"/>
      <c r="D5" s="44" t="s">
        <v>3224</v>
      </c>
      <c r="E5" s="44">
        <v>100200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tr">
        <f t="shared" si="0"/>
        <v>Пдм1</v>
      </c>
      <c r="B6" s="44" t="s">
        <v>2979</v>
      </c>
      <c r="C6" s="44"/>
      <c r="D6" s="44" t="s">
        <v>3223</v>
      </c>
      <c r="E6" s="44">
        <f>598.65</f>
        <v>598.65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 t="shared" si="0"/>
        <v>Пдм1</v>
      </c>
      <c r="B7" s="44" t="s">
        <v>2979</v>
      </c>
      <c r="C7" s="44"/>
      <c r="D7" s="44" t="s">
        <v>3096</v>
      </c>
      <c r="E7" s="44">
        <v>500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 t="shared" si="0"/>
        <v>Пдм1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 t="shared" si="0"/>
        <v>Пдм1</v>
      </c>
      <c r="B9" s="44" t="s">
        <v>2979</v>
      </c>
      <c r="C9" s="44"/>
      <c r="D9" s="44" t="s">
        <v>3222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31.5" x14ac:dyDescent="0.25">
      <c r="A10" s="45" t="str">
        <f t="shared" si="0"/>
        <v>Пдм1</v>
      </c>
      <c r="B10" s="44" t="s">
        <v>2979</v>
      </c>
      <c r="C10" s="44"/>
      <c r="D10" s="44" t="s">
        <v>3221</v>
      </c>
      <c r="E10" s="44">
        <f>((E6+(E5*E7)/(1000*1000)))/1.15</f>
        <v>564.13043478260875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5.75" x14ac:dyDescent="0.25">
      <c r="A11" s="42" t="str">
        <f>B11</f>
        <v>Пдм1</v>
      </c>
      <c r="B11" s="41" t="s">
        <v>3182</v>
      </c>
      <c r="C11" s="41"/>
      <c r="D11" s="41" t="s">
        <v>3220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5.75" x14ac:dyDescent="0.25">
      <c r="A12" s="108" t="str">
        <f t="shared" ref="A12:A21" si="1">A11</f>
        <v>Пдм1</v>
      </c>
      <c r="B12" s="107"/>
      <c r="C12" s="72" t="s">
        <v>3081</v>
      </c>
      <c r="D12" s="49" t="s">
        <v>3219</v>
      </c>
      <c r="E12" s="49">
        <f>E4</f>
        <v>260.28260869565219</v>
      </c>
      <c r="F12" s="44" t="s">
        <v>4</v>
      </c>
      <c r="G12" s="107" t="s">
        <v>2370</v>
      </c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9"/>
    </row>
    <row r="13" spans="1:21" ht="15.75" x14ac:dyDescent="0.25">
      <c r="A13" s="108" t="str">
        <f t="shared" si="1"/>
        <v>Пдм1</v>
      </c>
      <c r="B13" s="107"/>
      <c r="C13" s="49" t="s">
        <v>3081</v>
      </c>
      <c r="D13" s="49" t="s">
        <v>3218</v>
      </c>
      <c r="E13" s="49">
        <f>(600.96*0.15+0.924*2+2.77)/1.15</f>
        <v>82.401739130434791</v>
      </c>
      <c r="F13" s="44" t="s">
        <v>4</v>
      </c>
      <c r="G13" s="107" t="s">
        <v>3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9"/>
    </row>
    <row r="14" spans="1:21" ht="15.75" x14ac:dyDescent="0.25">
      <c r="A14" s="108" t="str">
        <f t="shared" si="1"/>
        <v>Пдм1</v>
      </c>
      <c r="B14" s="107"/>
      <c r="C14" s="49" t="s">
        <v>3081</v>
      </c>
      <c r="D14" s="49" t="s">
        <v>3217</v>
      </c>
      <c r="E14" s="49">
        <f>(E6*0.15)/1.15</f>
        <v>78.084782608695662</v>
      </c>
      <c r="F14" s="44" t="s">
        <v>4</v>
      </c>
      <c r="G14" s="107" t="s">
        <v>3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9"/>
    </row>
    <row r="15" spans="1:21" ht="31.5" x14ac:dyDescent="0.25">
      <c r="A15" s="108" t="str">
        <f t="shared" si="1"/>
        <v>Пдм1</v>
      </c>
      <c r="B15" s="107"/>
      <c r="C15" s="107" t="s">
        <v>3216</v>
      </c>
      <c r="D15" s="107" t="s">
        <v>3215</v>
      </c>
      <c r="E15" s="107">
        <f>E10</f>
        <v>564.13043478260875</v>
      </c>
      <c r="F15" s="107"/>
      <c r="G15" s="107" t="s">
        <v>2369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9"/>
    </row>
    <row r="16" spans="1:21" ht="31.5" x14ac:dyDescent="0.25">
      <c r="A16" s="108" t="str">
        <f t="shared" si="1"/>
        <v>Пдм1</v>
      </c>
      <c r="B16" s="107"/>
      <c r="C16" s="107" t="s">
        <v>3214</v>
      </c>
      <c r="D16" s="107" t="s">
        <v>3213</v>
      </c>
      <c r="E16" s="107">
        <f>E10</f>
        <v>564.13043478260875</v>
      </c>
      <c r="F16" s="107"/>
      <c r="G16" s="107" t="s">
        <v>2369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9"/>
    </row>
    <row r="17" spans="1:21" ht="31.5" x14ac:dyDescent="0.25">
      <c r="A17" s="108" t="str">
        <f t="shared" si="1"/>
        <v>Пдм1</v>
      </c>
      <c r="B17" s="107"/>
      <c r="C17" s="107" t="s">
        <v>3079</v>
      </c>
      <c r="D17" s="107" t="s">
        <v>3212</v>
      </c>
      <c r="E17" s="107">
        <f>E10</f>
        <v>564.13043478260875</v>
      </c>
      <c r="F17" s="107"/>
      <c r="G17" s="107" t="s">
        <v>2369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9"/>
    </row>
    <row r="18" spans="1:21" ht="15.75" x14ac:dyDescent="0.25">
      <c r="A18" s="108" t="str">
        <f t="shared" si="1"/>
        <v>Пдм1</v>
      </c>
      <c r="B18" s="107">
        <v>2</v>
      </c>
      <c r="C18" s="107" t="s">
        <v>3066</v>
      </c>
      <c r="D18" s="107" t="s">
        <v>3211</v>
      </c>
      <c r="E18" s="48">
        <v>1</v>
      </c>
      <c r="F18" s="44">
        <v>1.208</v>
      </c>
      <c r="G18" s="107" t="s">
        <v>20</v>
      </c>
      <c r="H18" s="48">
        <f>Арм_ПоПлощади($E$6*1000*1000,200,T18)</f>
        <v>3231860</v>
      </c>
      <c r="I18" s="107">
        <v>14</v>
      </c>
      <c r="J18" s="107" t="s">
        <v>2</v>
      </c>
      <c r="K18" s="107"/>
      <c r="L18" s="107"/>
      <c r="M18" s="107"/>
      <c r="N18" s="107"/>
      <c r="O18" s="107"/>
      <c r="P18" s="107"/>
      <c r="Q18" s="107"/>
      <c r="R18" s="107"/>
      <c r="S18" s="107">
        <v>690</v>
      </c>
      <c r="T18" s="107">
        <v>830</v>
      </c>
      <c r="U18" s="109">
        <v>35</v>
      </c>
    </row>
    <row r="19" spans="1:21" ht="15.75" x14ac:dyDescent="0.25">
      <c r="A19" s="108" t="str">
        <f t="shared" si="1"/>
        <v>Пдм1</v>
      </c>
      <c r="B19" s="107">
        <v>2</v>
      </c>
      <c r="C19" s="107" t="s">
        <v>3066</v>
      </c>
      <c r="D19" s="107" t="s">
        <v>3210</v>
      </c>
      <c r="E19" s="48">
        <v>1</v>
      </c>
      <c r="F19" s="44">
        <v>1.208</v>
      </c>
      <c r="G19" s="107" t="s">
        <v>20</v>
      </c>
      <c r="H19" s="48">
        <f>Арм_ПоПлощади($E$6*1000*1000,200,T19)</f>
        <v>3231860</v>
      </c>
      <c r="I19" s="107">
        <v>14</v>
      </c>
      <c r="J19" s="107" t="s">
        <v>2</v>
      </c>
      <c r="K19" s="107"/>
      <c r="L19" s="107"/>
      <c r="M19" s="107"/>
      <c r="N19" s="107"/>
      <c r="O19" s="107"/>
      <c r="P19" s="107"/>
      <c r="Q19" s="107"/>
      <c r="R19" s="107"/>
      <c r="S19" s="107">
        <v>690</v>
      </c>
      <c r="T19" s="107">
        <v>830</v>
      </c>
      <c r="U19" s="109">
        <v>35</v>
      </c>
    </row>
    <row r="20" spans="1:21" ht="15.75" x14ac:dyDescent="0.25">
      <c r="A20" s="108" t="str">
        <f t="shared" si="1"/>
        <v>Пдм1</v>
      </c>
      <c r="B20" s="107">
        <v>1</v>
      </c>
      <c r="C20" s="107" t="s">
        <v>3066</v>
      </c>
      <c r="D20" s="107" t="s">
        <v>3210</v>
      </c>
      <c r="E20" s="48">
        <v>1</v>
      </c>
      <c r="F20" s="44">
        <v>1.5780000000000001</v>
      </c>
      <c r="G20" s="107" t="s">
        <v>20</v>
      </c>
      <c r="H20" s="48">
        <f>Арм_ПоПлощади($E$6*1000*1000,200,T20)</f>
        <v>3261530</v>
      </c>
      <c r="I20" s="107">
        <v>16</v>
      </c>
      <c r="J20" s="107" t="s">
        <v>2</v>
      </c>
      <c r="K20" s="107"/>
      <c r="L20" s="107"/>
      <c r="M20" s="107"/>
      <c r="N20" s="107"/>
      <c r="O20" s="107"/>
      <c r="P20" s="107"/>
      <c r="Q20" s="107"/>
      <c r="R20" s="107"/>
      <c r="S20" s="107">
        <v>790</v>
      </c>
      <c r="T20" s="107">
        <v>945</v>
      </c>
      <c r="U20" s="109">
        <v>40</v>
      </c>
    </row>
    <row r="21" spans="1:21" ht="15.75" x14ac:dyDescent="0.25">
      <c r="A21" s="108" t="str">
        <f t="shared" si="1"/>
        <v>Пдм1</v>
      </c>
      <c r="B21" s="107">
        <v>1</v>
      </c>
      <c r="C21" s="107" t="s">
        <v>3066</v>
      </c>
      <c r="D21" s="107" t="s">
        <v>3210</v>
      </c>
      <c r="E21" s="48">
        <v>1</v>
      </c>
      <c r="F21" s="44">
        <v>1.5780000000000001</v>
      </c>
      <c r="G21" s="107" t="s">
        <v>20</v>
      </c>
      <c r="H21" s="48">
        <f>Арм_ПоПлощади($E$6*1000*1000,200,T21)</f>
        <v>3261530</v>
      </c>
      <c r="I21" s="107">
        <v>16</v>
      </c>
      <c r="J21" s="107" t="s">
        <v>2</v>
      </c>
      <c r="K21" s="107"/>
      <c r="L21" s="107"/>
      <c r="M21" s="107"/>
      <c r="N21" s="107"/>
      <c r="O21" s="107"/>
      <c r="P21" s="107"/>
      <c r="Q21" s="107"/>
      <c r="R21" s="107"/>
      <c r="S21" s="107">
        <v>790</v>
      </c>
      <c r="T21" s="107">
        <v>945</v>
      </c>
      <c r="U21" s="109">
        <v>40</v>
      </c>
    </row>
    <row r="22" spans="1:21" ht="15.75" x14ac:dyDescent="0.25">
      <c r="A22" s="108" t="str">
        <f>A19</f>
        <v>Пдм1</v>
      </c>
      <c r="B22" s="107">
        <v>22</v>
      </c>
      <c r="C22" s="107" t="s">
        <v>3066</v>
      </c>
      <c r="D22" s="107" t="s">
        <v>3209</v>
      </c>
      <c r="E22" s="107">
        <f>ROUNDUP(E5/200,0)+50</f>
        <v>551</v>
      </c>
      <c r="F22" s="44">
        <v>1.208</v>
      </c>
      <c r="G22" s="107" t="s">
        <v>0</v>
      </c>
      <c r="H22" s="107">
        <f>Арм_Элемент_П(S22,E7,I22,J22)</f>
        <v>1850</v>
      </c>
      <c r="I22" s="107">
        <v>14</v>
      </c>
      <c r="J22" s="107" t="s">
        <v>2</v>
      </c>
      <c r="K22" s="107"/>
      <c r="L22" s="107"/>
      <c r="M22" s="107"/>
      <c r="N22" s="107"/>
      <c r="O22" s="107"/>
      <c r="P22" s="107"/>
      <c r="Q22" s="107"/>
      <c r="R22" s="107"/>
      <c r="S22" s="107">
        <v>690</v>
      </c>
      <c r="T22" s="107">
        <v>830</v>
      </c>
      <c r="U22" s="109">
        <v>35</v>
      </c>
    </row>
    <row r="23" spans="1:21" ht="15.75" x14ac:dyDescent="0.25">
      <c r="A23" s="108" t="str">
        <f t="shared" ref="A23:A47" si="2">A22</f>
        <v>Пдм1</v>
      </c>
      <c r="B23" s="107">
        <v>18</v>
      </c>
      <c r="C23" s="107" t="s">
        <v>3066</v>
      </c>
      <c r="D23" s="107" t="s">
        <v>3208</v>
      </c>
      <c r="E23" s="107">
        <v>8</v>
      </c>
      <c r="F23" s="44">
        <v>1.998</v>
      </c>
      <c r="G23" s="107" t="s">
        <v>0</v>
      </c>
      <c r="H23" s="107">
        <f>1200+S23</f>
        <v>2085</v>
      </c>
      <c r="I23" s="107">
        <v>18</v>
      </c>
      <c r="J23" s="107" t="s">
        <v>2</v>
      </c>
      <c r="K23" s="107"/>
      <c r="L23" s="107"/>
      <c r="M23" s="107"/>
      <c r="N23" s="107"/>
      <c r="O23" s="107"/>
      <c r="P23" s="107"/>
      <c r="Q23" s="107"/>
      <c r="R23" s="107"/>
      <c r="S23" s="107">
        <v>885</v>
      </c>
      <c r="T23" s="107">
        <v>1065</v>
      </c>
      <c r="U23" s="109">
        <v>45</v>
      </c>
    </row>
    <row r="24" spans="1:21" ht="15.75" x14ac:dyDescent="0.25">
      <c r="A24" s="108" t="str">
        <f t="shared" si="2"/>
        <v>Пдм1</v>
      </c>
      <c r="B24" s="107">
        <v>19</v>
      </c>
      <c r="C24" s="107" t="s">
        <v>3066</v>
      </c>
      <c r="D24" s="107" t="s">
        <v>3207</v>
      </c>
      <c r="E24" s="107">
        <v>8</v>
      </c>
      <c r="F24" s="44">
        <v>1.998</v>
      </c>
      <c r="G24" s="107" t="s">
        <v>0</v>
      </c>
      <c r="H24" s="107">
        <f>900+S24</f>
        <v>1785</v>
      </c>
      <c r="I24" s="107">
        <v>18</v>
      </c>
      <c r="J24" s="107" t="s">
        <v>2</v>
      </c>
      <c r="K24" s="107"/>
      <c r="L24" s="107"/>
      <c r="M24" s="107"/>
      <c r="N24" s="107"/>
      <c r="O24" s="107"/>
      <c r="P24" s="107"/>
      <c r="Q24" s="107"/>
      <c r="R24" s="107"/>
      <c r="S24" s="107">
        <v>885</v>
      </c>
      <c r="T24" s="107">
        <v>1065</v>
      </c>
      <c r="U24" s="109">
        <v>45</v>
      </c>
    </row>
    <row r="25" spans="1:21" ht="15.75" x14ac:dyDescent="0.25">
      <c r="A25" s="108" t="str">
        <f t="shared" si="2"/>
        <v>Пдм1</v>
      </c>
      <c r="B25" s="107" t="str">
        <f>[1]Изделия_спец.И!A5</f>
        <v>Кр1</v>
      </c>
      <c r="C25" s="107" t="str">
        <f>[1]Изделия_спец.И!C5</f>
        <v xml:space="preserve"> </v>
      </c>
      <c r="D25" s="107" t="str">
        <f>[1]Изделия_спец.И!D5</f>
        <v>Каркас Кр1</v>
      </c>
      <c r="E25" s="107">
        <v>24</v>
      </c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9"/>
    </row>
    <row r="26" spans="1:21" ht="15.75" x14ac:dyDescent="0.25">
      <c r="A26" s="108" t="str">
        <f t="shared" si="2"/>
        <v>Пдм1</v>
      </c>
      <c r="B26" s="107" t="str">
        <f>[1]Изделия_спец.И!A9</f>
        <v>Кр2</v>
      </c>
      <c r="C26" s="107" t="str">
        <f>[1]Изделия_спец.И!C9</f>
        <v xml:space="preserve"> </v>
      </c>
      <c r="D26" s="107" t="str">
        <f>[1]Изделия_спец.И!D9</f>
        <v>Каркас Кр2</v>
      </c>
      <c r="E26" s="107">
        <v>24</v>
      </c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9"/>
    </row>
    <row r="27" spans="1:21" ht="15.75" x14ac:dyDescent="0.25">
      <c r="A27" s="108" t="str">
        <f t="shared" si="2"/>
        <v>Пдм1</v>
      </c>
      <c r="B27" s="107" t="str">
        <f>[1]Изделия_спец.И!A13</f>
        <v>Кр3</v>
      </c>
      <c r="C27" s="107" t="str">
        <f>[1]Изделия_спец.И!C13</f>
        <v xml:space="preserve"> </v>
      </c>
      <c r="D27" s="107" t="str">
        <f>[1]Изделия_спец.И!D13</f>
        <v>Каркас Кр3</v>
      </c>
      <c r="E27" s="107">
        <v>620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9"/>
    </row>
    <row r="28" spans="1:21" ht="15.75" x14ac:dyDescent="0.25">
      <c r="A28" s="108" t="str">
        <f t="shared" si="2"/>
        <v>Пдм1</v>
      </c>
      <c r="B28" s="107">
        <v>7</v>
      </c>
      <c r="C28" s="107" t="s">
        <v>3066</v>
      </c>
      <c r="D28" s="107" t="s">
        <v>3205</v>
      </c>
      <c r="E28" s="107">
        <f>(32*2)+(48*2)</f>
        <v>160</v>
      </c>
      <c r="F28" s="44">
        <v>2.984</v>
      </c>
      <c r="G28" s="107"/>
      <c r="H28" s="107">
        <f>1200</f>
        <v>1200</v>
      </c>
      <c r="I28" s="107">
        <v>22</v>
      </c>
      <c r="J28" s="107" t="s">
        <v>2</v>
      </c>
      <c r="K28" s="107"/>
      <c r="L28" s="107"/>
      <c r="M28" s="107"/>
      <c r="N28" s="107"/>
      <c r="O28" s="107"/>
      <c r="P28" s="107"/>
      <c r="Q28" s="107"/>
      <c r="R28" s="107"/>
      <c r="S28" s="107">
        <v>1085</v>
      </c>
      <c r="T28" s="107">
        <v>1300</v>
      </c>
      <c r="U28" s="109">
        <v>88</v>
      </c>
    </row>
    <row r="29" spans="1:21" ht="15.75" x14ac:dyDescent="0.25">
      <c r="A29" s="108" t="str">
        <f t="shared" si="2"/>
        <v>Пдм1</v>
      </c>
      <c r="B29" s="107">
        <v>6</v>
      </c>
      <c r="C29" s="107" t="s">
        <v>3066</v>
      </c>
      <c r="D29" s="107" t="s">
        <v>3206</v>
      </c>
      <c r="E29" s="107">
        <f>14*2</f>
        <v>28</v>
      </c>
      <c r="F29" s="44">
        <v>2.984</v>
      </c>
      <c r="G29" s="107"/>
      <c r="H29" s="107">
        <f>4000</f>
        <v>4000</v>
      </c>
      <c r="I29" s="107">
        <v>22</v>
      </c>
      <c r="J29" s="107" t="s">
        <v>2</v>
      </c>
      <c r="K29" s="107"/>
      <c r="L29" s="107"/>
      <c r="M29" s="107"/>
      <c r="N29" s="107"/>
      <c r="O29" s="107"/>
      <c r="P29" s="107"/>
      <c r="Q29" s="107"/>
      <c r="R29" s="107"/>
      <c r="S29" s="107">
        <v>1085</v>
      </c>
      <c r="T29" s="107">
        <v>1300</v>
      </c>
      <c r="U29" s="109">
        <v>88</v>
      </c>
    </row>
    <row r="30" spans="1:21" ht="15.75" x14ac:dyDescent="0.25">
      <c r="A30" s="108" t="str">
        <f t="shared" si="2"/>
        <v>Пдм1</v>
      </c>
      <c r="B30" s="107">
        <v>14</v>
      </c>
      <c r="C30" s="107" t="s">
        <v>3066</v>
      </c>
      <c r="D30" s="107" t="s">
        <v>3205</v>
      </c>
      <c r="E30" s="107">
        <v>57</v>
      </c>
      <c r="F30" s="44">
        <v>1.5780000000000001</v>
      </c>
      <c r="G30" s="107"/>
      <c r="H30" s="107">
        <v>1000</v>
      </c>
      <c r="I30" s="107">
        <v>16</v>
      </c>
      <c r="J30" s="107" t="s">
        <v>2</v>
      </c>
      <c r="K30" s="107"/>
      <c r="L30" s="107"/>
      <c r="M30" s="107"/>
      <c r="N30" s="107"/>
      <c r="O30" s="107"/>
      <c r="P30" s="107"/>
      <c r="Q30" s="107"/>
      <c r="R30" s="107"/>
      <c r="S30" s="107">
        <v>790</v>
      </c>
      <c r="T30" s="107">
        <v>945</v>
      </c>
      <c r="U30" s="109">
        <v>40</v>
      </c>
    </row>
    <row r="31" spans="1:21" ht="15.75" x14ac:dyDescent="0.25">
      <c r="A31" s="108" t="str">
        <f>A30</f>
        <v>Пдм1</v>
      </c>
      <c r="B31" s="107">
        <v>13</v>
      </c>
      <c r="C31" s="107" t="s">
        <v>3066</v>
      </c>
      <c r="D31" s="107" t="s">
        <v>3205</v>
      </c>
      <c r="E31" s="107">
        <v>22</v>
      </c>
      <c r="F31" s="44">
        <v>1.5780000000000001</v>
      </c>
      <c r="G31" s="107"/>
      <c r="H31" s="107">
        <v>2100</v>
      </c>
      <c r="I31" s="107">
        <v>16</v>
      </c>
      <c r="J31" s="107" t="s">
        <v>2</v>
      </c>
      <c r="K31" s="107"/>
      <c r="L31" s="107"/>
      <c r="M31" s="107"/>
      <c r="N31" s="107"/>
      <c r="O31" s="107"/>
      <c r="P31" s="107"/>
      <c r="Q31" s="107"/>
      <c r="R31" s="107"/>
      <c r="S31" s="107">
        <v>790</v>
      </c>
      <c r="T31" s="107">
        <v>945</v>
      </c>
      <c r="U31" s="109">
        <v>40</v>
      </c>
    </row>
    <row r="32" spans="1:21" ht="15.75" x14ac:dyDescent="0.25">
      <c r="A32" s="108" t="str">
        <f t="shared" si="2"/>
        <v>Пдм1</v>
      </c>
      <c r="B32" s="107">
        <v>12</v>
      </c>
      <c r="C32" s="107" t="s">
        <v>3066</v>
      </c>
      <c r="D32" s="107" t="s">
        <v>3205</v>
      </c>
      <c r="E32" s="107">
        <v>22</v>
      </c>
      <c r="F32" s="44">
        <v>1.5780000000000001</v>
      </c>
      <c r="G32" s="107"/>
      <c r="H32" s="107">
        <f>4000</f>
        <v>4000</v>
      </c>
      <c r="I32" s="107">
        <v>16</v>
      </c>
      <c r="J32" s="107" t="s">
        <v>2</v>
      </c>
      <c r="K32" s="107"/>
      <c r="L32" s="107"/>
      <c r="M32" s="107"/>
      <c r="N32" s="107"/>
      <c r="O32" s="107"/>
      <c r="P32" s="107"/>
      <c r="Q32" s="107"/>
      <c r="R32" s="107"/>
      <c r="S32" s="107">
        <v>790</v>
      </c>
      <c r="T32" s="107">
        <v>945</v>
      </c>
      <c r="U32" s="109">
        <v>40</v>
      </c>
    </row>
    <row r="33" spans="1:21" ht="15.75" x14ac:dyDescent="0.25">
      <c r="A33" s="108" t="str">
        <f t="shared" si="2"/>
        <v>Пдм1</v>
      </c>
      <c r="B33" s="107">
        <v>10</v>
      </c>
      <c r="C33" s="107" t="s">
        <v>3066</v>
      </c>
      <c r="D33" s="107" t="s">
        <v>3204</v>
      </c>
      <c r="E33" s="107">
        <v>24</v>
      </c>
      <c r="F33" s="44">
        <v>1.998</v>
      </c>
      <c r="G33" s="107"/>
      <c r="H33" s="107">
        <v>4000</v>
      </c>
      <c r="I33" s="107">
        <v>18</v>
      </c>
      <c r="J33" s="107" t="s">
        <v>2</v>
      </c>
      <c r="K33" s="107"/>
      <c r="L33" s="107"/>
      <c r="M33" s="107"/>
      <c r="N33" s="107"/>
      <c r="O33" s="107"/>
      <c r="P33" s="107"/>
      <c r="Q33" s="107"/>
      <c r="R33" s="107"/>
      <c r="S33" s="107">
        <v>885</v>
      </c>
      <c r="T33" s="107">
        <v>1065</v>
      </c>
      <c r="U33" s="109">
        <v>45</v>
      </c>
    </row>
    <row r="34" spans="1:21" ht="15.75" x14ac:dyDescent="0.25">
      <c r="A34" s="108" t="str">
        <f t="shared" si="2"/>
        <v>Пдм1</v>
      </c>
      <c r="B34" s="107">
        <v>11</v>
      </c>
      <c r="C34" s="107" t="s">
        <v>3066</v>
      </c>
      <c r="D34" s="107" t="s">
        <v>3204</v>
      </c>
      <c r="E34" s="107">
        <v>114</v>
      </c>
      <c r="F34" s="44">
        <v>1.998</v>
      </c>
      <c r="G34" s="107"/>
      <c r="H34" s="107">
        <f>1200</f>
        <v>1200</v>
      </c>
      <c r="I34" s="107">
        <v>18</v>
      </c>
      <c r="J34" s="107" t="s">
        <v>2</v>
      </c>
      <c r="K34" s="107"/>
      <c r="L34" s="107"/>
      <c r="M34" s="107"/>
      <c r="N34" s="107"/>
      <c r="O34" s="107"/>
      <c r="P34" s="107"/>
      <c r="Q34" s="107"/>
      <c r="R34" s="107"/>
      <c r="S34" s="107">
        <v>885</v>
      </c>
      <c r="T34" s="107">
        <v>1065</v>
      </c>
      <c r="U34" s="109">
        <v>45</v>
      </c>
    </row>
    <row r="35" spans="1:21" ht="15.75" x14ac:dyDescent="0.25">
      <c r="A35" s="108" t="str">
        <f>A33</f>
        <v>Пдм1</v>
      </c>
      <c r="B35" s="47" t="str">
        <f>Изделия_спец.И!$B$23</f>
        <v>Му5</v>
      </c>
      <c r="C35" s="47" t="str">
        <f>Изделия_спец.И!$C$23</f>
        <v>данный лист</v>
      </c>
      <c r="D35" s="47" t="str">
        <f>Изделия_спец.И!$D$23</f>
        <v>Закладная деталь Му2</v>
      </c>
      <c r="E35" s="47"/>
      <c r="F35" s="44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9"/>
    </row>
    <row r="36" spans="1:21" ht="15.75" x14ac:dyDescent="0.25">
      <c r="A36" s="108" t="str">
        <f>A34</f>
        <v>Пдм1</v>
      </c>
      <c r="B36" s="107">
        <v>9</v>
      </c>
      <c r="C36" s="107" t="s">
        <v>3066</v>
      </c>
      <c r="D36" s="107" t="s">
        <v>3204</v>
      </c>
      <c r="E36" s="107">
        <v>28</v>
      </c>
      <c r="F36" s="44">
        <v>1.998</v>
      </c>
      <c r="G36" s="107"/>
      <c r="H36" s="107">
        <f>5000</f>
        <v>5000</v>
      </c>
      <c r="I36" s="107">
        <v>18</v>
      </c>
      <c r="J36" s="107" t="s">
        <v>2</v>
      </c>
      <c r="K36" s="107"/>
      <c r="L36" s="107"/>
      <c r="M36" s="107"/>
      <c r="N36" s="107"/>
      <c r="O36" s="107"/>
      <c r="P36" s="107"/>
      <c r="Q36" s="107"/>
      <c r="R36" s="107"/>
      <c r="S36" s="107">
        <v>885</v>
      </c>
      <c r="T36" s="107">
        <v>1065</v>
      </c>
      <c r="U36" s="109">
        <v>45</v>
      </c>
    </row>
    <row r="37" spans="1:21" ht="15.75" x14ac:dyDescent="0.25">
      <c r="A37" s="108" t="str">
        <f t="shared" si="2"/>
        <v>Пдм1</v>
      </c>
      <c r="B37" s="107">
        <v>8</v>
      </c>
      <c r="C37" s="107" t="s">
        <v>3066</v>
      </c>
      <c r="D37" s="107" t="s">
        <v>3204</v>
      </c>
      <c r="E37" s="107">
        <v>15</v>
      </c>
      <c r="F37" s="44">
        <v>1.998</v>
      </c>
      <c r="G37" s="107"/>
      <c r="H37" s="107">
        <v>9900</v>
      </c>
      <c r="I37" s="107">
        <v>18</v>
      </c>
      <c r="J37" s="107" t="s">
        <v>2</v>
      </c>
      <c r="K37" s="107"/>
      <c r="L37" s="107"/>
      <c r="M37" s="107"/>
      <c r="N37" s="107"/>
      <c r="O37" s="107"/>
      <c r="P37" s="107"/>
      <c r="Q37" s="107"/>
      <c r="R37" s="107"/>
      <c r="S37" s="107">
        <v>885</v>
      </c>
      <c r="T37" s="107">
        <v>1065</v>
      </c>
      <c r="U37" s="109">
        <v>45</v>
      </c>
    </row>
    <row r="38" spans="1:21" ht="15.75" x14ac:dyDescent="0.25">
      <c r="A38" s="108" t="str">
        <f t="shared" si="2"/>
        <v>Пдм1</v>
      </c>
      <c r="B38" s="107">
        <v>3</v>
      </c>
      <c r="C38" s="107" t="s">
        <v>3066</v>
      </c>
      <c r="D38" s="107" t="s">
        <v>3204</v>
      </c>
      <c r="E38" s="107">
        <v>7</v>
      </c>
      <c r="F38" s="44">
        <v>3.8530000000000002</v>
      </c>
      <c r="G38" s="107"/>
      <c r="H38" s="107">
        <v>9900</v>
      </c>
      <c r="I38" s="107">
        <v>25</v>
      </c>
      <c r="J38" s="107" t="s">
        <v>2</v>
      </c>
      <c r="K38" s="107"/>
      <c r="L38" s="107"/>
      <c r="M38" s="107"/>
      <c r="N38" s="107"/>
      <c r="O38" s="107"/>
      <c r="P38" s="107"/>
      <c r="Q38" s="107"/>
      <c r="R38" s="107"/>
      <c r="S38" s="107">
        <v>1230</v>
      </c>
      <c r="T38" s="107">
        <v>1475</v>
      </c>
      <c r="U38" s="109">
        <v>100</v>
      </c>
    </row>
    <row r="39" spans="1:21" ht="15.75" x14ac:dyDescent="0.25">
      <c r="A39" s="108" t="str">
        <f t="shared" si="2"/>
        <v>Пдм1</v>
      </c>
      <c r="B39" s="107">
        <v>4</v>
      </c>
      <c r="C39" s="107" t="s">
        <v>3066</v>
      </c>
      <c r="D39" s="107" t="s">
        <v>3204</v>
      </c>
      <c r="E39" s="107">
        <v>22</v>
      </c>
      <c r="F39" s="44">
        <v>3.8530000000000002</v>
      </c>
      <c r="G39" s="107"/>
      <c r="H39" s="107">
        <f>4000</f>
        <v>4000</v>
      </c>
      <c r="I39" s="107">
        <v>25</v>
      </c>
      <c r="J39" s="107" t="s">
        <v>2</v>
      </c>
      <c r="K39" s="107"/>
      <c r="L39" s="107"/>
      <c r="M39" s="107"/>
      <c r="N39" s="107"/>
      <c r="O39" s="107"/>
      <c r="P39" s="107"/>
      <c r="Q39" s="107"/>
      <c r="R39" s="107"/>
      <c r="S39" s="107">
        <v>1230</v>
      </c>
      <c r="T39" s="107">
        <v>1475</v>
      </c>
      <c r="U39" s="109">
        <v>100</v>
      </c>
    </row>
    <row r="40" spans="1:21" ht="15.75" x14ac:dyDescent="0.25">
      <c r="A40" s="108" t="str">
        <f t="shared" si="2"/>
        <v>Пдм1</v>
      </c>
      <c r="B40" s="107">
        <v>15</v>
      </c>
      <c r="C40" s="107" t="s">
        <v>3066</v>
      </c>
      <c r="D40" s="107" t="s">
        <v>3203</v>
      </c>
      <c r="E40" s="107">
        <v>14</v>
      </c>
      <c r="F40" s="44">
        <v>1.208</v>
      </c>
      <c r="G40" s="107"/>
      <c r="H40" s="107">
        <f>2600</f>
        <v>2600</v>
      </c>
      <c r="I40" s="107">
        <v>14</v>
      </c>
      <c r="J40" s="107" t="s">
        <v>2</v>
      </c>
      <c r="K40" s="107"/>
      <c r="L40" s="107"/>
      <c r="M40" s="107"/>
      <c r="N40" s="107"/>
      <c r="O40" s="107"/>
      <c r="P40" s="107"/>
      <c r="Q40" s="107"/>
      <c r="R40" s="107"/>
      <c r="S40" s="107">
        <v>690</v>
      </c>
      <c r="T40" s="107">
        <v>830</v>
      </c>
      <c r="U40" s="109">
        <v>35</v>
      </c>
    </row>
    <row r="41" spans="1:21" ht="15.75" x14ac:dyDescent="0.25">
      <c r="A41" s="108" t="str">
        <f t="shared" si="2"/>
        <v>Пдм1</v>
      </c>
      <c r="B41" s="107">
        <v>5</v>
      </c>
      <c r="C41" s="107" t="s">
        <v>3066</v>
      </c>
      <c r="D41" s="107" t="s">
        <v>3202</v>
      </c>
      <c r="E41" s="107">
        <v>15</v>
      </c>
      <c r="F41" s="44">
        <v>2.984</v>
      </c>
      <c r="G41" s="107"/>
      <c r="H41" s="107">
        <v>9900</v>
      </c>
      <c r="I41" s="107">
        <v>22</v>
      </c>
      <c r="J41" s="107" t="s">
        <v>2</v>
      </c>
      <c r="K41" s="107"/>
      <c r="L41" s="107"/>
      <c r="M41" s="107"/>
      <c r="N41" s="107"/>
      <c r="O41" s="107"/>
      <c r="P41" s="107"/>
      <c r="Q41" s="107"/>
      <c r="R41" s="107"/>
      <c r="S41" s="107">
        <v>1085</v>
      </c>
      <c r="T41" s="107">
        <v>1300</v>
      </c>
      <c r="U41" s="109">
        <v>88</v>
      </c>
    </row>
    <row r="42" spans="1:21" ht="15.75" x14ac:dyDescent="0.25">
      <c r="A42" s="108" t="str">
        <f t="shared" si="2"/>
        <v>Пдм1</v>
      </c>
      <c r="B42" s="107">
        <v>16</v>
      </c>
      <c r="C42" s="107" t="s">
        <v>3066</v>
      </c>
      <c r="D42" s="107" t="s">
        <v>3202</v>
      </c>
      <c r="E42" s="107">
        <v>46</v>
      </c>
      <c r="F42" s="44">
        <v>0.88800000000000001</v>
      </c>
      <c r="G42" s="107"/>
      <c r="H42" s="107">
        <v>2000</v>
      </c>
      <c r="I42" s="107">
        <v>12</v>
      </c>
      <c r="J42" s="107" t="s">
        <v>2</v>
      </c>
      <c r="K42" s="107"/>
      <c r="L42" s="107"/>
      <c r="M42" s="107"/>
      <c r="N42" s="107"/>
      <c r="O42" s="107"/>
      <c r="P42" s="107"/>
      <c r="Q42" s="107"/>
      <c r="R42" s="107"/>
      <c r="S42" s="107">
        <v>590</v>
      </c>
      <c r="T42" s="107">
        <v>710</v>
      </c>
      <c r="U42" s="109">
        <v>30</v>
      </c>
    </row>
    <row r="43" spans="1:21" ht="31.5" x14ac:dyDescent="0.25">
      <c r="A43" s="108" t="str">
        <f t="shared" si="2"/>
        <v>Пдм1</v>
      </c>
      <c r="B43" s="107">
        <v>17</v>
      </c>
      <c r="C43" s="107" t="s">
        <v>3066</v>
      </c>
      <c r="D43" s="107" t="s">
        <v>3201</v>
      </c>
      <c r="E43" s="107">
        <f>48*2+38</f>
        <v>134</v>
      </c>
      <c r="F43" s="44">
        <v>2.984</v>
      </c>
      <c r="G43" s="107" t="s">
        <v>0</v>
      </c>
      <c r="H43" s="107">
        <v>4100</v>
      </c>
      <c r="I43" s="107">
        <v>22</v>
      </c>
      <c r="J43" s="107" t="s">
        <v>2</v>
      </c>
      <c r="K43" s="107"/>
      <c r="L43" s="107"/>
      <c r="M43" s="107"/>
      <c r="N43" s="107"/>
      <c r="O43" s="107"/>
      <c r="P43" s="107"/>
      <c r="Q43" s="107"/>
      <c r="R43" s="107"/>
      <c r="S43" s="107">
        <v>1085</v>
      </c>
      <c r="T43" s="107">
        <v>1300</v>
      </c>
      <c r="U43" s="109">
        <v>88</v>
      </c>
    </row>
    <row r="44" spans="1:21" ht="15.75" x14ac:dyDescent="0.25">
      <c r="A44" s="108" t="str">
        <f t="shared" si="2"/>
        <v>Пдм1</v>
      </c>
      <c r="B44" s="107">
        <v>20</v>
      </c>
      <c r="C44" s="107" t="s">
        <v>3066</v>
      </c>
      <c r="D44" s="107" t="s">
        <v>3200</v>
      </c>
      <c r="E44" s="107">
        <f>3585</f>
        <v>3585</v>
      </c>
      <c r="F44" s="44">
        <v>1.208</v>
      </c>
      <c r="G44" s="107" t="s">
        <v>0</v>
      </c>
      <c r="H44" s="107">
        <v>3640</v>
      </c>
      <c r="I44" s="107">
        <v>14</v>
      </c>
      <c r="J44" s="107" t="s">
        <v>2</v>
      </c>
      <c r="K44" s="107"/>
      <c r="L44" s="107"/>
      <c r="M44" s="107"/>
      <c r="N44" s="107"/>
      <c r="O44" s="107"/>
      <c r="P44" s="107"/>
      <c r="Q44" s="107"/>
      <c r="R44" s="107"/>
      <c r="S44" s="107">
        <v>690</v>
      </c>
      <c r="T44" s="107">
        <v>830</v>
      </c>
      <c r="U44" s="109">
        <v>35</v>
      </c>
    </row>
    <row r="45" spans="1:21" ht="15.75" x14ac:dyDescent="0.25">
      <c r="A45" s="108" t="str">
        <f t="shared" si="2"/>
        <v>Пдм1</v>
      </c>
      <c r="B45" s="107">
        <v>22</v>
      </c>
      <c r="C45" s="107" t="s">
        <v>3066</v>
      </c>
      <c r="D45" s="107" t="s">
        <v>3199</v>
      </c>
      <c r="E45" s="107">
        <f>8</f>
        <v>8</v>
      </c>
      <c r="F45" s="44">
        <v>1.208</v>
      </c>
      <c r="G45" s="107" t="s">
        <v>0</v>
      </c>
      <c r="H45" s="107">
        <f>Арм_Элемент_П(S45,E7,I45,J45)</f>
        <v>1850</v>
      </c>
      <c r="I45" s="107">
        <v>14</v>
      </c>
      <c r="J45" s="107" t="s">
        <v>2</v>
      </c>
      <c r="K45" s="107"/>
      <c r="L45" s="107"/>
      <c r="M45" s="107"/>
      <c r="N45" s="107"/>
      <c r="O45" s="107"/>
      <c r="P45" s="107"/>
      <c r="Q45" s="107"/>
      <c r="R45" s="107"/>
      <c r="S45" s="107">
        <v>690</v>
      </c>
      <c r="T45" s="107">
        <v>830</v>
      </c>
      <c r="U45" s="109">
        <v>35</v>
      </c>
    </row>
    <row r="46" spans="1:21" ht="15.75" x14ac:dyDescent="0.25">
      <c r="A46" s="108" t="str">
        <f t="shared" si="2"/>
        <v>Пдм1</v>
      </c>
      <c r="B46" s="107">
        <v>21</v>
      </c>
      <c r="C46" s="107" t="s">
        <v>3066</v>
      </c>
      <c r="D46" s="107" t="s">
        <v>3198</v>
      </c>
      <c r="E46" s="107">
        <v>150</v>
      </c>
      <c r="F46" s="44">
        <v>1.208</v>
      </c>
      <c r="G46" s="107" t="s">
        <v>0</v>
      </c>
      <c r="H46" s="107">
        <f>1910</f>
        <v>1910</v>
      </c>
      <c r="I46" s="107">
        <v>14</v>
      </c>
      <c r="J46" s="107" t="s">
        <v>2</v>
      </c>
      <c r="K46" s="107"/>
      <c r="L46" s="107"/>
      <c r="M46" s="107"/>
      <c r="N46" s="107"/>
      <c r="O46" s="107"/>
      <c r="P46" s="107"/>
      <c r="Q46" s="107"/>
      <c r="R46" s="107"/>
      <c r="S46" s="107">
        <v>690</v>
      </c>
      <c r="T46" s="107">
        <v>830</v>
      </c>
      <c r="U46" s="109">
        <v>35</v>
      </c>
    </row>
    <row r="47" spans="1:21" ht="31.5" x14ac:dyDescent="0.25">
      <c r="A47" s="108" t="str">
        <f t="shared" si="2"/>
        <v>Пдм1</v>
      </c>
      <c r="B47" s="107"/>
      <c r="C47" s="107" t="s">
        <v>3197</v>
      </c>
      <c r="D47" s="107" t="s">
        <v>3196</v>
      </c>
      <c r="E47" s="107">
        <f>(100.2+18)/1.15</f>
        <v>102.78260869565219</v>
      </c>
      <c r="F47" s="107">
        <v>0</v>
      </c>
      <c r="G47" s="107" t="s">
        <v>20</v>
      </c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9"/>
    </row>
    <row r="48" spans="1:21" ht="15.75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ht="15.75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</row>
    <row r="50" spans="1:21" ht="15.75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</row>
    <row r="51" spans="1:21" ht="31.5" x14ac:dyDescent="0.25">
      <c r="A51" s="45" t="s">
        <v>2979</v>
      </c>
      <c r="B51" s="44" t="s">
        <v>2979</v>
      </c>
      <c r="C51" s="44" t="s">
        <v>3180</v>
      </c>
      <c r="D51" s="44" t="s">
        <v>3179</v>
      </c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3"/>
    </row>
    <row r="52" spans="1:21" ht="15.75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</row>
    <row r="53" spans="1:21" ht="15.75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</row>
    <row r="54" spans="1:21" ht="15.75" x14ac:dyDescent="0.25">
      <c r="A54" s="45" t="s">
        <v>3182</v>
      </c>
      <c r="B54" s="44" t="s">
        <v>2979</v>
      </c>
      <c r="C54" s="44" t="s">
        <v>3228</v>
      </c>
      <c r="D54" s="44" t="s">
        <v>3195</v>
      </c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3"/>
    </row>
    <row r="55" spans="1:21" ht="15.75" x14ac:dyDescent="0.25">
      <c r="A55" s="71" t="s">
        <v>3182</v>
      </c>
      <c r="B55" s="70">
        <v>7</v>
      </c>
      <c r="C55" s="70" t="s">
        <v>3066</v>
      </c>
      <c r="D55" s="70" t="s">
        <v>3194</v>
      </c>
      <c r="E55" s="70">
        <v>49</v>
      </c>
      <c r="F55" s="70">
        <v>2.984</v>
      </c>
      <c r="G55" s="70"/>
      <c r="H55" s="70">
        <v>1200</v>
      </c>
      <c r="I55" s="70">
        <v>22</v>
      </c>
      <c r="J55" s="70" t="s">
        <v>2</v>
      </c>
      <c r="K55" s="70"/>
      <c r="L55" s="70"/>
      <c r="M55" s="70"/>
      <c r="N55" s="70"/>
      <c r="O55" s="70"/>
      <c r="P55" s="70"/>
      <c r="Q55" s="70"/>
      <c r="R55" s="70"/>
      <c r="S55" s="70">
        <v>1085</v>
      </c>
      <c r="T55" s="70">
        <v>1300</v>
      </c>
      <c r="U55" s="69">
        <v>88</v>
      </c>
    </row>
    <row r="56" spans="1:21" ht="15.75" x14ac:dyDescent="0.25">
      <c r="A56" s="71" t="s">
        <v>3182</v>
      </c>
      <c r="B56" s="70">
        <v>6</v>
      </c>
      <c r="C56" s="70" t="s">
        <v>3066</v>
      </c>
      <c r="D56" s="70" t="s">
        <v>3193</v>
      </c>
      <c r="E56" s="70">
        <v>14</v>
      </c>
      <c r="F56" s="70">
        <v>2.984</v>
      </c>
      <c r="G56" s="70"/>
      <c r="H56" s="70">
        <v>4000</v>
      </c>
      <c r="I56" s="70">
        <v>22</v>
      </c>
      <c r="J56" s="70" t="s">
        <v>2</v>
      </c>
      <c r="K56" s="70"/>
      <c r="L56" s="70"/>
      <c r="M56" s="70"/>
      <c r="N56" s="70"/>
      <c r="O56" s="70"/>
      <c r="P56" s="70"/>
      <c r="Q56" s="70"/>
      <c r="R56" s="70"/>
      <c r="S56" s="70">
        <v>1085</v>
      </c>
      <c r="T56" s="70">
        <v>1300</v>
      </c>
      <c r="U56" s="69">
        <v>88</v>
      </c>
    </row>
    <row r="57" spans="1:21" ht="15.75" x14ac:dyDescent="0.25">
      <c r="A57" s="71" t="s">
        <v>3182</v>
      </c>
      <c r="B57" s="70">
        <v>12</v>
      </c>
      <c r="C57" s="70" t="s">
        <v>3066</v>
      </c>
      <c r="D57" s="70" t="s">
        <v>3192</v>
      </c>
      <c r="E57" s="70">
        <v>10</v>
      </c>
      <c r="F57" s="70">
        <v>1.5780000000000001</v>
      </c>
      <c r="G57" s="70"/>
      <c r="H57" s="70">
        <v>4000</v>
      </c>
      <c r="I57" s="70">
        <v>16</v>
      </c>
      <c r="J57" s="70" t="s">
        <v>2</v>
      </c>
      <c r="K57" s="70"/>
      <c r="L57" s="70"/>
      <c r="M57" s="70"/>
      <c r="N57" s="70"/>
      <c r="O57" s="70"/>
      <c r="P57" s="70"/>
      <c r="Q57" s="70"/>
      <c r="R57" s="70"/>
      <c r="S57" s="70">
        <v>790</v>
      </c>
      <c r="T57" s="70">
        <v>945</v>
      </c>
      <c r="U57" s="69">
        <v>40</v>
      </c>
    </row>
    <row r="58" spans="1:21" ht="15.75" x14ac:dyDescent="0.25">
      <c r="A58" s="71" t="s">
        <v>3182</v>
      </c>
      <c r="B58" s="70">
        <v>12</v>
      </c>
      <c r="C58" s="70" t="s">
        <v>3066</v>
      </c>
      <c r="D58" s="70" t="s">
        <v>3191</v>
      </c>
      <c r="E58" s="70">
        <v>11</v>
      </c>
      <c r="F58" s="70">
        <v>1.5780000000000001</v>
      </c>
      <c r="G58" s="70"/>
      <c r="H58" s="70">
        <v>4000</v>
      </c>
      <c r="I58" s="70">
        <v>16</v>
      </c>
      <c r="J58" s="70" t="s">
        <v>2</v>
      </c>
      <c r="K58" s="70"/>
      <c r="L58" s="70"/>
      <c r="M58" s="70"/>
      <c r="N58" s="70"/>
      <c r="O58" s="70"/>
      <c r="P58" s="70"/>
      <c r="Q58" s="70"/>
      <c r="R58" s="70"/>
      <c r="S58" s="70">
        <v>790</v>
      </c>
      <c r="T58" s="70">
        <v>945</v>
      </c>
      <c r="U58" s="69">
        <v>40</v>
      </c>
    </row>
    <row r="59" spans="1:21" ht="15.75" x14ac:dyDescent="0.25">
      <c r="A59" s="71" t="s">
        <v>3182</v>
      </c>
      <c r="B59" s="70">
        <v>6</v>
      </c>
      <c r="C59" s="70" t="s">
        <v>3066</v>
      </c>
      <c r="D59" s="70" t="s">
        <v>3190</v>
      </c>
      <c r="E59" s="70">
        <v>14</v>
      </c>
      <c r="F59" s="70">
        <v>2.984</v>
      </c>
      <c r="G59" s="70"/>
      <c r="H59" s="70">
        <v>4000</v>
      </c>
      <c r="I59" s="70">
        <v>22</v>
      </c>
      <c r="J59" s="70" t="s">
        <v>2</v>
      </c>
      <c r="K59" s="70"/>
      <c r="L59" s="70"/>
      <c r="M59" s="70"/>
      <c r="N59" s="70"/>
      <c r="O59" s="70"/>
      <c r="P59" s="70"/>
      <c r="Q59" s="70"/>
      <c r="R59" s="70"/>
      <c r="S59" s="70">
        <v>1085</v>
      </c>
      <c r="T59" s="70">
        <v>1300</v>
      </c>
      <c r="U59" s="69">
        <v>88</v>
      </c>
    </row>
    <row r="60" spans="1:21" ht="15.75" x14ac:dyDescent="0.25">
      <c r="A60" s="71" t="s">
        <v>3182</v>
      </c>
      <c r="B60" s="70">
        <v>12</v>
      </c>
      <c r="C60" s="70" t="s">
        <v>3066</v>
      </c>
      <c r="D60" s="70" t="s">
        <v>3189</v>
      </c>
      <c r="E60" s="70">
        <v>10</v>
      </c>
      <c r="F60" s="70">
        <v>1.5780000000000001</v>
      </c>
      <c r="G60" s="70"/>
      <c r="H60" s="70">
        <v>4000</v>
      </c>
      <c r="I60" s="70">
        <v>16</v>
      </c>
      <c r="J60" s="70" t="s">
        <v>2</v>
      </c>
      <c r="K60" s="70"/>
      <c r="L60" s="70"/>
      <c r="M60" s="70"/>
      <c r="N60" s="70"/>
      <c r="O60" s="70"/>
      <c r="P60" s="70"/>
      <c r="Q60" s="70"/>
      <c r="R60" s="70"/>
      <c r="S60" s="70">
        <v>790</v>
      </c>
      <c r="T60" s="70">
        <v>945</v>
      </c>
      <c r="U60" s="69">
        <v>40</v>
      </c>
    </row>
    <row r="61" spans="1:21" ht="15.75" x14ac:dyDescent="0.25">
      <c r="A61" s="71" t="s">
        <v>3182</v>
      </c>
      <c r="B61" s="70">
        <v>12</v>
      </c>
      <c r="C61" s="70" t="s">
        <v>3066</v>
      </c>
      <c r="D61" s="70" t="s">
        <v>3188</v>
      </c>
      <c r="E61" s="70">
        <v>11</v>
      </c>
      <c r="F61" s="70">
        <v>1.5780000000000001</v>
      </c>
      <c r="G61" s="70"/>
      <c r="H61" s="70">
        <v>4000</v>
      </c>
      <c r="I61" s="70">
        <v>16</v>
      </c>
      <c r="J61" s="70" t="s">
        <v>2</v>
      </c>
      <c r="K61" s="70"/>
      <c r="L61" s="70"/>
      <c r="M61" s="70"/>
      <c r="N61" s="70"/>
      <c r="O61" s="70"/>
      <c r="P61" s="70"/>
      <c r="Q61" s="70"/>
      <c r="R61" s="70"/>
      <c r="S61" s="70">
        <v>790</v>
      </c>
      <c r="T61" s="70">
        <v>945</v>
      </c>
      <c r="U61" s="69">
        <v>40</v>
      </c>
    </row>
    <row r="62" spans="1:21" ht="15.75" x14ac:dyDescent="0.25">
      <c r="A62" s="71" t="s">
        <v>3182</v>
      </c>
      <c r="B62" s="70">
        <v>7</v>
      </c>
      <c r="C62" s="70" t="s">
        <v>3066</v>
      </c>
      <c r="D62" s="70" t="s">
        <v>3187</v>
      </c>
      <c r="E62" s="70">
        <v>32</v>
      </c>
      <c r="F62" s="70">
        <v>2.984</v>
      </c>
      <c r="G62" s="70"/>
      <c r="H62" s="70">
        <v>1200</v>
      </c>
      <c r="I62" s="70">
        <v>22</v>
      </c>
      <c r="J62" s="70" t="s">
        <v>2</v>
      </c>
      <c r="K62" s="70"/>
      <c r="L62" s="70"/>
      <c r="M62" s="70"/>
      <c r="N62" s="70"/>
      <c r="O62" s="70"/>
      <c r="P62" s="70"/>
      <c r="Q62" s="70"/>
      <c r="R62" s="70"/>
      <c r="S62" s="70">
        <v>1085</v>
      </c>
      <c r="T62" s="70">
        <v>1300</v>
      </c>
      <c r="U62" s="69">
        <v>88</v>
      </c>
    </row>
    <row r="63" spans="1:21" ht="15.75" x14ac:dyDescent="0.25">
      <c r="A63" s="71" t="s">
        <v>3182</v>
      </c>
      <c r="B63" s="70">
        <v>7</v>
      </c>
      <c r="C63" s="70" t="s">
        <v>3066</v>
      </c>
      <c r="D63" s="70" t="s">
        <v>3186</v>
      </c>
      <c r="E63" s="70">
        <v>32</v>
      </c>
      <c r="F63" s="70">
        <v>2.984</v>
      </c>
      <c r="G63" s="70"/>
      <c r="H63" s="70">
        <v>1200</v>
      </c>
      <c r="I63" s="70">
        <v>22</v>
      </c>
      <c r="J63" s="70" t="s">
        <v>2</v>
      </c>
      <c r="K63" s="70"/>
      <c r="L63" s="70"/>
      <c r="M63" s="70"/>
      <c r="N63" s="70"/>
      <c r="O63" s="70"/>
      <c r="P63" s="70"/>
      <c r="Q63" s="70"/>
      <c r="R63" s="70"/>
      <c r="S63" s="70">
        <v>1085</v>
      </c>
      <c r="T63" s="70">
        <v>1300</v>
      </c>
      <c r="U63" s="69">
        <v>88</v>
      </c>
    </row>
    <row r="64" spans="1:21" ht="15.75" x14ac:dyDescent="0.25">
      <c r="A64" s="71" t="s">
        <v>3182</v>
      </c>
      <c r="B64" s="70">
        <v>13</v>
      </c>
      <c r="C64" s="70" t="s">
        <v>3066</v>
      </c>
      <c r="D64" s="70" t="s">
        <v>3185</v>
      </c>
      <c r="E64" s="70">
        <v>11</v>
      </c>
      <c r="F64" s="70">
        <v>1.5780000000000001</v>
      </c>
      <c r="G64" s="70"/>
      <c r="H64" s="70">
        <v>2100</v>
      </c>
      <c r="I64" s="70">
        <v>16</v>
      </c>
      <c r="J64" s="70" t="s">
        <v>2</v>
      </c>
      <c r="K64" s="70"/>
      <c r="L64" s="70"/>
      <c r="M64" s="70"/>
      <c r="N64" s="70"/>
      <c r="O64" s="70"/>
      <c r="P64" s="70"/>
      <c r="Q64" s="70"/>
      <c r="R64" s="70"/>
      <c r="S64" s="70">
        <v>790</v>
      </c>
      <c r="T64" s="70">
        <v>945</v>
      </c>
      <c r="U64" s="69">
        <v>40</v>
      </c>
    </row>
    <row r="65" spans="1:21" ht="15.75" x14ac:dyDescent="0.25">
      <c r="A65" s="71" t="s">
        <v>3182</v>
      </c>
      <c r="B65" s="70">
        <v>13</v>
      </c>
      <c r="C65" s="70" t="s">
        <v>3066</v>
      </c>
      <c r="D65" s="70" t="s">
        <v>3184</v>
      </c>
      <c r="E65" s="70">
        <v>11</v>
      </c>
      <c r="F65" s="70">
        <v>1.5780000000000001</v>
      </c>
      <c r="G65" s="70"/>
      <c r="H65" s="70">
        <v>2100</v>
      </c>
      <c r="I65" s="70">
        <v>16</v>
      </c>
      <c r="J65" s="70" t="s">
        <v>2</v>
      </c>
      <c r="K65" s="70"/>
      <c r="L65" s="70"/>
      <c r="M65" s="70"/>
      <c r="N65" s="70"/>
      <c r="O65" s="70"/>
      <c r="P65" s="70"/>
      <c r="Q65" s="70"/>
      <c r="R65" s="70"/>
      <c r="S65" s="70">
        <v>790</v>
      </c>
      <c r="T65" s="70">
        <v>945</v>
      </c>
      <c r="U65" s="69">
        <v>40</v>
      </c>
    </row>
    <row r="66" spans="1:21" ht="15.75" x14ac:dyDescent="0.25">
      <c r="A66" s="71" t="s">
        <v>3182</v>
      </c>
      <c r="B66" s="70">
        <v>14</v>
      </c>
      <c r="C66" s="70" t="s">
        <v>3066</v>
      </c>
      <c r="D66" s="70" t="s">
        <v>3183</v>
      </c>
      <c r="E66" s="70">
        <v>57</v>
      </c>
      <c r="F66" s="70">
        <v>1.5780000000000001</v>
      </c>
      <c r="G66" s="70"/>
      <c r="H66" s="70">
        <v>1000</v>
      </c>
      <c r="I66" s="70">
        <v>16</v>
      </c>
      <c r="J66" s="70" t="s">
        <v>2</v>
      </c>
      <c r="K66" s="70"/>
      <c r="L66" s="70"/>
      <c r="M66" s="70"/>
      <c r="N66" s="70"/>
      <c r="O66" s="70"/>
      <c r="P66" s="70"/>
      <c r="Q66" s="70"/>
      <c r="R66" s="70"/>
      <c r="S66" s="70">
        <v>790</v>
      </c>
      <c r="T66" s="70">
        <v>945</v>
      </c>
      <c r="U66" s="69">
        <v>40</v>
      </c>
    </row>
    <row r="67" spans="1:21" ht="15.75" x14ac:dyDescent="0.25">
      <c r="A67" s="71" t="s">
        <v>3182</v>
      </c>
      <c r="B67" s="70">
        <v>7</v>
      </c>
      <c r="C67" s="70" t="s">
        <v>3066</v>
      </c>
      <c r="D67" s="70" t="s">
        <v>3181</v>
      </c>
      <c r="E67" s="70">
        <v>49</v>
      </c>
      <c r="F67" s="70">
        <v>2.984</v>
      </c>
      <c r="G67" s="70"/>
      <c r="H67" s="70">
        <v>1200</v>
      </c>
      <c r="I67" s="70">
        <v>22</v>
      </c>
      <c r="J67" s="70" t="s">
        <v>2</v>
      </c>
      <c r="K67" s="70"/>
      <c r="L67" s="70"/>
      <c r="M67" s="70"/>
      <c r="N67" s="70"/>
      <c r="O67" s="70"/>
      <c r="P67" s="70"/>
      <c r="Q67" s="70"/>
      <c r="R67" s="70"/>
      <c r="S67" s="70">
        <v>1085</v>
      </c>
      <c r="T67" s="70">
        <v>1300</v>
      </c>
      <c r="U67" s="69">
        <v>88</v>
      </c>
    </row>
    <row r="68" spans="1:21" ht="32.25" thickBot="1" x14ac:dyDescent="0.3">
      <c r="A68" s="68" t="s">
        <v>2979</v>
      </c>
      <c r="B68" s="46" t="s">
        <v>2979</v>
      </c>
      <c r="C68" s="46" t="s">
        <v>3180</v>
      </c>
      <c r="D68" s="46" t="s">
        <v>3179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67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68 H2:Q2 K1 R1:S1 S2:U2">
    <cfRule type="containsText" dxfId="14" priority="15" stopIfTrue="1" operator="containsText" text="шт.)">
      <formula>NOT(ISERROR(SEARCH("шт.)",A1)))</formula>
    </cfRule>
    <cfRule type="containsText" dxfId="13" priority="14" stopIfTrue="1" operator="containsText" text=", на ">
      <formula>NOT(ISERROR(SEARCH(", на ",A1)))</formula>
    </cfRule>
    <cfRule type="containsText" dxfId="12" priority="13" stopIfTrue="1" operator="containsText" text="Элементы на отм.">
      <formula>NOT(ISERROR(SEARCH("Элементы на отм.",A1)))</formula>
    </cfRule>
    <cfRule type="containsText" dxfId="11" priority="12" stopIfTrue="1" operator="containsText" text=" Прокат ">
      <formula>NOT(ISERROR(SEARCH(" Прокат ",A1)))</formula>
    </cfRule>
    <cfRule type="containsText" dxfId="10" priority="11" stopIfTrue="1" operator="containsText" text=" Изделия арматурные ">
      <formula>NOT(ISERROR(SEARCH(" Изделия арматурные ",A1)))</formula>
    </cfRule>
    <cfRule type="containsText" dxfId="9" priority="10" stopIfTrue="1" operator="containsText" text=" Материалы ">
      <formula>NOT(ISERROR(SEARCH(" Материалы ",A1)))</formula>
    </cfRule>
    <cfRule type="containsText" dxfId="8" priority="9" stopIfTrue="1" operator="containsText" text=" Изделия ">
      <formula>NOT(ISERROR(SEARCH(" Изделия ",A1)))</formula>
    </cfRule>
    <cfRule type="containsText" dxfId="7" priority="8" stopIfTrue="1" operator="containsText" text=" Сборочные единицы ">
      <formula>NOT(ISERROR(SEARCH(" Сборочные единицы ",A1)))</formula>
    </cfRule>
    <cfRule type="containsText" dxfId="6" priority="7" stopIfTrue="1" operator="containsText" text=" Заполнения проёмов ">
      <formula>NOT(ISERROR(SEARCH(" Заполнения проёмов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Заполнения проёмов ">
      <formula>NOT(ISERROR(SEARCH(" Заполнения проёмов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3">
        <x14:dataValidation type="list" errorStyle="warning" allowBlank="1" showInputMessage="1" showErrorMessage="1">
          <x14:formula1>
            <xm:f>'!System'!$BW$1:$BW$6</xm:f>
          </x14:formula1>
          <xm:sqref>G3:G68</xm:sqref>
        </x14:dataValidation>
        <x14:dataValidation type="list" allowBlank="1" showInputMessage="1" showErrorMessage="1">
          <x14:formula1>
            <xm:f>'!System'!$AG$1:$AO$1</xm:f>
          </x14:formula1>
          <xm:sqref>J3:J68</xm:sqref>
        </x14:dataValidation>
        <x14:dataValidation type="list" allowBlank="1" showInputMessage="1" showErrorMessage="1">
          <x14:formula1>
            <xm:f>'!System'!$A$1:$AE$1</xm:f>
          </x14:formula1>
          <xm:sqref>L3:L68</xm:sqref>
        </x14:dataValidation>
        <x14:dataValidation type="list" allowBlank="1" showInputMessage="1" showErrorMessage="1">
          <x14:formula1>
            <xm:f>'!System'!$AP$1:$BV$1</xm:f>
          </x14:formula1>
          <xm:sqref>O3:O68</xm:sqref>
        </x14:dataValidation>
        <x14:dataValidation type="list" allowBlank="1" showInputMessage="1" showErrorMessage="1">
          <x14:formula1>
            <xm:f>'!System'!$BX$1:$BX$5</xm:f>
          </x14:formula1>
          <xm:sqref>P3:P68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'!System'!$AG$2:$AG$17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I21</xm:sqref>
        </x14:dataValidation>
        <x14:dataValidation type="list" allowBlank="1" showInputMessage="1" showErrorMessage="1">
          <x14:formula1>
            <xm:f>'!System'!$AG$2:$AG$17</xm:f>
          </x14:formula1>
          <xm:sqref>I22</xm:sqref>
        </x14:dataValidation>
        <x14:dataValidation type="list" allowBlank="1" showInputMessage="1" showErrorMessage="1">
          <x14:formula1>
            <xm:f>'!System'!$AG$2:$AG$17</xm:f>
          </x14:formula1>
          <xm:sqref>I23</xm:sqref>
        </x14:dataValidation>
        <x14:dataValidation type="list" allowBlank="1" showInputMessage="1" showErrorMessage="1">
          <x14:formula1>
            <xm:f>'!System'!$AG$2:$AG$17</xm:f>
          </x14:formula1>
          <xm:sqref>I24</xm:sqref>
        </x14:dataValidation>
        <x14:dataValidation type="list" allowBlank="1" showInputMessage="1" showErrorMessage="1">
          <x14:formula1>
            <xm:f>'!System'!$AG$2:$AG$17</xm:f>
          </x14:formula1>
          <xm:sqref>I28</xm:sqref>
        </x14:dataValidation>
        <x14:dataValidation type="list" allowBlank="1" showInputMessage="1" showErrorMessage="1">
          <x14:formula1>
            <xm:f>'!System'!$AG$2:$AG$17</xm:f>
          </x14:formula1>
          <xm:sqref>I29</xm:sqref>
        </x14:dataValidation>
        <x14:dataValidation type="list" allowBlank="1" showInputMessage="1" showErrorMessage="1">
          <x14:formula1>
            <xm:f>'!System'!$AG$2:$AG$17</xm:f>
          </x14:formula1>
          <xm:sqref>I30</xm:sqref>
        </x14:dataValidation>
        <x14:dataValidation type="list" allowBlank="1" showInputMessage="1" showErrorMessage="1">
          <x14:formula1>
            <xm:f>'!System'!$AG$2:$AG$17</xm:f>
          </x14:formula1>
          <xm:sqref>I31</xm:sqref>
        </x14:dataValidation>
        <x14:dataValidation type="list" allowBlank="1" showInputMessage="1" showErrorMessage="1">
          <x14:formula1>
            <xm:f>'!System'!$AG$2:$AG$17</xm:f>
          </x14:formula1>
          <xm:sqref>I32</xm:sqref>
        </x14:dataValidation>
        <x14:dataValidation type="list" allowBlank="1" showInputMessage="1" showErrorMessage="1">
          <x14:formula1>
            <xm:f>'!System'!$AG$2:$AG$17</xm:f>
          </x14:formula1>
          <xm:sqref>I33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I36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'!System'!$AG$2:$AG$17</xm:f>
          </x14:formula1>
          <xm:sqref>I40</xm:sqref>
        </x14:dataValidation>
        <x14:dataValidation type="list" allowBlank="1" showInputMessage="1" showErrorMessage="1">
          <x14:formula1>
            <xm:f>'!System'!$AG$2:$AG$17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'!System'!$AG$2:$AG$17</xm:f>
          </x14:formula1>
          <xm:sqref>I43</xm:sqref>
        </x14:dataValidation>
        <x14:dataValidation type="list" allowBlank="1" showInputMessage="1" showErrorMessage="1">
          <x14:formula1>
            <xm:f>'!System'!$AG$2:$AG$17</xm:f>
          </x14:formula1>
          <xm:sqref>I44</xm:sqref>
        </x14:dataValidation>
        <x14:dataValidation type="list" allowBlank="1" showInputMessage="1" showErrorMessage="1">
          <x14:formula1>
            <xm:f>'!System'!$AG$2:$AG$17</xm:f>
          </x14:formula1>
          <xm:sqref>I45</xm:sqref>
        </x14:dataValidation>
        <x14:dataValidation type="list" allowBlank="1" showInputMessage="1" showErrorMessage="1">
          <x14:formula1>
            <xm:f>'!System'!$AG$2:$AG$17</xm:f>
          </x14:formula1>
          <xm:sqref>I46</xm:sqref>
        </x14:dataValidation>
        <x14:dataValidation type="list" allowBlank="1" showInputMessage="1" showErrorMessage="1">
          <x14:formula1>
            <xm:f>'!System'!$AG$2:$AG$17</xm:f>
          </x14:formula1>
          <xm:sqref>I55</xm:sqref>
        </x14:dataValidation>
        <x14:dataValidation type="list" allowBlank="1" showInputMessage="1" showErrorMessage="1">
          <x14:formula1>
            <xm:f>'!System'!$AG$2:$AG$17</xm:f>
          </x14:formula1>
          <xm:sqref>I56</xm:sqref>
        </x14:dataValidation>
        <x14:dataValidation type="list" allowBlank="1" showInputMessage="1" showErrorMessage="1">
          <x14:formula1>
            <xm:f>'!System'!$AG$2:$AG$17</xm:f>
          </x14:formula1>
          <xm:sqref>I57</xm:sqref>
        </x14:dataValidation>
        <x14:dataValidation type="list" allowBlank="1" showInputMessage="1" showErrorMessage="1">
          <x14:formula1>
            <xm:f>'!System'!$AG$2:$AG$17</xm:f>
          </x14:formula1>
          <xm:sqref>I58</xm:sqref>
        </x14:dataValidation>
        <x14:dataValidation type="list" allowBlank="1" showInputMessage="1" showErrorMessage="1">
          <x14:formula1>
            <xm:f>'!System'!$AG$2:$AG$17</xm:f>
          </x14:formula1>
          <xm:sqref>I59</xm:sqref>
        </x14:dataValidation>
        <x14:dataValidation type="list" allowBlank="1" showInputMessage="1" showErrorMessage="1">
          <x14:formula1>
            <xm:f>'!System'!$AG$2:$AG$17</xm:f>
          </x14:formula1>
          <xm:sqref>I60</xm:sqref>
        </x14:dataValidation>
        <x14:dataValidation type="list" allowBlank="1" showInputMessage="1" showErrorMessage="1">
          <x14:formula1>
            <xm:f>'!System'!$AG$2:$AG$17</xm:f>
          </x14:formula1>
          <xm:sqref>I61</xm:sqref>
        </x14:dataValidation>
        <x14:dataValidation type="list" allowBlank="1" showInputMessage="1" showErrorMessage="1">
          <x14:formula1>
            <xm:f>'!System'!$AG$2:$AG$17</xm:f>
          </x14:formula1>
          <xm:sqref>I62</xm:sqref>
        </x14:dataValidation>
        <x14:dataValidation type="list" allowBlank="1" showInputMessage="1" showErrorMessage="1">
          <x14:formula1>
            <xm:f>'!System'!$AG$2:$AG$17</xm:f>
          </x14:formula1>
          <xm:sqref>I63</xm:sqref>
        </x14:dataValidation>
        <x14:dataValidation type="list" allowBlank="1" showInputMessage="1" showErrorMessage="1">
          <x14:formula1>
            <xm:f>'!System'!$AG$2:$AG$17</xm:f>
          </x14:formula1>
          <xm:sqref>I64</xm:sqref>
        </x14:dataValidation>
        <x14:dataValidation type="list" allowBlank="1" showInputMessage="1" showErrorMessage="1">
          <x14:formula1>
            <xm:f>'!System'!$AG$2:$AG$17</xm:f>
          </x14:formula1>
          <xm:sqref>I65</xm:sqref>
        </x14:dataValidation>
        <x14:dataValidation type="list" allowBlank="1" showInputMessage="1" showErrorMessage="1">
          <x14:formula1>
            <xm:f>'!System'!$AG$2:$AG$17</xm:f>
          </x14:formula1>
          <xm:sqref>I66</xm:sqref>
        </x14:dataValidation>
        <x14:dataValidation type="list" allowBlank="1" showInputMessage="1" showErrorMessage="1">
          <x14:formula1>
            <xm:f>'!System'!$AG$2:$AG$17</xm:f>
          </x14:formula1>
          <xm:sqref>I67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D2"/>
  <sheetViews>
    <sheetView workbookViewId="0">
      <selection activeCell="E37" sqref="E37"/>
    </sheetView>
  </sheetViews>
  <sheetFormatPr defaultRowHeight="15" x14ac:dyDescent="0.25"/>
  <cols>
    <col min="1" max="16384" width="9.140625" style="5"/>
  </cols>
  <sheetData>
    <row r="1" spans="1:4" x14ac:dyDescent="0.25">
      <c r="A1" s="5">
        <v>1</v>
      </c>
      <c r="B1" s="5" t="s">
        <v>2916</v>
      </c>
      <c r="C1" s="5">
        <v>86.899999999999991</v>
      </c>
      <c r="D1" s="5">
        <v>90.8</v>
      </c>
    </row>
    <row r="2" spans="1:4" x14ac:dyDescent="0.25">
      <c r="A2" s="5">
        <v>2</v>
      </c>
      <c r="B2" s="5" t="s">
        <v>2915</v>
      </c>
      <c r="C2" s="5">
        <v>18.8</v>
      </c>
      <c r="D2" s="5">
        <v>34.700000000000003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C13"/>
  <sheetViews>
    <sheetView workbookViewId="0">
      <selection activeCell="L33" sqref="L33"/>
    </sheetView>
  </sheetViews>
  <sheetFormatPr defaultRowHeight="15" x14ac:dyDescent="0.25"/>
  <cols>
    <col min="1" max="1" width="60.7109375" style="5" customWidth="1"/>
    <col min="2" max="2" width="40.7109375" style="5" customWidth="1"/>
    <col min="3" max="3" width="60.7109375" style="5" customWidth="1"/>
    <col min="4" max="16384" width="9.140625" style="5"/>
  </cols>
  <sheetData>
    <row r="1" spans="1:3" ht="45" customHeight="1" x14ac:dyDescent="0.25">
      <c r="A1" s="25" t="s">
        <v>2947</v>
      </c>
      <c r="B1" s="24" t="s">
        <v>2946</v>
      </c>
      <c r="C1" s="23" t="s">
        <v>2945</v>
      </c>
    </row>
    <row r="2" spans="1:3" ht="30" x14ac:dyDescent="0.25">
      <c r="A2" s="22" t="s">
        <v>2944</v>
      </c>
      <c r="B2" s="21" t="s">
        <v>2943</v>
      </c>
      <c r="C2" s="20" t="s">
        <v>2942</v>
      </c>
    </row>
    <row r="3" spans="1:3" ht="30" x14ac:dyDescent="0.25">
      <c r="A3" s="22" t="s">
        <v>2940</v>
      </c>
      <c r="B3" s="21" t="s">
        <v>2941</v>
      </c>
      <c r="C3" s="20" t="s">
        <v>2938</v>
      </c>
    </row>
    <row r="4" spans="1:3" ht="30" x14ac:dyDescent="0.25">
      <c r="A4" s="22" t="s">
        <v>2940</v>
      </c>
      <c r="B4" s="21" t="s">
        <v>2939</v>
      </c>
      <c r="C4" s="20" t="s">
        <v>2938</v>
      </c>
    </row>
    <row r="5" spans="1:3" x14ac:dyDescent="0.25">
      <c r="A5" s="22" t="s">
        <v>2937</v>
      </c>
      <c r="B5" s="21" t="s">
        <v>2936</v>
      </c>
      <c r="C5" s="20" t="s">
        <v>2935</v>
      </c>
    </row>
    <row r="6" spans="1:3" x14ac:dyDescent="0.25">
      <c r="A6" s="22" t="s">
        <v>2934</v>
      </c>
      <c r="B6" s="21" t="s">
        <v>2933</v>
      </c>
      <c r="C6" s="20" t="s">
        <v>2932</v>
      </c>
    </row>
    <row r="7" spans="1:3" x14ac:dyDescent="0.25">
      <c r="A7" s="22" t="s">
        <v>2931</v>
      </c>
      <c r="B7" s="21" t="s">
        <v>2918</v>
      </c>
      <c r="C7" s="20" t="s">
        <v>2930</v>
      </c>
    </row>
    <row r="8" spans="1:3" x14ac:dyDescent="0.25">
      <c r="A8" s="22" t="s">
        <v>2929</v>
      </c>
      <c r="B8" s="21" t="s">
        <v>2926</v>
      </c>
      <c r="C8" s="20" t="s">
        <v>2925</v>
      </c>
    </row>
    <row r="9" spans="1:3" x14ac:dyDescent="0.25">
      <c r="A9" s="22" t="s">
        <v>2928</v>
      </c>
      <c r="B9" s="21" t="s">
        <v>2926</v>
      </c>
      <c r="C9" s="20" t="s">
        <v>2925</v>
      </c>
    </row>
    <row r="10" spans="1:3" x14ac:dyDescent="0.25">
      <c r="A10" s="22" t="s">
        <v>2927</v>
      </c>
      <c r="B10" s="21" t="s">
        <v>2926</v>
      </c>
      <c r="C10" s="20" t="s">
        <v>2925</v>
      </c>
    </row>
    <row r="11" spans="1:3" x14ac:dyDescent="0.25">
      <c r="A11" s="22" t="s">
        <v>2924</v>
      </c>
      <c r="B11" s="21" t="s">
        <v>2923</v>
      </c>
      <c r="C11" s="20" t="s">
        <v>2922</v>
      </c>
    </row>
    <row r="12" spans="1:3" x14ac:dyDescent="0.25">
      <c r="A12" s="22" t="s">
        <v>2921</v>
      </c>
      <c r="B12" s="21" t="s">
        <v>2918</v>
      </c>
      <c r="C12" s="20" t="s">
        <v>2920</v>
      </c>
    </row>
    <row r="13" spans="1:3" ht="15.75" thickBot="1" x14ac:dyDescent="0.3">
      <c r="A13" s="19" t="s">
        <v>2919</v>
      </c>
      <c r="B13" s="18" t="s">
        <v>2918</v>
      </c>
      <c r="C13" s="17" t="s">
        <v>2917</v>
      </c>
    </row>
  </sheetData>
  <conditionalFormatting sqref="A1:C13">
    <cfRule type="containsText" dxfId="278" priority="1" operator="containsText" text="Стены-разделители зон">
      <formula>NOT(ISERROR(SEARCH("Стены-разделители зон",A1)))</formula>
    </cfRule>
    <cfRule type="containsText" dxfId="277" priority="2" stopIfTrue="1" operator="containsText" text="Добавить">
      <formula>NOT(ISERROR(SEARCH("Добавить",A1)))</formula>
    </cfRule>
    <cfRule type="containsText" dxfId="276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1:J52"/>
  <sheetViews>
    <sheetView workbookViewId="0">
      <selection activeCell="I12" sqref="I12:I17"/>
    </sheetView>
  </sheetViews>
  <sheetFormatPr defaultRowHeight="15" x14ac:dyDescent="0.25"/>
  <cols>
    <col min="1" max="1" width="5.42578125" style="26" customWidth="1"/>
    <col min="2" max="3" width="27" style="26" customWidth="1"/>
    <col min="4" max="4" width="8.140625" style="26" customWidth="1"/>
    <col min="5" max="5" width="27" style="26" customWidth="1"/>
    <col min="6" max="6" width="8.140625" style="26" customWidth="1"/>
    <col min="7" max="7" width="27" style="26" customWidth="1"/>
    <col min="8" max="9" width="8.140625" style="26" customWidth="1"/>
    <col min="10" max="10" width="16.28515625" style="26" customWidth="1"/>
    <col min="11" max="12" width="9.140625" style="26"/>
    <col min="13" max="13" width="16.28515625" style="26" customWidth="1"/>
    <col min="14" max="16384" width="9.140625" style="26"/>
  </cols>
  <sheetData>
    <row r="1" spans="1:10" ht="15.75" x14ac:dyDescent="0.25">
      <c r="A1" s="140" t="s">
        <v>2974</v>
      </c>
      <c r="B1" s="139" t="s">
        <v>2973</v>
      </c>
      <c r="C1" s="139" t="s">
        <v>2972</v>
      </c>
      <c r="D1" s="139"/>
      <c r="E1" s="139"/>
      <c r="F1" s="139"/>
      <c r="G1" s="139"/>
      <c r="H1" s="139"/>
      <c r="I1" s="139"/>
      <c r="J1" s="143" t="s">
        <v>2908</v>
      </c>
    </row>
    <row r="2" spans="1:10" ht="41.25" thickBot="1" x14ac:dyDescent="0.3">
      <c r="A2" s="141"/>
      <c r="B2" s="142"/>
      <c r="C2" s="39" t="s">
        <v>2971</v>
      </c>
      <c r="D2" s="38" t="s">
        <v>2968</v>
      </c>
      <c r="E2" s="39" t="s">
        <v>2970</v>
      </c>
      <c r="F2" s="38" t="s">
        <v>2968</v>
      </c>
      <c r="G2" s="39" t="s">
        <v>2969</v>
      </c>
      <c r="H2" s="38" t="s">
        <v>2968</v>
      </c>
      <c r="I2" s="38" t="s">
        <v>2967</v>
      </c>
      <c r="J2" s="144"/>
    </row>
    <row r="3" spans="1:10" ht="25.5" x14ac:dyDescent="0.25">
      <c r="A3" s="147" t="s">
        <v>2966</v>
      </c>
      <c r="B3" s="132" t="s">
        <v>2965</v>
      </c>
      <c r="C3" s="132" t="s">
        <v>2962</v>
      </c>
      <c r="D3" s="119">
        <v>9.1999999999999993</v>
      </c>
      <c r="E3" s="37" t="s">
        <v>2943</v>
      </c>
      <c r="F3" s="36">
        <v>47.4</v>
      </c>
      <c r="G3" s="132" t="s">
        <v>4</v>
      </c>
      <c r="H3" s="119" t="s">
        <v>4</v>
      </c>
      <c r="I3" s="119" t="s">
        <v>4</v>
      </c>
      <c r="J3" s="125" t="s">
        <v>2964</v>
      </c>
    </row>
    <row r="4" spans="1:10" ht="22.7" customHeight="1" x14ac:dyDescent="0.25">
      <c r="A4" s="128"/>
      <c r="B4" s="132"/>
      <c r="C4" s="132"/>
      <c r="D4" s="119"/>
      <c r="E4" s="31" t="s">
        <v>2949</v>
      </c>
      <c r="F4" s="30">
        <v>19.8</v>
      </c>
      <c r="G4" s="132"/>
      <c r="H4" s="119"/>
      <c r="I4" s="119"/>
      <c r="J4" s="124"/>
    </row>
    <row r="5" spans="1:10" ht="22.7" customHeight="1" x14ac:dyDescent="0.25">
      <c r="A5" s="128"/>
      <c r="B5" s="132"/>
      <c r="C5" s="132"/>
      <c r="D5" s="119"/>
      <c r="E5" s="31" t="s">
        <v>2925</v>
      </c>
      <c r="F5" s="30">
        <v>1.3</v>
      </c>
      <c r="G5" s="132"/>
      <c r="H5" s="119"/>
      <c r="I5" s="119"/>
      <c r="J5" s="124"/>
    </row>
    <row r="6" spans="1:10" ht="22.7" customHeight="1" thickBot="1" x14ac:dyDescent="0.3">
      <c r="A6" s="129"/>
      <c r="B6" s="133"/>
      <c r="C6" s="133"/>
      <c r="D6" s="120"/>
      <c r="E6" s="35" t="s">
        <v>2948</v>
      </c>
      <c r="F6" s="34">
        <v>64</v>
      </c>
      <c r="G6" s="133"/>
      <c r="H6" s="120"/>
      <c r="I6" s="120"/>
      <c r="J6" s="126"/>
    </row>
    <row r="7" spans="1:10" ht="25.5" x14ac:dyDescent="0.25">
      <c r="A7" s="127" t="s">
        <v>2963</v>
      </c>
      <c r="B7" s="33">
        <v>7</v>
      </c>
      <c r="C7" s="33" t="s">
        <v>2962</v>
      </c>
      <c r="D7" s="32">
        <v>3</v>
      </c>
      <c r="E7" s="33" t="s">
        <v>2939</v>
      </c>
      <c r="F7" s="32">
        <v>13.7</v>
      </c>
      <c r="G7" s="33" t="s">
        <v>2943</v>
      </c>
      <c r="H7" s="32">
        <v>35.6</v>
      </c>
      <c r="I7" s="118" t="s">
        <v>2961</v>
      </c>
      <c r="J7" s="130" t="s">
        <v>2960</v>
      </c>
    </row>
    <row r="8" spans="1:10" ht="22.7" customHeight="1" x14ac:dyDescent="0.25">
      <c r="A8" s="128"/>
      <c r="B8" s="134">
        <v>6</v>
      </c>
      <c r="C8" s="134" t="s">
        <v>2957</v>
      </c>
      <c r="D8" s="136">
        <v>17.100000000000001</v>
      </c>
      <c r="E8" s="31" t="s">
        <v>2938</v>
      </c>
      <c r="F8" s="30">
        <v>13.7</v>
      </c>
      <c r="G8" s="134" t="s">
        <v>2948</v>
      </c>
      <c r="H8" s="136">
        <v>12.4</v>
      </c>
      <c r="I8" s="119"/>
      <c r="J8" s="124"/>
    </row>
    <row r="9" spans="1:10" ht="22.7" customHeight="1" x14ac:dyDescent="0.25">
      <c r="A9" s="128"/>
      <c r="B9" s="132"/>
      <c r="C9" s="132"/>
      <c r="D9" s="119"/>
      <c r="E9" s="31" t="s">
        <v>2949</v>
      </c>
      <c r="F9" s="30">
        <v>14.7</v>
      </c>
      <c r="G9" s="132"/>
      <c r="H9" s="119"/>
      <c r="I9" s="119"/>
      <c r="J9" s="124"/>
    </row>
    <row r="10" spans="1:10" ht="22.7" customHeight="1" x14ac:dyDescent="0.25">
      <c r="A10" s="128"/>
      <c r="B10" s="132"/>
      <c r="C10" s="132"/>
      <c r="D10" s="119"/>
      <c r="E10" s="31" t="s">
        <v>2925</v>
      </c>
      <c r="F10" s="30">
        <v>18.5</v>
      </c>
      <c r="G10" s="132"/>
      <c r="H10" s="119"/>
      <c r="I10" s="119"/>
      <c r="J10" s="124"/>
    </row>
    <row r="11" spans="1:10" ht="22.7" customHeight="1" thickBot="1" x14ac:dyDescent="0.3">
      <c r="A11" s="129"/>
      <c r="B11" s="133"/>
      <c r="C11" s="133"/>
      <c r="D11" s="120"/>
      <c r="E11" s="35" t="s">
        <v>2948</v>
      </c>
      <c r="F11" s="34">
        <v>14.7</v>
      </c>
      <c r="G11" s="133"/>
      <c r="H11" s="120"/>
      <c r="I11" s="120"/>
      <c r="J11" s="126"/>
    </row>
    <row r="12" spans="1:10" ht="38.25" x14ac:dyDescent="0.25">
      <c r="A12" s="127" t="s">
        <v>2959</v>
      </c>
      <c r="B12" s="135" t="s">
        <v>2958</v>
      </c>
      <c r="C12" s="135" t="s">
        <v>2957</v>
      </c>
      <c r="D12" s="118">
        <v>51.1</v>
      </c>
      <c r="E12" s="33" t="s">
        <v>2941</v>
      </c>
      <c r="F12" s="32">
        <v>224.3</v>
      </c>
      <c r="G12" s="135" t="s">
        <v>4</v>
      </c>
      <c r="H12" s="118" t="s">
        <v>4</v>
      </c>
      <c r="I12" s="118" t="s">
        <v>4</v>
      </c>
      <c r="J12" s="130" t="s">
        <v>2956</v>
      </c>
    </row>
    <row r="13" spans="1:10" ht="22.7" customHeight="1" x14ac:dyDescent="0.25">
      <c r="A13" s="128"/>
      <c r="B13" s="132"/>
      <c r="C13" s="132"/>
      <c r="D13" s="119"/>
      <c r="E13" s="31" t="s">
        <v>2938</v>
      </c>
      <c r="F13" s="30">
        <v>224.3</v>
      </c>
      <c r="G13" s="132"/>
      <c r="H13" s="119"/>
      <c r="I13" s="119"/>
      <c r="J13" s="124"/>
    </row>
    <row r="14" spans="1:10" ht="22.7" customHeight="1" x14ac:dyDescent="0.25">
      <c r="A14" s="128"/>
      <c r="B14" s="132"/>
      <c r="C14" s="132"/>
      <c r="D14" s="119"/>
      <c r="E14" s="31" t="s">
        <v>2949</v>
      </c>
      <c r="F14" s="30">
        <v>29.5</v>
      </c>
      <c r="G14" s="132"/>
      <c r="H14" s="119"/>
      <c r="I14" s="119"/>
      <c r="J14" s="124"/>
    </row>
    <row r="15" spans="1:10" ht="22.7" customHeight="1" x14ac:dyDescent="0.25">
      <c r="A15" s="128"/>
      <c r="B15" s="132"/>
      <c r="C15" s="132"/>
      <c r="D15" s="119"/>
      <c r="E15" s="31" t="s">
        <v>2925</v>
      </c>
      <c r="F15" s="30">
        <v>258</v>
      </c>
      <c r="G15" s="132"/>
      <c r="H15" s="119"/>
      <c r="I15" s="119"/>
      <c r="J15" s="124"/>
    </row>
    <row r="16" spans="1:10" ht="22.7" customHeight="1" x14ac:dyDescent="0.25">
      <c r="A16" s="128"/>
      <c r="B16" s="132"/>
      <c r="C16" s="132"/>
      <c r="D16" s="119"/>
      <c r="E16" s="134" t="s">
        <v>2948</v>
      </c>
      <c r="F16" s="136">
        <v>29.5</v>
      </c>
      <c r="G16" s="132"/>
      <c r="H16" s="119"/>
      <c r="I16" s="119"/>
      <c r="J16" s="124"/>
    </row>
    <row r="17" spans="1:10" ht="22.7" customHeight="1" thickBot="1" x14ac:dyDescent="0.3">
      <c r="A17" s="129"/>
      <c r="B17" s="132"/>
      <c r="C17" s="132"/>
      <c r="D17" s="119"/>
      <c r="E17" s="133"/>
      <c r="F17" s="120"/>
      <c r="G17" s="133"/>
      <c r="H17" s="120"/>
      <c r="I17" s="120"/>
      <c r="J17" s="131"/>
    </row>
    <row r="18" spans="1:10" ht="22.7" customHeight="1" x14ac:dyDescent="0.25">
      <c r="A18" s="145" t="s">
        <v>2955</v>
      </c>
      <c r="B18" s="146"/>
      <c r="C18" s="146"/>
      <c r="D18" s="130"/>
      <c r="E18" s="121" t="s">
        <v>2902</v>
      </c>
      <c r="F18" s="121"/>
      <c r="G18" s="121"/>
      <c r="H18" s="121"/>
      <c r="I18" s="27" t="s">
        <v>2902</v>
      </c>
      <c r="J18" s="27" t="s">
        <v>2902</v>
      </c>
    </row>
    <row r="19" spans="1:10" ht="15" customHeight="1" x14ac:dyDescent="0.25">
      <c r="A19" s="122" t="s">
        <v>2954</v>
      </c>
      <c r="B19" s="123"/>
      <c r="C19" s="123"/>
      <c r="D19" s="124"/>
      <c r="E19" s="27" t="s">
        <v>2902</v>
      </c>
      <c r="F19" s="27" t="s">
        <v>2902</v>
      </c>
      <c r="G19" s="27" t="s">
        <v>2902</v>
      </c>
      <c r="H19" s="27" t="s">
        <v>2902</v>
      </c>
      <c r="I19" s="27" t="s">
        <v>2902</v>
      </c>
      <c r="J19" s="27" t="s">
        <v>2902</v>
      </c>
    </row>
    <row r="20" spans="1:10" ht="22.7" customHeight="1" x14ac:dyDescent="0.25">
      <c r="A20" s="122" t="s">
        <v>2953</v>
      </c>
      <c r="B20" s="123"/>
      <c r="C20" s="123"/>
      <c r="D20" s="29">
        <v>12.2</v>
      </c>
      <c r="E20" s="121" t="s">
        <v>2902</v>
      </c>
      <c r="F20" s="121"/>
      <c r="G20" s="121"/>
      <c r="H20" s="27" t="s">
        <v>2902</v>
      </c>
      <c r="I20" s="27" t="s">
        <v>2902</v>
      </c>
      <c r="J20" s="27" t="s">
        <v>2902</v>
      </c>
    </row>
    <row r="21" spans="1:10" ht="22.7" customHeight="1" x14ac:dyDescent="0.25">
      <c r="A21" s="122" t="s">
        <v>2952</v>
      </c>
      <c r="B21" s="123"/>
      <c r="C21" s="123"/>
      <c r="D21" s="29">
        <v>68.2</v>
      </c>
      <c r="E21" s="121" t="s">
        <v>2902</v>
      </c>
      <c r="F21" s="121"/>
      <c r="G21" s="121"/>
      <c r="H21" s="27" t="s">
        <v>2902</v>
      </c>
      <c r="I21" s="27" t="s">
        <v>2902</v>
      </c>
      <c r="J21" s="27" t="s">
        <v>2902</v>
      </c>
    </row>
    <row r="22" spans="1:10" ht="22.7" customHeight="1" x14ac:dyDescent="0.25">
      <c r="A22" s="122" t="s">
        <v>2951</v>
      </c>
      <c r="B22" s="123"/>
      <c r="C22" s="123"/>
      <c r="D22" s="124"/>
      <c r="E22" s="27" t="s">
        <v>2902</v>
      </c>
      <c r="F22" s="27" t="s">
        <v>2902</v>
      </c>
      <c r="G22" s="27" t="s">
        <v>2902</v>
      </c>
      <c r="H22" s="27" t="s">
        <v>2902</v>
      </c>
      <c r="I22" s="27" t="s">
        <v>2902</v>
      </c>
      <c r="J22" s="27" t="s">
        <v>2902</v>
      </c>
    </row>
    <row r="23" spans="1:10" ht="15" customHeight="1" x14ac:dyDescent="0.25">
      <c r="A23" s="122" t="s">
        <v>2943</v>
      </c>
      <c r="B23" s="123"/>
      <c r="C23" s="123"/>
      <c r="D23" s="29">
        <v>83</v>
      </c>
      <c r="E23" s="121" t="s">
        <v>2902</v>
      </c>
      <c r="F23" s="121"/>
      <c r="G23" s="121"/>
      <c r="H23" s="27" t="s">
        <v>2902</v>
      </c>
      <c r="I23" s="27" t="s">
        <v>2902</v>
      </c>
      <c r="J23" s="27" t="s">
        <v>2902</v>
      </c>
    </row>
    <row r="24" spans="1:10" ht="22.7" customHeight="1" x14ac:dyDescent="0.25">
      <c r="A24" s="122" t="s">
        <v>2939</v>
      </c>
      <c r="B24" s="123"/>
      <c r="C24" s="123"/>
      <c r="D24" s="29">
        <v>13.7</v>
      </c>
      <c r="E24" s="121" t="s">
        <v>2902</v>
      </c>
      <c r="F24" s="121"/>
      <c r="G24" s="121"/>
      <c r="H24" s="27" t="s">
        <v>2902</v>
      </c>
      <c r="I24" s="27" t="s">
        <v>2902</v>
      </c>
      <c r="J24" s="27" t="s">
        <v>2902</v>
      </c>
    </row>
    <row r="25" spans="1:10" ht="22.7" customHeight="1" x14ac:dyDescent="0.25">
      <c r="A25" s="122" t="s">
        <v>2941</v>
      </c>
      <c r="B25" s="123"/>
      <c r="C25" s="123"/>
      <c r="D25" s="29">
        <v>224.3</v>
      </c>
      <c r="E25" s="121" t="s">
        <v>2902</v>
      </c>
      <c r="F25" s="121"/>
      <c r="G25" s="121"/>
      <c r="H25" s="27" t="s">
        <v>2902</v>
      </c>
      <c r="I25" s="27" t="s">
        <v>2902</v>
      </c>
      <c r="J25" s="27" t="s">
        <v>2902</v>
      </c>
    </row>
    <row r="26" spans="1:10" ht="22.7" customHeight="1" x14ac:dyDescent="0.25">
      <c r="A26" s="122" t="s">
        <v>2950</v>
      </c>
      <c r="B26" s="123"/>
      <c r="C26" s="123"/>
      <c r="D26" s="124"/>
      <c r="E26" s="27" t="s">
        <v>2902</v>
      </c>
      <c r="F26" s="27" t="s">
        <v>2902</v>
      </c>
      <c r="G26" s="27" t="s">
        <v>2902</v>
      </c>
      <c r="H26" s="27" t="s">
        <v>2902</v>
      </c>
      <c r="I26" s="27" t="s">
        <v>2902</v>
      </c>
      <c r="J26" s="27" t="s">
        <v>2902</v>
      </c>
    </row>
    <row r="27" spans="1:10" ht="15" customHeight="1" x14ac:dyDescent="0.25">
      <c r="A27" s="122" t="s">
        <v>2949</v>
      </c>
      <c r="B27" s="123"/>
      <c r="C27" s="123"/>
      <c r="D27" s="29">
        <v>64</v>
      </c>
      <c r="E27" s="121" t="s">
        <v>2902</v>
      </c>
      <c r="F27" s="121"/>
      <c r="G27" s="121"/>
      <c r="H27" s="27" t="s">
        <v>2902</v>
      </c>
      <c r="I27" s="27" t="s">
        <v>2902</v>
      </c>
      <c r="J27" s="27" t="s">
        <v>2902</v>
      </c>
    </row>
    <row r="28" spans="1:10" ht="22.7" customHeight="1" x14ac:dyDescent="0.25">
      <c r="A28" s="122" t="s">
        <v>2925</v>
      </c>
      <c r="B28" s="123"/>
      <c r="C28" s="123"/>
      <c r="D28" s="29">
        <v>277.8</v>
      </c>
      <c r="E28" s="121" t="s">
        <v>2902</v>
      </c>
      <c r="F28" s="121"/>
      <c r="G28" s="121"/>
      <c r="H28" s="27" t="s">
        <v>2902</v>
      </c>
      <c r="I28" s="27" t="s">
        <v>2902</v>
      </c>
      <c r="J28" s="27" t="s">
        <v>2902</v>
      </c>
    </row>
    <row r="29" spans="1:10" ht="22.7" customHeight="1" x14ac:dyDescent="0.25">
      <c r="A29" s="122" t="s">
        <v>2948</v>
      </c>
      <c r="B29" s="123"/>
      <c r="C29" s="123"/>
      <c r="D29" s="29">
        <v>120.60000000000001</v>
      </c>
      <c r="E29" s="121" t="s">
        <v>2902</v>
      </c>
      <c r="F29" s="121"/>
      <c r="G29" s="121"/>
      <c r="H29" s="27" t="s">
        <v>2902</v>
      </c>
      <c r="I29" s="27" t="s">
        <v>2902</v>
      </c>
      <c r="J29" s="27" t="s">
        <v>2902</v>
      </c>
    </row>
    <row r="30" spans="1:10" ht="15" customHeight="1" thickBot="1" x14ac:dyDescent="0.3">
      <c r="A30" s="137" t="s">
        <v>2938</v>
      </c>
      <c r="B30" s="138"/>
      <c r="C30" s="138"/>
      <c r="D30" s="28">
        <v>238</v>
      </c>
      <c r="E30" s="121" t="s">
        <v>2902</v>
      </c>
      <c r="F30" s="121"/>
      <c r="G30" s="121"/>
      <c r="H30" s="27" t="s">
        <v>2902</v>
      </c>
      <c r="I30" s="27" t="s">
        <v>2902</v>
      </c>
      <c r="J30" s="27" t="s">
        <v>2902</v>
      </c>
    </row>
    <row r="31" spans="1:10" ht="22.7" customHeight="1" x14ac:dyDescent="0.25"/>
    <row r="32" spans="1:10" ht="22.7" customHeight="1" x14ac:dyDescent="0.25"/>
    <row r="34" ht="22.7" customHeight="1" x14ac:dyDescent="0.25"/>
    <row r="35" ht="22.7" customHeight="1" x14ac:dyDescent="0.25"/>
    <row r="36" ht="22.7" customHeight="1" x14ac:dyDescent="0.25"/>
    <row r="38" ht="22.7" customHeight="1" x14ac:dyDescent="0.25"/>
    <row r="39" ht="22.7" customHeight="1" x14ac:dyDescent="0.25"/>
    <row r="41" ht="22.7" customHeight="1" x14ac:dyDescent="0.25"/>
    <row r="42" ht="22.7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</sheetData>
  <mergeCells count="53">
    <mergeCell ref="J1:J2"/>
    <mergeCell ref="E24:G24"/>
    <mergeCell ref="A25:C25"/>
    <mergeCell ref="E25:G25"/>
    <mergeCell ref="A19:D19"/>
    <mergeCell ref="A21:C21"/>
    <mergeCell ref="E21:G21"/>
    <mergeCell ref="A22:D22"/>
    <mergeCell ref="A23:C23"/>
    <mergeCell ref="E23:G23"/>
    <mergeCell ref="A18:D18"/>
    <mergeCell ref="A20:C20"/>
    <mergeCell ref="E20:G20"/>
    <mergeCell ref="E16:E17"/>
    <mergeCell ref="F16:F17"/>
    <mergeCell ref="A3:A6"/>
    <mergeCell ref="A30:C30"/>
    <mergeCell ref="E30:G30"/>
    <mergeCell ref="C1:I1"/>
    <mergeCell ref="A28:C28"/>
    <mergeCell ref="E28:G28"/>
    <mergeCell ref="A29:C29"/>
    <mergeCell ref="E29:G29"/>
    <mergeCell ref="A24:C24"/>
    <mergeCell ref="A1:A2"/>
    <mergeCell ref="B1:B2"/>
    <mergeCell ref="H3:H6"/>
    <mergeCell ref="H8:H11"/>
    <mergeCell ref="H12:H17"/>
    <mergeCell ref="I3:I6"/>
    <mergeCell ref="A27:C27"/>
    <mergeCell ref="E27:G27"/>
    <mergeCell ref="C8:C11"/>
    <mergeCell ref="C12:C17"/>
    <mergeCell ref="D3:D6"/>
    <mergeCell ref="D8:D11"/>
    <mergeCell ref="D12:D17"/>
    <mergeCell ref="I12:I17"/>
    <mergeCell ref="I7:I11"/>
    <mergeCell ref="E18:H18"/>
    <mergeCell ref="A26:D26"/>
    <mergeCell ref="J3:J6"/>
    <mergeCell ref="A7:A11"/>
    <mergeCell ref="J7:J11"/>
    <mergeCell ref="A12:A17"/>
    <mergeCell ref="J12:J17"/>
    <mergeCell ref="B3:B6"/>
    <mergeCell ref="G3:G6"/>
    <mergeCell ref="G8:G11"/>
    <mergeCell ref="G12:G17"/>
    <mergeCell ref="B8:B11"/>
    <mergeCell ref="B12:B17"/>
    <mergeCell ref="C3:C6"/>
  </mergeCells>
  <conditionalFormatting sqref="A1:J30">
    <cfRule type="containsText" dxfId="275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62" orientation="portrait" blackAndWhite="1" errors="blank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U24"/>
  <sheetViews>
    <sheetView topLeftCell="A1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45" t="s">
        <v>2979</v>
      </c>
      <c r="B3" s="44" t="s">
        <v>2979</v>
      </c>
      <c r="C3" s="44"/>
      <c r="D3" s="44" t="s">
        <v>2999</v>
      </c>
      <c r="E3" s="44">
        <v>4</v>
      </c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">
        <v>2979</v>
      </c>
      <c r="B4" s="44" t="s">
        <v>2979</v>
      </c>
      <c r="C4" s="44"/>
      <c r="D4" s="44" t="s">
        <v>2998</v>
      </c>
      <c r="E4" s="44">
        <f>(3.6)*E3</f>
        <v>14.4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">
        <v>2979</v>
      </c>
      <c r="B5" s="44" t="s">
        <v>2979</v>
      </c>
      <c r="C5" s="44"/>
      <c r="D5" s="44" t="s">
        <v>2997</v>
      </c>
      <c r="E5" s="44">
        <v>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">
        <v>2979</v>
      </c>
      <c r="B6" s="44" t="s">
        <v>2979</v>
      </c>
      <c r="C6" s="44"/>
      <c r="D6" s="44" t="s">
        <v>2996</v>
      </c>
      <c r="E6" s="44">
        <v>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47.25" x14ac:dyDescent="0.25">
      <c r="A7" s="42" t="str">
        <f>B7</f>
        <v>Водосточная система</v>
      </c>
      <c r="B7" s="41" t="str">
        <f>D7</f>
        <v>Водосточная система</v>
      </c>
      <c r="C7" s="41"/>
      <c r="D7" s="41" t="s">
        <v>2995</v>
      </c>
      <c r="E7" s="41">
        <v>1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0"/>
    </row>
    <row r="8" spans="1:21" ht="47.25" x14ac:dyDescent="0.25">
      <c r="A8" s="74" t="str">
        <f>A7</f>
        <v>Водосточная система</v>
      </c>
      <c r="B8" s="73"/>
      <c r="C8" s="73" t="s">
        <v>2991</v>
      </c>
      <c r="D8" s="73" t="s">
        <v>2994</v>
      </c>
      <c r="E8" s="73">
        <f>ROUNDUP(E4/0.6,0)</f>
        <v>24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5"/>
    </row>
    <row r="9" spans="1:21" ht="47.25" x14ac:dyDescent="0.25">
      <c r="A9" s="74" t="str">
        <f>A8</f>
        <v>Водосточная система</v>
      </c>
      <c r="B9" s="73"/>
      <c r="C9" s="73" t="s">
        <v>2991</v>
      </c>
      <c r="D9" s="73" t="s">
        <v>2993</v>
      </c>
      <c r="E9" s="73">
        <f>E3*4</f>
        <v>16</v>
      </c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5"/>
    </row>
    <row r="10" spans="1:21" ht="47.25" x14ac:dyDescent="0.25">
      <c r="A10" s="74" t="str">
        <f>A9</f>
        <v>Водосточная система</v>
      </c>
      <c r="B10" s="73"/>
      <c r="C10" s="73" t="s">
        <v>2991</v>
      </c>
      <c r="D10" s="73" t="s">
        <v>2992</v>
      </c>
      <c r="E10" s="73">
        <f>E3</f>
        <v>4</v>
      </c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5"/>
    </row>
    <row r="11" spans="1:21" ht="47.25" x14ac:dyDescent="0.25">
      <c r="A11" s="74" t="str">
        <f>A10</f>
        <v>Водосточная система</v>
      </c>
      <c r="B11" s="73"/>
      <c r="C11" s="73" t="s">
        <v>2991</v>
      </c>
      <c r="D11" s="73" t="s">
        <v>2990</v>
      </c>
      <c r="E11" s="73">
        <f>E4</f>
        <v>14.4</v>
      </c>
      <c r="F11" s="73"/>
      <c r="G11" s="73" t="s">
        <v>20</v>
      </c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5"/>
    </row>
    <row r="12" spans="1:21" ht="15.75" x14ac:dyDescent="0.25">
      <c r="A12" s="45" t="s">
        <v>2979</v>
      </c>
      <c r="B12" s="44" t="s">
        <v>2979</v>
      </c>
      <c r="C12" s="44"/>
      <c r="D12" s="44" t="s">
        <v>2989</v>
      </c>
      <c r="E12" s="44">
        <f>(13.5+9)*2+0.15*8</f>
        <v>46.2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5.75" x14ac:dyDescent="0.25">
      <c r="A13" s="45" t="s">
        <v>2979</v>
      </c>
      <c r="B13" s="44" t="s">
        <v>2979</v>
      </c>
      <c r="C13" s="44"/>
      <c r="D13" s="44" t="s">
        <v>2988</v>
      </c>
      <c r="E13" s="44">
        <v>100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5.75" x14ac:dyDescent="0.25">
      <c r="A14" s="45" t="s">
        <v>2979</v>
      </c>
      <c r="B14" s="44" t="s">
        <v>2979</v>
      </c>
      <c r="C14" s="44"/>
      <c r="D14" s="44" t="s">
        <v>2987</v>
      </c>
      <c r="E14" s="44">
        <v>620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3"/>
    </row>
    <row r="15" spans="1:21" ht="15.75" x14ac:dyDescent="0.25">
      <c r="A15" s="45" t="s">
        <v>2979</v>
      </c>
      <c r="B15" s="44" t="s">
        <v>2979</v>
      </c>
      <c r="C15" s="44"/>
      <c r="D15" s="44" t="s">
        <v>2986</v>
      </c>
      <c r="E15" s="44">
        <v>1330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3"/>
    </row>
    <row r="16" spans="1:21" ht="78.75" x14ac:dyDescent="0.25">
      <c r="A16" s="42" t="str">
        <f>B16</f>
        <v>Утепление наружного ж/б цоколя</v>
      </c>
      <c r="B16" s="41" t="str">
        <f>D16</f>
        <v>Утепление наружного ж/б цоколя</v>
      </c>
      <c r="C16" s="41"/>
      <c r="D16" s="41" t="s">
        <v>2985</v>
      </c>
      <c r="E16" s="41">
        <v>1</v>
      </c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0"/>
    </row>
    <row r="17" spans="1:21" ht="78.75" x14ac:dyDescent="0.25">
      <c r="A17" s="74" t="str">
        <f>A16</f>
        <v>Утепление наружного ж/б цоколя</v>
      </c>
      <c r="B17" s="73"/>
      <c r="C17" s="73" t="s">
        <v>2984</v>
      </c>
      <c r="D17" s="73" t="str">
        <f>CONCATENATE("Пенополистирол Технониколь Carbon Prof 300 (с креплением тарельчатым дюбелем), t=",E13,"мм.")</f>
        <v>Пенополистирол Технониколь Carbon Prof 300 (с креплением тарельчатым дюбелем), t=100мм.</v>
      </c>
      <c r="E17" s="73">
        <f>ROUNDUP((E15+E14)*E13*E12/(1000*1000),2)</f>
        <v>9.01</v>
      </c>
      <c r="F17" s="73"/>
      <c r="G17" s="73" t="s">
        <v>3</v>
      </c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5"/>
    </row>
    <row r="18" spans="1:21" ht="78.75" x14ac:dyDescent="0.25">
      <c r="A18" s="74" t="str">
        <f>A17</f>
        <v>Утепление наружного ж/б цоколя</v>
      </c>
      <c r="B18" s="73"/>
      <c r="C18" s="73"/>
      <c r="D18" s="73" t="s">
        <v>2983</v>
      </c>
      <c r="E18" s="73">
        <f>E19</f>
        <v>28.637070000000005</v>
      </c>
      <c r="F18" s="73"/>
      <c r="G18" s="73" t="s">
        <v>2369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5"/>
    </row>
    <row r="19" spans="1:21" ht="78.75" x14ac:dyDescent="0.25">
      <c r="A19" s="74" t="str">
        <f>A18</f>
        <v>Утепление наружного ж/б цоколя</v>
      </c>
      <c r="B19" s="73"/>
      <c r="C19" s="73"/>
      <c r="D19" s="73" t="s">
        <v>2982</v>
      </c>
      <c r="E19" s="73">
        <f>(E14-0.15)*E12/1000</f>
        <v>28.637070000000005</v>
      </c>
      <c r="F19" s="73"/>
      <c r="G19" s="73" t="s">
        <v>2369</v>
      </c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5"/>
    </row>
    <row r="20" spans="1:21" ht="78.75" x14ac:dyDescent="0.25">
      <c r="A20" s="74" t="str">
        <f>A19</f>
        <v>Утепление наружного ж/б цоколя</v>
      </c>
      <c r="B20" s="73"/>
      <c r="C20" s="73"/>
      <c r="D20" s="73" t="s">
        <v>2981</v>
      </c>
      <c r="E20" s="73">
        <f>E12*0.15</f>
        <v>6.9300000000000006</v>
      </c>
      <c r="F20" s="73"/>
      <c r="G20" s="73" t="s">
        <v>2369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5"/>
    </row>
    <row r="21" spans="1:21" ht="15.75" x14ac:dyDescent="0.25">
      <c r="A21" s="45" t="s">
        <v>2979</v>
      </c>
      <c r="B21" s="44" t="s">
        <v>2979</v>
      </c>
      <c r="C21" s="44"/>
      <c r="D21" s="44" t="s">
        <v>2980</v>
      </c>
      <c r="E21" s="44">
        <v>6.24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3"/>
    </row>
    <row r="22" spans="1:21" ht="15.75" x14ac:dyDescent="0.25">
      <c r="A22" s="45" t="s">
        <v>2979</v>
      </c>
      <c r="B22" s="44" t="s">
        <v>2979</v>
      </c>
      <c r="C22" s="44"/>
      <c r="D22" s="44" t="s">
        <v>2978</v>
      </c>
      <c r="E22" s="44">
        <f>180-21-10</f>
        <v>149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3"/>
    </row>
    <row r="23" spans="1:21" ht="78.75" x14ac:dyDescent="0.25">
      <c r="A23" s="42" t="str">
        <f>B23</f>
        <v>Устройство стен, перегородок</v>
      </c>
      <c r="B23" s="41" t="str">
        <f>D23</f>
        <v>Устройство стен, перегородок</v>
      </c>
      <c r="C23" s="41"/>
      <c r="D23" s="41" t="s">
        <v>2977</v>
      </c>
      <c r="E23" s="41">
        <v>1</v>
      </c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0"/>
    </row>
    <row r="24" spans="1:21" ht="79.5" thickBot="1" x14ac:dyDescent="0.3">
      <c r="A24" s="76" t="str">
        <f>A23</f>
        <v>Устройство стен, перегородок</v>
      </c>
      <c r="B24" s="77"/>
      <c r="C24" s="77" t="s">
        <v>2976</v>
      </c>
      <c r="D24" s="77" t="s">
        <v>2975</v>
      </c>
      <c r="E24" s="77">
        <f>E22</f>
        <v>149</v>
      </c>
      <c r="F24" s="77"/>
      <c r="G24" s="77" t="s">
        <v>2369</v>
      </c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4 H2:Q2 K1 R1:S1 S2:U2">
    <cfRule type="containsText" dxfId="274" priority="2" stopIfTrue="1" operator="containsText" text="С ЛИСТА">
      <formula>NOT(ISERROR(SEARCH("С ЛИСТА",A1)))</formula>
    </cfRule>
    <cfRule type="containsText" dxfId="273" priority="3" stopIfTrue="1" operator="containsText" text="ИЗ ФАЙЛА">
      <formula>NOT(ISERROR(SEARCH("ИЗ ФАЙЛА",A1)))</formula>
    </cfRule>
    <cfRule type="containsText" dxfId="272" priority="4" stopIfTrue="1" operator="containsText" text="!!!">
      <formula>NOT(ISERROR(SEARCH("!!!",A1)))</formula>
    </cfRule>
    <cfRule type="containsText" dxfId="271" priority="5" stopIfTrue="1" operator="containsText" text=" Заполнения проёмов ">
      <formula>NOT(ISERROR(SEARCH(" Заполнения проёмов ",A1)))</formula>
    </cfRule>
    <cfRule type="containsText" dxfId="270" priority="6" stopIfTrue="1" operator="containsText" text=" Сборочные единицы ">
      <formula>NOT(ISERROR(SEARCH(" Сборочные единицы ",A1)))</formula>
    </cfRule>
    <cfRule type="containsText" dxfId="269" priority="7" stopIfTrue="1" operator="containsText" text=" Заполнения проёмов ">
      <formula>NOT(ISERROR(SEARCH(" Заполнения проёмов ",A1)))</formula>
    </cfRule>
    <cfRule type="containsText" dxfId="268" priority="8" stopIfTrue="1" operator="containsText" text=" Сборочные единицы ">
      <formula>NOT(ISERROR(SEARCH(" Сборочные единицы ",A1)))</formula>
    </cfRule>
    <cfRule type="containsText" dxfId="267" priority="9" stopIfTrue="1" operator="containsText" text=" Изделия ">
      <formula>NOT(ISERROR(SEARCH(" Изделия ",A1)))</formula>
    </cfRule>
    <cfRule type="containsText" dxfId="266" priority="10" stopIfTrue="1" operator="containsText" text=" Материалы ">
      <formula>NOT(ISERROR(SEARCH(" Материалы ",A1)))</formula>
    </cfRule>
    <cfRule type="containsText" dxfId="265" priority="11" stopIfTrue="1" operator="containsText" text=" Изделия арматурные ">
      <formula>NOT(ISERROR(SEARCH(" Изделия арматурные ",A1)))</formula>
    </cfRule>
    <cfRule type="containsText" dxfId="264" priority="12" stopIfTrue="1" operator="containsText" text=" Прокат ">
      <formula>NOT(ISERROR(SEARCH(" Прокат ",A1)))</formula>
    </cfRule>
    <cfRule type="containsText" dxfId="263" priority="13" stopIfTrue="1" operator="containsText" text="Элементы на отм.">
      <formula>NOT(ISERROR(SEARCH("Элементы на отм.",A1)))</formula>
    </cfRule>
    <cfRule type="containsText" dxfId="262" priority="14" stopIfTrue="1" operator="containsText" text=", на ">
      <formula>NOT(ISERROR(SEARCH(", на ",A1)))</formula>
    </cfRule>
    <cfRule type="containsText" dxfId="261" priority="15" stopIfTrue="1" operator="containsText" text="шт.)">
      <formula>NOT(ISERROR(SEARCH("шт.)",A1)))</formula>
    </cfRule>
  </conditionalFormatting>
  <conditionalFormatting sqref="A1:U1048576">
    <cfRule type="expression" dxfId="260" priority="1">
      <formula>ISERROR(A1)</formula>
    </cfRule>
  </conditionalFormatting>
  <dataValidations count="5">
    <dataValidation type="list" errorStyle="warning" allowBlank="1" showInputMessage="1" showErrorMessage="1" sqref="G3:G24">
      <formula1>#REF!</formula1>
    </dataValidation>
    <dataValidation type="list" allowBlank="1" showInputMessage="1" showErrorMessage="1" sqref="J3:J24">
      <formula1>#REF!</formula1>
    </dataValidation>
    <dataValidation type="list" allowBlank="1" showInputMessage="1" showErrorMessage="1" sqref="L3:L24">
      <formula1>#REF!</formula1>
    </dataValidation>
    <dataValidation type="list" allowBlank="1" showInputMessage="1" showErrorMessage="1" sqref="O3:O24">
      <formula1>#REF!</formula1>
    </dataValidation>
    <dataValidation type="list" allowBlank="1" showInputMessage="1" showErrorMessage="1" sqref="P3:P24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N45" sqref="N4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</row>
    <row r="4" spans="1:21" ht="15.7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1" ht="15.75" x14ac:dyDescent="0.25">
      <c r="A5" s="54" t="s">
        <v>3115</v>
      </c>
      <c r="B5" s="53" t="str">
        <f>A5</f>
        <v>Крп20</v>
      </c>
      <c r="C5" s="53" t="s">
        <v>2902</v>
      </c>
      <c r="D5" s="53" t="s">
        <v>3114</v>
      </c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2"/>
    </row>
    <row r="6" spans="1:21" ht="31.5" x14ac:dyDescent="0.25">
      <c r="A6" s="74" t="str">
        <f>A5</f>
        <v>Крп20</v>
      </c>
      <c r="B6" s="73">
        <v>1</v>
      </c>
      <c r="C6" s="73" t="s">
        <v>3066</v>
      </c>
      <c r="D6" s="73" t="s">
        <v>3113</v>
      </c>
      <c r="E6" s="73">
        <v>9</v>
      </c>
      <c r="F6" s="44">
        <v>0.61699999999999999</v>
      </c>
      <c r="G6" s="73"/>
      <c r="H6" s="73">
        <f>165</f>
        <v>165</v>
      </c>
      <c r="I6" s="73">
        <v>10</v>
      </c>
      <c r="J6" s="73" t="s">
        <v>1</v>
      </c>
      <c r="K6" s="73"/>
      <c r="L6" s="73"/>
      <c r="M6" s="73"/>
      <c r="N6" s="73"/>
      <c r="O6" s="73"/>
      <c r="P6" s="73"/>
      <c r="Q6" s="73"/>
      <c r="R6" s="73"/>
      <c r="S6" s="73" t="s">
        <v>3108</v>
      </c>
      <c r="T6" s="73" t="s">
        <v>3108</v>
      </c>
      <c r="U6" s="75">
        <v>12.5</v>
      </c>
    </row>
    <row r="7" spans="1:21" ht="31.5" x14ac:dyDescent="0.25">
      <c r="A7" s="74" t="str">
        <f>A5</f>
        <v>Крп20</v>
      </c>
      <c r="B7" s="73">
        <v>2</v>
      </c>
      <c r="C7" s="73" t="s">
        <v>3066</v>
      </c>
      <c r="D7" s="73" t="s">
        <v>3112</v>
      </c>
      <c r="E7" s="73">
        <v>2</v>
      </c>
      <c r="F7" s="44">
        <v>0.61699999999999999</v>
      </c>
      <c r="G7" s="73"/>
      <c r="H7" s="73">
        <v>1280</v>
      </c>
      <c r="I7" s="73">
        <v>10</v>
      </c>
      <c r="J7" s="73" t="s">
        <v>1</v>
      </c>
      <c r="K7" s="73"/>
      <c r="L7" s="73"/>
      <c r="M7" s="73"/>
      <c r="N7" s="73"/>
      <c r="O7" s="73"/>
      <c r="P7" s="73"/>
      <c r="Q7" s="73"/>
      <c r="R7" s="73"/>
      <c r="S7" s="73" t="s">
        <v>3108</v>
      </c>
      <c r="T7" s="73" t="s">
        <v>3108</v>
      </c>
      <c r="U7" s="75">
        <v>12.5</v>
      </c>
    </row>
    <row r="8" spans="1:21" ht="15.7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</row>
    <row r="9" spans="1:21" ht="15.75" x14ac:dyDescent="0.25">
      <c r="A9" s="54" t="s">
        <v>3107</v>
      </c>
      <c r="B9" s="53" t="str">
        <f>A9</f>
        <v>Мн1</v>
      </c>
      <c r="C9" s="53" t="s">
        <v>3102</v>
      </c>
      <c r="D9" s="53" t="s">
        <v>3111</v>
      </c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2"/>
    </row>
    <row r="10" spans="1:21" ht="15.75" x14ac:dyDescent="0.25">
      <c r="A10" s="74" t="s">
        <v>3107</v>
      </c>
      <c r="B10" s="51">
        <v>1</v>
      </c>
      <c r="C10" s="51" t="s">
        <v>3172</v>
      </c>
      <c r="D10" s="51" t="s">
        <v>3110</v>
      </c>
      <c r="E10" s="51">
        <v>1</v>
      </c>
      <c r="F10" s="44">
        <v>78.5</v>
      </c>
      <c r="G10" s="73"/>
      <c r="H10" s="73"/>
      <c r="I10" s="73"/>
      <c r="J10" s="73"/>
      <c r="K10" s="44">
        <v>48400</v>
      </c>
      <c r="L10" s="73" t="s">
        <v>2850</v>
      </c>
      <c r="M10" s="73" t="s">
        <v>2860</v>
      </c>
      <c r="N10" s="73"/>
      <c r="O10" s="73" t="s">
        <v>5</v>
      </c>
      <c r="P10" s="73"/>
      <c r="Q10" s="73"/>
      <c r="R10" s="73"/>
      <c r="S10" s="73"/>
      <c r="T10" s="73"/>
      <c r="U10" s="75"/>
    </row>
    <row r="11" spans="1:21" ht="31.5" x14ac:dyDescent="0.25">
      <c r="A11" s="74" t="s">
        <v>3107</v>
      </c>
      <c r="B11" s="73">
        <v>2</v>
      </c>
      <c r="C11" s="73" t="s">
        <v>3066</v>
      </c>
      <c r="D11" s="73" t="s">
        <v>3109</v>
      </c>
      <c r="E11" s="73">
        <v>4</v>
      </c>
      <c r="F11" s="44">
        <v>1.208</v>
      </c>
      <c r="G11" s="73"/>
      <c r="H11" s="73">
        <v>170</v>
      </c>
      <c r="I11" s="73">
        <v>14</v>
      </c>
      <c r="J11" s="73" t="s">
        <v>2</v>
      </c>
      <c r="K11" s="73"/>
      <c r="L11" s="73"/>
      <c r="M11" s="73"/>
      <c r="N11" s="73"/>
      <c r="O11" s="73"/>
      <c r="P11" s="73"/>
      <c r="Q11" s="73"/>
      <c r="R11" s="73"/>
      <c r="S11" s="73" t="s">
        <v>3108</v>
      </c>
      <c r="T11" s="73" t="s">
        <v>3108</v>
      </c>
      <c r="U11" s="75">
        <v>35</v>
      </c>
    </row>
    <row r="12" spans="1:21" ht="15.75" x14ac:dyDescent="0.25">
      <c r="A12" s="74" t="s">
        <v>3107</v>
      </c>
      <c r="B12" s="51">
        <v>3</v>
      </c>
      <c r="C12" s="51" t="s">
        <v>3172</v>
      </c>
      <c r="D12" s="51" t="s">
        <v>3106</v>
      </c>
      <c r="E12" s="51">
        <v>4</v>
      </c>
      <c r="F12" s="44">
        <v>62.8</v>
      </c>
      <c r="G12" s="73"/>
      <c r="H12" s="73"/>
      <c r="I12" s="73"/>
      <c r="J12" s="73"/>
      <c r="K12" s="44">
        <v>1600</v>
      </c>
      <c r="L12" s="73" t="s">
        <v>2850</v>
      </c>
      <c r="M12" s="73" t="s">
        <v>2858</v>
      </c>
      <c r="N12" s="73"/>
      <c r="O12" s="73" t="s">
        <v>5</v>
      </c>
      <c r="P12" s="73"/>
      <c r="Q12" s="73"/>
      <c r="R12" s="73"/>
      <c r="S12" s="73"/>
      <c r="T12" s="73"/>
      <c r="U12" s="75"/>
    </row>
    <row r="13" spans="1:21" ht="15.7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</row>
    <row r="14" spans="1:21" ht="15.75" x14ac:dyDescent="0.25">
      <c r="A14" s="54" t="s">
        <v>3105</v>
      </c>
      <c r="B14" s="53" t="str">
        <f>A14</f>
        <v>Му1</v>
      </c>
      <c r="C14" s="53" t="s">
        <v>3102</v>
      </c>
      <c r="D14" s="53" t="s">
        <v>3104</v>
      </c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2"/>
    </row>
    <row r="15" spans="1:21" ht="15.75" x14ac:dyDescent="0.25">
      <c r="A15" s="74" t="str">
        <f>A14</f>
        <v>Му1</v>
      </c>
      <c r="B15" s="51">
        <v>1</v>
      </c>
      <c r="C15" s="51" t="s">
        <v>2911</v>
      </c>
      <c r="D15" s="51" t="s">
        <v>3100</v>
      </c>
      <c r="E15" s="51">
        <v>1</v>
      </c>
      <c r="F15" s="44">
        <v>104.5</v>
      </c>
      <c r="G15" s="73"/>
      <c r="H15" s="73"/>
      <c r="I15" s="73"/>
      <c r="J15" s="73"/>
      <c r="K15" s="73">
        <v>100</v>
      </c>
      <c r="L15" s="73" t="s">
        <v>2046</v>
      </c>
      <c r="M15" s="73" t="s">
        <v>2165</v>
      </c>
      <c r="N15" s="73"/>
      <c r="O15" s="73" t="s">
        <v>5</v>
      </c>
      <c r="P15" s="73"/>
      <c r="Q15" s="73"/>
      <c r="R15" s="73"/>
      <c r="S15" s="73"/>
      <c r="T15" s="73"/>
      <c r="U15" s="75"/>
    </row>
    <row r="16" spans="1:21" ht="15.75" x14ac:dyDescent="0.25">
      <c r="A16" s="74" t="str">
        <f>A15</f>
        <v>Му1</v>
      </c>
      <c r="B16" s="51">
        <v>3</v>
      </c>
      <c r="C16" s="51" t="s">
        <v>3172</v>
      </c>
      <c r="D16" s="51" t="s">
        <v>3099</v>
      </c>
      <c r="E16" s="51">
        <v>1</v>
      </c>
      <c r="F16" s="44">
        <v>62.8</v>
      </c>
      <c r="G16" s="73"/>
      <c r="H16" s="73"/>
      <c r="I16" s="73"/>
      <c r="J16" s="73"/>
      <c r="K16" s="44">
        <v>9025</v>
      </c>
      <c r="L16" s="73" t="s">
        <v>2850</v>
      </c>
      <c r="M16" s="73" t="s">
        <v>2858</v>
      </c>
      <c r="N16" s="73"/>
      <c r="O16" s="73" t="s">
        <v>5</v>
      </c>
      <c r="P16" s="73"/>
      <c r="Q16" s="73"/>
      <c r="R16" s="73"/>
      <c r="S16" s="73"/>
      <c r="T16" s="73"/>
      <c r="U16" s="75"/>
    </row>
    <row r="17" spans="1:21" ht="15.75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15.75" x14ac:dyDescent="0.25">
      <c r="A18" s="54" t="s">
        <v>3103</v>
      </c>
      <c r="B18" s="53" t="str">
        <f>A18</f>
        <v>Му2</v>
      </c>
      <c r="C18" s="53" t="s">
        <v>3102</v>
      </c>
      <c r="D18" s="53" t="s">
        <v>3101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2"/>
    </row>
    <row r="19" spans="1:21" ht="15.75" x14ac:dyDescent="0.25">
      <c r="A19" s="74" t="str">
        <f>A18</f>
        <v>Му2</v>
      </c>
      <c r="B19" s="51">
        <v>1</v>
      </c>
      <c r="C19" s="51" t="s">
        <v>2911</v>
      </c>
      <c r="D19" s="51" t="s">
        <v>3100</v>
      </c>
      <c r="E19" s="51">
        <v>1</v>
      </c>
      <c r="F19" s="44">
        <v>54.4</v>
      </c>
      <c r="G19" s="73"/>
      <c r="H19" s="73"/>
      <c r="I19" s="73"/>
      <c r="J19" s="73"/>
      <c r="K19" s="73">
        <v>200</v>
      </c>
      <c r="L19" s="73" t="s">
        <v>2046</v>
      </c>
      <c r="M19" s="73" t="s">
        <v>2153</v>
      </c>
      <c r="N19" s="73"/>
      <c r="O19" s="73" t="s">
        <v>5</v>
      </c>
      <c r="P19" s="73"/>
      <c r="Q19" s="73"/>
      <c r="R19" s="73"/>
      <c r="S19" s="73"/>
      <c r="T19" s="73"/>
      <c r="U19" s="75"/>
    </row>
    <row r="20" spans="1:21" ht="16.5" thickBot="1" x14ac:dyDescent="0.3">
      <c r="A20" s="76" t="str">
        <f>A19</f>
        <v>Му2</v>
      </c>
      <c r="B20" s="50">
        <v>3</v>
      </c>
      <c r="C20" s="50" t="s">
        <v>3172</v>
      </c>
      <c r="D20" s="50" t="s">
        <v>3099</v>
      </c>
      <c r="E20" s="50">
        <v>1</v>
      </c>
      <c r="F20" s="46">
        <v>62.8</v>
      </c>
      <c r="G20" s="77"/>
      <c r="H20" s="77"/>
      <c r="I20" s="77"/>
      <c r="J20" s="77"/>
      <c r="K20" s="46">
        <v>9025</v>
      </c>
      <c r="L20" s="77" t="s">
        <v>2850</v>
      </c>
      <c r="M20" s="77" t="s">
        <v>2858</v>
      </c>
      <c r="N20" s="77"/>
      <c r="O20" s="77" t="s">
        <v>5</v>
      </c>
      <c r="P20" s="77"/>
      <c r="Q20" s="77"/>
      <c r="R20" s="77"/>
      <c r="S20" s="77"/>
      <c r="T20" s="77"/>
      <c r="U20" s="78"/>
    </row>
    <row r="23" spans="1:21" ht="15.75" x14ac:dyDescent="0.25">
      <c r="A23" s="54" t="s">
        <v>3259</v>
      </c>
      <c r="B23" s="53" t="str">
        <f>A23</f>
        <v>Му5</v>
      </c>
      <c r="C23" s="53" t="s">
        <v>3102</v>
      </c>
      <c r="D23" s="53" t="s">
        <v>3101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2"/>
    </row>
    <row r="24" spans="1:21" ht="15.75" x14ac:dyDescent="0.25">
      <c r="A24" s="74" t="str">
        <f>A23</f>
        <v>Му5</v>
      </c>
      <c r="B24" s="51">
        <v>1</v>
      </c>
      <c r="C24" s="51" t="s">
        <v>2911</v>
      </c>
      <c r="D24" s="51" t="s">
        <v>3100</v>
      </c>
      <c r="E24" s="51">
        <v>1</v>
      </c>
      <c r="F24" s="44">
        <v>54.4</v>
      </c>
      <c r="G24" s="73"/>
      <c r="H24" s="73"/>
      <c r="I24" s="73"/>
      <c r="J24" s="73"/>
      <c r="K24" s="73">
        <v>200</v>
      </c>
      <c r="L24" s="73" t="s">
        <v>2046</v>
      </c>
      <c r="M24" s="73" t="s">
        <v>2153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16.5" thickBot="1" x14ac:dyDescent="0.3">
      <c r="A25" s="76" t="str">
        <f>A24</f>
        <v>Му5</v>
      </c>
      <c r="B25" s="50">
        <v>3</v>
      </c>
      <c r="C25" s="50" t="s">
        <v>3172</v>
      </c>
      <c r="D25" s="50" t="s">
        <v>3099</v>
      </c>
      <c r="E25" s="50">
        <v>1</v>
      </c>
      <c r="F25" s="46">
        <v>62.8</v>
      </c>
      <c r="G25" s="77"/>
      <c r="H25" s="77"/>
      <c r="I25" s="77"/>
      <c r="J25" s="77"/>
      <c r="K25" s="46">
        <v>9025</v>
      </c>
      <c r="L25" s="77" t="s">
        <v>2850</v>
      </c>
      <c r="M25" s="77" t="s">
        <v>2858</v>
      </c>
      <c r="N25" s="77"/>
      <c r="O25" s="77" t="s">
        <v>5</v>
      </c>
      <c r="P25" s="77"/>
      <c r="Q25" s="77"/>
      <c r="R25" s="77"/>
      <c r="S25" s="77"/>
      <c r="T25" s="77"/>
      <c r="U25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0 H2:Q2 K1 R1:S1 S2:U2">
    <cfRule type="containsText" dxfId="259" priority="16" stopIfTrue="1" operator="containsText" text="С ЛИСТА">
      <formula>NOT(ISERROR(SEARCH("С ЛИСТА",A1)))</formula>
    </cfRule>
    <cfRule type="containsText" dxfId="258" priority="17" stopIfTrue="1" operator="containsText" text="ИЗ ФАЙЛА">
      <formula>NOT(ISERROR(SEARCH("ИЗ ФАЙЛА",A1)))</formula>
    </cfRule>
    <cfRule type="containsText" dxfId="257" priority="18" stopIfTrue="1" operator="containsText" text="!!!">
      <formula>NOT(ISERROR(SEARCH("!!!",A1)))</formula>
    </cfRule>
    <cfRule type="containsText" dxfId="256" priority="19" stopIfTrue="1" operator="containsText" text=" Заполнения проёмов ">
      <formula>NOT(ISERROR(SEARCH(" Заполнения проёмов ",A1)))</formula>
    </cfRule>
    <cfRule type="containsText" dxfId="255" priority="20" stopIfTrue="1" operator="containsText" text=" Сборочные единицы ">
      <formula>NOT(ISERROR(SEARCH(" Сборочные единицы ",A1)))</formula>
    </cfRule>
    <cfRule type="containsText" dxfId="254" priority="21" stopIfTrue="1" operator="containsText" text=" Заполнения проёмов ">
      <formula>NOT(ISERROR(SEARCH(" Заполнения проёмов ",A1)))</formula>
    </cfRule>
    <cfRule type="containsText" dxfId="253" priority="22" stopIfTrue="1" operator="containsText" text=" Сборочные единицы ">
      <formula>NOT(ISERROR(SEARCH(" Сборочные единицы ",A1)))</formula>
    </cfRule>
    <cfRule type="containsText" dxfId="252" priority="23" stopIfTrue="1" operator="containsText" text=" Изделия ">
      <formula>NOT(ISERROR(SEARCH(" Изделия ",A1)))</formula>
    </cfRule>
    <cfRule type="containsText" dxfId="251" priority="24" stopIfTrue="1" operator="containsText" text=" Материалы ">
      <formula>NOT(ISERROR(SEARCH(" Материалы ",A1)))</formula>
    </cfRule>
    <cfRule type="containsText" dxfId="250" priority="25" stopIfTrue="1" operator="containsText" text=" Изделия арматурные ">
      <formula>NOT(ISERROR(SEARCH(" Изделия арматурные ",A1)))</formula>
    </cfRule>
    <cfRule type="containsText" dxfId="249" priority="26" stopIfTrue="1" operator="containsText" text=" Прокат ">
      <formula>NOT(ISERROR(SEARCH(" Прокат ",A1)))</formula>
    </cfRule>
    <cfRule type="containsText" dxfId="248" priority="27" stopIfTrue="1" operator="containsText" text="Элементы на отм.">
      <formula>NOT(ISERROR(SEARCH("Элементы на отм.",A1)))</formula>
    </cfRule>
    <cfRule type="containsText" dxfId="247" priority="28" stopIfTrue="1" operator="containsText" text=", на ">
      <formula>NOT(ISERROR(SEARCH(", на ",A1)))</formula>
    </cfRule>
    <cfRule type="containsText" dxfId="246" priority="29" stopIfTrue="1" operator="containsText" text="шт.)">
      <formula>NOT(ISERROR(SEARCH("шт.)",A1)))</formula>
    </cfRule>
  </conditionalFormatting>
  <conditionalFormatting sqref="A1:U1048576">
    <cfRule type="expression" dxfId="245" priority="15">
      <formula>ISERROR(A1)</formula>
    </cfRule>
  </conditionalFormatting>
  <conditionalFormatting sqref="A23:U25">
    <cfRule type="containsText" dxfId="244" priority="1" stopIfTrue="1" operator="containsText" text="С ЛИСТА">
      <formula>NOT(ISERROR(SEARCH("С ЛИСТА",A23)))</formula>
    </cfRule>
    <cfRule type="containsText" dxfId="243" priority="2" stopIfTrue="1" operator="containsText" text="ИЗ ФАЙЛА">
      <formula>NOT(ISERROR(SEARCH("ИЗ ФАЙЛА",A23)))</formula>
    </cfRule>
    <cfRule type="containsText" dxfId="242" priority="3" stopIfTrue="1" operator="containsText" text="!!!">
      <formula>NOT(ISERROR(SEARCH("!!!",A23)))</formula>
    </cfRule>
    <cfRule type="containsText" dxfId="241" priority="4" stopIfTrue="1" operator="containsText" text=" Заполнения проёмов ">
      <formula>NOT(ISERROR(SEARCH(" Заполнения проёмов ",A23)))</formula>
    </cfRule>
    <cfRule type="containsText" dxfId="240" priority="5" stopIfTrue="1" operator="containsText" text=" Сборочные единицы ">
      <formula>NOT(ISERROR(SEARCH(" Сборочные единицы ",A23)))</formula>
    </cfRule>
    <cfRule type="containsText" dxfId="239" priority="6" stopIfTrue="1" operator="containsText" text=" Заполнения проёмов ">
      <formula>NOT(ISERROR(SEARCH(" Заполнения проёмов ",A23)))</formula>
    </cfRule>
    <cfRule type="containsText" dxfId="238" priority="7" stopIfTrue="1" operator="containsText" text=" Сборочные единицы ">
      <formula>NOT(ISERROR(SEARCH(" Сборочные единицы ",A23)))</formula>
    </cfRule>
    <cfRule type="containsText" dxfId="237" priority="8" stopIfTrue="1" operator="containsText" text=" Изделия ">
      <formula>NOT(ISERROR(SEARCH(" Изделия ",A23)))</formula>
    </cfRule>
    <cfRule type="containsText" dxfId="236" priority="9" stopIfTrue="1" operator="containsText" text=" Материалы ">
      <formula>NOT(ISERROR(SEARCH(" Материалы ",A23)))</formula>
    </cfRule>
    <cfRule type="containsText" dxfId="235" priority="10" stopIfTrue="1" operator="containsText" text=" Изделия арматурные ">
      <formula>NOT(ISERROR(SEARCH(" Изделия арматурные ",A23)))</formula>
    </cfRule>
    <cfRule type="containsText" dxfId="234" priority="11" stopIfTrue="1" operator="containsText" text=" Прокат ">
      <formula>NOT(ISERROR(SEARCH(" Прокат ",A23)))</formula>
    </cfRule>
    <cfRule type="containsText" dxfId="233" priority="12" stopIfTrue="1" operator="containsText" text="Элементы на отм.">
      <formula>NOT(ISERROR(SEARCH("Элементы на отм.",A23)))</formula>
    </cfRule>
    <cfRule type="containsText" dxfId="232" priority="13" stopIfTrue="1" operator="containsText" text=", на ">
      <formula>NOT(ISERROR(SEARCH(", на ",A23)))</formula>
    </cfRule>
    <cfRule type="containsText" dxfId="231" priority="14" stopIfTrue="1" operator="containsText" text="шт.)">
      <formula>NOT(ISERROR(SEARCH("шт.)",A23)))</formula>
    </cfRule>
  </conditionalFormatting>
  <dataValidations count="14">
    <dataValidation type="list" errorStyle="warning" allowBlank="1" showInputMessage="1" showErrorMessage="1" sqref="G3:G20 G23:G25">
      <formula1>#REF!</formula1>
    </dataValidation>
    <dataValidation type="list" allowBlank="1" showInputMessage="1" showErrorMessage="1" sqref="J3:J20 J23:J25">
      <formula1>#REF!</formula1>
    </dataValidation>
    <dataValidation type="list" allowBlank="1" showInputMessage="1" showErrorMessage="1" sqref="L3:L20 L23:L25">
      <formula1>#REF!</formula1>
    </dataValidation>
    <dataValidation type="list" allowBlank="1" showInputMessage="1" showErrorMessage="1" sqref="O3:O20 O23:O25">
      <formula1>#REF!</formula1>
    </dataValidation>
    <dataValidation type="list" allowBlank="1" showInputMessage="1" showErrorMessage="1" sqref="P3:P20 P23:P25">
      <formula1>#REF!</formula1>
    </dataValidation>
    <dataValidation type="list" allowBlank="1" showInputMessage="1" showErrorMessage="1" sqref="I6">
      <formula1>#REF!</formula1>
    </dataValidation>
    <dataValidation type="list" allowBlank="1" showInputMessage="1" showErrorMessage="1" sqref="I7">
      <formula1>#REF!</formula1>
    </dataValidation>
    <dataValidation type="list" allowBlank="1" showInputMessage="1" showErrorMessage="1" sqref="M10">
      <formula1>#REF!</formula1>
    </dataValidation>
    <dataValidation type="list" allowBlank="1" showInputMessage="1" showErrorMessage="1" sqref="I11">
      <formula1>#REF!</formula1>
    </dataValidation>
    <dataValidation type="list" allowBlank="1" showInputMessage="1" showErrorMessage="1" sqref="M12">
      <formula1>#REF!</formula1>
    </dataValidation>
    <dataValidation type="list" allowBlank="1" showInputMessage="1" showErrorMessage="1" sqref="M15">
      <formula1>#REF!</formula1>
    </dataValidation>
    <dataValidation type="list" allowBlank="1" showInputMessage="1" showErrorMessage="1" sqref="M16">
      <formula1>#REF!</formula1>
    </dataValidation>
    <dataValidation type="list" allowBlank="1" showInputMessage="1" showErrorMessage="1" sqref="M19 M24">
      <formula1>#REF!</formula1>
    </dataValidation>
    <dataValidation type="list" allowBlank="1" showInputMessage="1" showErrorMessage="1" sqref="M20 M2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RowHeight="15" x14ac:dyDescent="0.25"/>
  <cols>
    <col min="1" max="1" width="10.28515625" style="5" customWidth="1"/>
    <col min="2" max="2" width="22.42578125" style="5" customWidth="1"/>
    <col min="3" max="3" width="32" style="5" customWidth="1"/>
    <col min="4" max="4" width="15.140625" style="5" customWidth="1"/>
    <col min="5" max="5" width="12.7109375" style="5" customWidth="1"/>
    <col min="6" max="16384" width="9.140625" style="5"/>
  </cols>
  <sheetData>
    <row r="1" spans="1:5" ht="78.75" x14ac:dyDescent="0.25">
      <c r="A1" s="15" t="s">
        <v>3035</v>
      </c>
      <c r="B1" s="12" t="s">
        <v>3034</v>
      </c>
      <c r="C1" s="12" t="s">
        <v>3033</v>
      </c>
      <c r="D1" s="12" t="s">
        <v>3032</v>
      </c>
      <c r="E1" s="13" t="s">
        <v>2908</v>
      </c>
    </row>
    <row r="2" spans="1:5" ht="31.5" x14ac:dyDescent="0.25">
      <c r="A2" s="10"/>
      <c r="B2" s="11" t="s">
        <v>3031</v>
      </c>
      <c r="C2" s="11" t="s">
        <v>3029</v>
      </c>
      <c r="D2" s="11" t="s">
        <v>3023</v>
      </c>
      <c r="E2" s="14"/>
    </row>
    <row r="3" spans="1:5" ht="31.5" x14ac:dyDescent="0.25">
      <c r="A3" s="10"/>
      <c r="B3" s="11" t="s">
        <v>3030</v>
      </c>
      <c r="C3" s="11" t="s">
        <v>3029</v>
      </c>
      <c r="D3" s="11" t="s">
        <v>3023</v>
      </c>
      <c r="E3" s="14"/>
    </row>
    <row r="4" spans="1:5" ht="31.5" x14ac:dyDescent="0.25">
      <c r="A4" s="10"/>
      <c r="B4" s="11" t="s">
        <v>3028</v>
      </c>
      <c r="C4" s="11" t="s">
        <v>3024</v>
      </c>
      <c r="D4" s="11" t="s">
        <v>3023</v>
      </c>
      <c r="E4" s="14"/>
    </row>
    <row r="5" spans="1:5" ht="15.75" x14ac:dyDescent="0.25">
      <c r="A5" s="10"/>
      <c r="B5" s="11" t="s">
        <v>3027</v>
      </c>
      <c r="C5" s="11" t="s">
        <v>3026</v>
      </c>
      <c r="D5" s="11" t="s">
        <v>3023</v>
      </c>
      <c r="E5" s="14"/>
    </row>
    <row r="6" spans="1:5" ht="31.5" x14ac:dyDescent="0.25">
      <c r="A6" s="10"/>
      <c r="B6" s="11" t="s">
        <v>3025</v>
      </c>
      <c r="C6" s="11" t="s">
        <v>3024</v>
      </c>
      <c r="D6" s="11" t="s">
        <v>3023</v>
      </c>
      <c r="E6" s="14"/>
    </row>
    <row r="7" spans="1:5" ht="48" thickBot="1" x14ac:dyDescent="0.3">
      <c r="A7" s="8"/>
      <c r="B7" s="9" t="s">
        <v>3022</v>
      </c>
      <c r="C7" s="9" t="s">
        <v>3021</v>
      </c>
      <c r="D7" s="9" t="s">
        <v>3020</v>
      </c>
      <c r="E7" s="16"/>
    </row>
  </sheetData>
  <conditionalFormatting sqref="A1:E7">
    <cfRule type="containsText" dxfId="230" priority="1" stopIfTrue="1" operator="containsText" text="С ЛИСТА">
      <formula>NOT(ISERROR(SEARCH("С ЛИСТА",A1)))</formula>
    </cfRule>
    <cfRule type="containsText" dxfId="229" priority="2" stopIfTrue="1" operator="containsText" text="ИЗ ФАЙЛА">
      <formula>NOT(ISERROR(SEARCH("ИЗ ФАЙЛА",A1)))</formula>
    </cfRule>
    <cfRule type="containsText" dxfId="228" priority="3" stopIfTrue="1" operator="containsText" text="!!!">
      <formula>NOT(ISERROR(SEARCH("!!!",A1)))</formula>
    </cfRule>
    <cfRule type="containsText" dxfId="227" priority="4" stopIfTrue="1" operator="containsText" text=" Заполнения проёмов ">
      <formula>NOT(ISERROR(SEARCH(" Заполнения проёмов ",A1)))</formula>
    </cfRule>
    <cfRule type="containsText" dxfId="226" priority="5" stopIfTrue="1" operator="containsText" text=" Сборочные единицы ">
      <formula>NOT(ISERROR(SEARCH(" Сборочные единицы ",A1)))</formula>
    </cfRule>
    <cfRule type="containsText" dxfId="225" priority="6" stopIfTrue="1" operator="containsText" text=" Заполнения проёмов ">
      <formula>NOT(ISERROR(SEARCH(" Заполнения проёмов ",A1)))</formula>
    </cfRule>
    <cfRule type="containsText" dxfId="224" priority="7" stopIfTrue="1" operator="containsText" text=" Сборочные единицы ">
      <formula>NOT(ISERROR(SEARCH(" Сборочные единицы ",A1)))</formula>
    </cfRule>
    <cfRule type="containsText" dxfId="223" priority="8" stopIfTrue="1" operator="containsText" text=" Изделия ">
      <formula>NOT(ISERROR(SEARCH(" Изделия ",A1)))</formula>
    </cfRule>
    <cfRule type="containsText" dxfId="222" priority="9" stopIfTrue="1" operator="containsText" text=" Материалы ">
      <formula>NOT(ISERROR(SEARCH(" Материалы ",A1)))</formula>
    </cfRule>
    <cfRule type="containsText" dxfId="221" priority="10" stopIfTrue="1" operator="containsText" text=" Изделия арматурные ">
      <formula>NOT(ISERROR(SEARCH(" Изделия арматурные ",A1)))</formula>
    </cfRule>
    <cfRule type="containsText" dxfId="220" priority="11" stopIfTrue="1" operator="containsText" text=" Прокат ">
      <formula>NOT(ISERROR(SEARCH(" Прокат ",A1)))</formula>
    </cfRule>
    <cfRule type="containsText" dxfId="219" priority="12" stopIfTrue="1" operator="containsText" text="Элементы на отм.">
      <formula>NOT(ISERROR(SEARCH("Элементы на отм.",A1)))</formula>
    </cfRule>
    <cfRule type="containsText" dxfId="218" priority="13" stopIfTrue="1" operator="containsText" text=", на ">
      <formula>NOT(ISERROR(SEARCH(", на ",A1)))</formula>
    </cfRule>
    <cfRule type="containsText" dxfId="217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16" zoomScale="85" zoomScaleNormal="85" workbookViewId="0">
      <selection activeCell="E47" sqref="E47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45" t="str">
        <f t="shared" ref="A3:A13" si="0">A4</f>
        <v>Бм1</v>
      </c>
      <c r="B3" s="44" t="s">
        <v>2979</v>
      </c>
      <c r="C3" s="44"/>
      <c r="D3" s="44" t="s">
        <v>3226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31.5" x14ac:dyDescent="0.25">
      <c r="A4" s="45" t="str">
        <f t="shared" si="0"/>
        <v>Бм1</v>
      </c>
      <c r="B4" s="44" t="s">
        <v>2979</v>
      </c>
      <c r="C4" s="44"/>
      <c r="D4" s="44" t="s">
        <v>3253</v>
      </c>
      <c r="E4" s="44">
        <v>105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31.5" x14ac:dyDescent="0.25">
      <c r="A5" s="45" t="str">
        <f t="shared" si="0"/>
        <v>Бм1</v>
      </c>
      <c r="B5" s="44" t="s">
        <v>2979</v>
      </c>
      <c r="C5" s="44"/>
      <c r="D5" s="44" t="s">
        <v>3252</v>
      </c>
      <c r="E5" s="44">
        <v>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31.5" x14ac:dyDescent="0.25">
      <c r="A6" s="45" t="str">
        <f t="shared" si="0"/>
        <v>Бм1</v>
      </c>
      <c r="B6" s="44" t="s">
        <v>2979</v>
      </c>
      <c r="C6" s="44"/>
      <c r="D6" s="44" t="s">
        <v>3251</v>
      </c>
      <c r="E6" s="44">
        <v>60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 t="shared" si="0"/>
        <v>Бм1</v>
      </c>
      <c r="B7" s="44" t="s">
        <v>2979</v>
      </c>
      <c r="C7" s="44" t="s">
        <v>3098</v>
      </c>
      <c r="D7" s="44" t="s">
        <v>3225</v>
      </c>
      <c r="E7" s="44">
        <f>E8*E9*E10/(1000*1000*1000)</f>
        <v>6.02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 t="shared" si="0"/>
        <v>Бм1</v>
      </c>
      <c r="B8" s="44" t="s">
        <v>2979</v>
      </c>
      <c r="C8" s="44"/>
      <c r="D8" s="44" t="s">
        <v>3012</v>
      </c>
      <c r="E8" s="44">
        <v>30100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 t="shared" si="0"/>
        <v>Бм1</v>
      </c>
      <c r="B9" s="44" t="s">
        <v>2979</v>
      </c>
      <c r="C9" s="44"/>
      <c r="D9" s="44" t="s">
        <v>3250</v>
      </c>
      <c r="E9" s="44">
        <v>500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5.75" x14ac:dyDescent="0.25">
      <c r="A10" s="45" t="str">
        <f t="shared" si="0"/>
        <v>Бм1</v>
      </c>
      <c r="B10" s="44" t="s">
        <v>2979</v>
      </c>
      <c r="C10" s="44"/>
      <c r="D10" s="44" t="s">
        <v>3249</v>
      </c>
      <c r="E10" s="44">
        <v>400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5.75" x14ac:dyDescent="0.25">
      <c r="A11" s="45" t="str">
        <f t="shared" si="0"/>
        <v>Бм1</v>
      </c>
      <c r="B11" s="44" t="s">
        <v>2979</v>
      </c>
      <c r="C11" s="44" t="s">
        <v>3248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3"/>
    </row>
    <row r="12" spans="1:21" ht="15.75" x14ac:dyDescent="0.25">
      <c r="A12" s="45" t="str">
        <f t="shared" si="0"/>
        <v>Бм1</v>
      </c>
      <c r="B12" s="44" t="s">
        <v>2979</v>
      </c>
      <c r="C12" s="44" t="s">
        <v>3247</v>
      </c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5.75" x14ac:dyDescent="0.25">
      <c r="A13" s="45" t="str">
        <f t="shared" si="0"/>
        <v>Бм1</v>
      </c>
      <c r="B13" s="44" t="s">
        <v>2979</v>
      </c>
      <c r="C13" s="44" t="s">
        <v>3246</v>
      </c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5.75" x14ac:dyDescent="0.25">
      <c r="A14" s="42" t="str">
        <f>B14</f>
        <v>Бм1</v>
      </c>
      <c r="B14" s="41" t="s">
        <v>3257</v>
      </c>
      <c r="C14" s="41"/>
      <c r="D14" s="41" t="s">
        <v>3256</v>
      </c>
      <c r="E14" s="41">
        <v>1</v>
      </c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0"/>
    </row>
    <row r="15" spans="1:21" ht="15.75" x14ac:dyDescent="0.25">
      <c r="A15" s="74" t="str">
        <f t="shared" ref="A15:A20" si="1">A14</f>
        <v>Бм1</v>
      </c>
      <c r="B15" s="73"/>
      <c r="C15" s="49" t="s">
        <v>3081</v>
      </c>
      <c r="D15" s="49" t="s">
        <v>3219</v>
      </c>
      <c r="E15" s="49">
        <f>E7/1.15</f>
        <v>5.2347826086956522</v>
      </c>
      <c r="F15" s="44" t="s">
        <v>4</v>
      </c>
      <c r="G15" s="73" t="s">
        <v>3</v>
      </c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5"/>
    </row>
    <row r="16" spans="1:21" ht="31.5" x14ac:dyDescent="0.25">
      <c r="A16" s="74" t="str">
        <f t="shared" si="1"/>
        <v>Бм1</v>
      </c>
      <c r="B16" s="73">
        <v>1</v>
      </c>
      <c r="C16" s="73" t="s">
        <v>3066</v>
      </c>
      <c r="D16" s="73" t="s">
        <v>3243</v>
      </c>
      <c r="E16" s="73">
        <v>4</v>
      </c>
      <c r="F16" s="44">
        <v>1.5780000000000001</v>
      </c>
      <c r="G16" s="73" t="s">
        <v>20</v>
      </c>
      <c r="H16" s="73">
        <f>34020</f>
        <v>34020</v>
      </c>
      <c r="I16" s="73">
        <v>16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790</v>
      </c>
      <c r="T16" s="73">
        <v>945</v>
      </c>
      <c r="U16" s="75">
        <v>40</v>
      </c>
    </row>
    <row r="17" spans="1:21" ht="31.5" x14ac:dyDescent="0.25">
      <c r="A17" s="74" t="str">
        <f t="shared" si="1"/>
        <v>Бм1</v>
      </c>
      <c r="B17" s="73">
        <v>2</v>
      </c>
      <c r="C17" s="73" t="s">
        <v>3066</v>
      </c>
      <c r="D17" s="73" t="s">
        <v>3242</v>
      </c>
      <c r="E17" s="73">
        <v>4</v>
      </c>
      <c r="F17" s="44">
        <v>2.4660000000000002</v>
      </c>
      <c r="G17" s="73" t="s">
        <v>20</v>
      </c>
      <c r="H17" s="73">
        <f>30100</f>
        <v>30100</v>
      </c>
      <c r="I17" s="73">
        <v>20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985</v>
      </c>
      <c r="T17" s="73">
        <v>1180</v>
      </c>
      <c r="U17" s="75">
        <v>80</v>
      </c>
    </row>
    <row r="18" spans="1:21" ht="31.5" x14ac:dyDescent="0.25">
      <c r="A18" s="74" t="str">
        <f t="shared" si="1"/>
        <v>Бм1</v>
      </c>
      <c r="B18" s="73">
        <v>3</v>
      </c>
      <c r="C18" s="73" t="s">
        <v>3066</v>
      </c>
      <c r="D18" s="73" t="s">
        <v>3241</v>
      </c>
      <c r="E18" s="73">
        <v>4</v>
      </c>
      <c r="F18" s="44">
        <v>2.984</v>
      </c>
      <c r="G18" s="73" t="s">
        <v>20</v>
      </c>
      <c r="H18" s="73">
        <f>30930</f>
        <v>30930</v>
      </c>
      <c r="I18" s="73">
        <v>22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1085</v>
      </c>
      <c r="T18" s="73">
        <v>1300</v>
      </c>
      <c r="U18" s="75">
        <v>88</v>
      </c>
    </row>
    <row r="19" spans="1:21" ht="31.5" x14ac:dyDescent="0.25">
      <c r="A19" s="74" t="str">
        <f t="shared" si="1"/>
        <v>Бм1</v>
      </c>
      <c r="B19" s="73">
        <v>4</v>
      </c>
      <c r="C19" s="73" t="s">
        <v>3066</v>
      </c>
      <c r="D19" s="73" t="s">
        <v>3238</v>
      </c>
      <c r="E19" s="73">
        <v>2</v>
      </c>
      <c r="F19" s="44">
        <v>1.5780000000000001</v>
      </c>
      <c r="G19" s="73"/>
      <c r="H19" s="73">
        <f>5300</f>
        <v>5300</v>
      </c>
      <c r="I19" s="73">
        <v>16</v>
      </c>
      <c r="J19" s="73" t="s">
        <v>2</v>
      </c>
      <c r="K19" s="73"/>
      <c r="L19" s="73"/>
      <c r="M19" s="73"/>
      <c r="N19" s="73"/>
      <c r="O19" s="73"/>
      <c r="P19" s="73"/>
      <c r="Q19" s="73"/>
      <c r="R19" s="73"/>
      <c r="S19" s="73">
        <v>790</v>
      </c>
      <c r="T19" s="73">
        <v>945</v>
      </c>
      <c r="U19" s="75">
        <v>40</v>
      </c>
    </row>
    <row r="20" spans="1:21" ht="31.5" x14ac:dyDescent="0.25">
      <c r="A20" s="74" t="str">
        <f t="shared" si="1"/>
        <v>Бм1</v>
      </c>
      <c r="B20" s="73">
        <v>5</v>
      </c>
      <c r="C20" s="73" t="s">
        <v>3066</v>
      </c>
      <c r="D20" s="73" t="s">
        <v>3255</v>
      </c>
      <c r="E20" s="73">
        <v>2</v>
      </c>
      <c r="F20" s="44">
        <v>0.61599999999999999</v>
      </c>
      <c r="G20" s="73" t="s">
        <v>20</v>
      </c>
      <c r="H20" s="73">
        <f>Арм_Длина_ПМ(31100,T18)</f>
        <v>35000</v>
      </c>
      <c r="I20" s="73">
        <v>10</v>
      </c>
      <c r="J20" s="73" t="s">
        <v>2</v>
      </c>
      <c r="K20" s="73"/>
      <c r="L20" s="73"/>
      <c r="M20" s="73"/>
      <c r="N20" s="73"/>
      <c r="O20" s="73"/>
      <c r="P20" s="73"/>
      <c r="Q20" s="73"/>
      <c r="R20" s="73"/>
      <c r="S20" s="73">
        <v>495</v>
      </c>
      <c r="T20" s="73">
        <v>590</v>
      </c>
      <c r="U20" s="75">
        <v>25</v>
      </c>
    </row>
    <row r="21" spans="1:21" ht="15.75" x14ac:dyDescent="0.25">
      <c r="A21" s="74" t="str">
        <f>A19</f>
        <v>Бм1</v>
      </c>
      <c r="B21" s="73">
        <v>6</v>
      </c>
      <c r="C21" s="73" t="s">
        <v>3066</v>
      </c>
      <c r="D21" s="73" t="s">
        <v>3254</v>
      </c>
      <c r="E21" s="73">
        <v>72</v>
      </c>
      <c r="F21" s="44">
        <v>0.222</v>
      </c>
      <c r="G21" s="73" t="s">
        <v>0</v>
      </c>
      <c r="H21" s="73">
        <f>625</f>
        <v>625</v>
      </c>
      <c r="I21" s="73">
        <v>6</v>
      </c>
      <c r="J21" s="73" t="s">
        <v>1</v>
      </c>
      <c r="K21" s="73"/>
      <c r="L21" s="73"/>
      <c r="M21" s="73"/>
      <c r="N21" s="73"/>
      <c r="O21" s="73"/>
      <c r="P21" s="73"/>
      <c r="Q21" s="73"/>
      <c r="R21" s="73"/>
      <c r="S21" s="73">
        <v>200</v>
      </c>
      <c r="T21" s="73">
        <v>250</v>
      </c>
      <c r="U21" s="75">
        <v>7.5</v>
      </c>
    </row>
    <row r="22" spans="1:21" ht="15.75" x14ac:dyDescent="0.25">
      <c r="A22" s="74" t="str">
        <f>A21</f>
        <v>Бм1</v>
      </c>
      <c r="B22" s="73">
        <v>7</v>
      </c>
      <c r="C22" s="73" t="s">
        <v>3066</v>
      </c>
      <c r="D22" s="73" t="s">
        <v>3240</v>
      </c>
      <c r="E22" s="73">
        <v>440</v>
      </c>
      <c r="F22" s="44">
        <v>0.39500000000000002</v>
      </c>
      <c r="G22" s="73" t="s">
        <v>0</v>
      </c>
      <c r="H22" s="73">
        <f>1910</f>
        <v>1910</v>
      </c>
      <c r="I22" s="73">
        <v>8</v>
      </c>
      <c r="J22" s="73" t="s">
        <v>1</v>
      </c>
      <c r="K22" s="73"/>
      <c r="L22" s="73"/>
      <c r="M22" s="73"/>
      <c r="N22" s="73"/>
      <c r="O22" s="73"/>
      <c r="P22" s="73"/>
      <c r="Q22" s="73"/>
      <c r="R22" s="73"/>
      <c r="S22" s="73">
        <v>200</v>
      </c>
      <c r="T22" s="73">
        <v>250</v>
      </c>
      <c r="U22" s="75">
        <v>10</v>
      </c>
    </row>
    <row r="23" spans="1:21" ht="15.75" x14ac:dyDescent="0.25">
      <c r="A23" s="74" t="str">
        <f>A22</f>
        <v>Бм1</v>
      </c>
      <c r="B23" s="73">
        <v>5</v>
      </c>
      <c r="C23" s="73" t="s">
        <v>3066</v>
      </c>
      <c r="D23" s="73" t="s">
        <v>3239</v>
      </c>
      <c r="E23" s="73">
        <v>8</v>
      </c>
      <c r="F23" s="44">
        <v>0.39500000000000002</v>
      </c>
      <c r="G23" s="73" t="s">
        <v>0</v>
      </c>
      <c r="H23" s="73">
        <f>1840</f>
        <v>1840</v>
      </c>
      <c r="I23" s="73">
        <v>8</v>
      </c>
      <c r="J23" s="73" t="s">
        <v>1</v>
      </c>
      <c r="K23" s="73"/>
      <c r="L23" s="73"/>
      <c r="M23" s="73"/>
      <c r="N23" s="73"/>
      <c r="O23" s="73"/>
      <c r="P23" s="73"/>
      <c r="Q23" s="73"/>
      <c r="R23" s="73"/>
      <c r="S23" s="73">
        <v>200</v>
      </c>
      <c r="T23" s="73">
        <v>250</v>
      </c>
      <c r="U23" s="75">
        <v>10</v>
      </c>
    </row>
    <row r="24" spans="1:21" ht="15.75" x14ac:dyDescent="0.25">
      <c r="A24" s="74" t="str">
        <f>A22</f>
        <v>Бм1</v>
      </c>
      <c r="B24" s="51"/>
      <c r="C24" s="51" t="s">
        <v>3172</v>
      </c>
      <c r="D24" s="51" t="s">
        <v>3237</v>
      </c>
      <c r="E24" s="51">
        <v>16</v>
      </c>
      <c r="F24" s="44">
        <v>157</v>
      </c>
      <c r="G24" s="73"/>
      <c r="H24" s="73"/>
      <c r="I24" s="73"/>
      <c r="J24" s="73"/>
      <c r="K24" s="44">
        <v>10000</v>
      </c>
      <c r="L24" s="73" t="s">
        <v>2850</v>
      </c>
      <c r="M24" s="73" t="s">
        <v>2870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31.5" x14ac:dyDescent="0.25">
      <c r="A25" s="45" t="str">
        <f t="shared" ref="A25:A34" si="2">A26</f>
        <v>Бм2</v>
      </c>
      <c r="B25" s="44" t="s">
        <v>2979</v>
      </c>
      <c r="C25" s="44"/>
      <c r="D25" s="44" t="s">
        <v>3253</v>
      </c>
      <c r="E25" s="44">
        <v>90</v>
      </c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3"/>
    </row>
    <row r="26" spans="1:21" ht="31.5" x14ac:dyDescent="0.25">
      <c r="A26" s="45" t="str">
        <f t="shared" si="2"/>
        <v>Бм2</v>
      </c>
      <c r="B26" s="44" t="s">
        <v>2979</v>
      </c>
      <c r="C26" s="44"/>
      <c r="D26" s="44" t="s">
        <v>3252</v>
      </c>
      <c r="E26" s="44">
        <v>50</v>
      </c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3"/>
    </row>
    <row r="27" spans="1:21" ht="31.5" x14ac:dyDescent="0.25">
      <c r="A27" s="45" t="str">
        <f t="shared" si="2"/>
        <v>Бм2</v>
      </c>
      <c r="B27" s="44" t="s">
        <v>2979</v>
      </c>
      <c r="C27" s="44"/>
      <c r="D27" s="44" t="s">
        <v>3251</v>
      </c>
      <c r="E27" s="44">
        <v>60</v>
      </c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3"/>
    </row>
    <row r="28" spans="1:21" ht="15.75" x14ac:dyDescent="0.25">
      <c r="A28" s="45" t="str">
        <f t="shared" si="2"/>
        <v>Бм2</v>
      </c>
      <c r="B28" s="44" t="s">
        <v>2979</v>
      </c>
      <c r="C28" s="44" t="s">
        <v>3098</v>
      </c>
      <c r="D28" s="44" t="s">
        <v>3225</v>
      </c>
      <c r="E28" s="44">
        <f>E29*E30*E31/(1000*1000*1000)</f>
        <v>1.75</v>
      </c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3"/>
    </row>
    <row r="29" spans="1:21" ht="15.75" x14ac:dyDescent="0.25">
      <c r="A29" s="45" t="str">
        <f t="shared" si="2"/>
        <v>Бм2</v>
      </c>
      <c r="B29" s="44" t="s">
        <v>2979</v>
      </c>
      <c r="C29" s="44"/>
      <c r="D29" s="44" t="s">
        <v>3012</v>
      </c>
      <c r="E29" s="44">
        <f>8750*2</f>
        <v>17500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3"/>
    </row>
    <row r="30" spans="1:21" ht="15.75" x14ac:dyDescent="0.25">
      <c r="A30" s="45" t="str">
        <f t="shared" si="2"/>
        <v>Бм2</v>
      </c>
      <c r="B30" s="44" t="s">
        <v>2979</v>
      </c>
      <c r="C30" s="44"/>
      <c r="D30" s="44" t="s">
        <v>3250</v>
      </c>
      <c r="E30" s="44">
        <v>500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3"/>
    </row>
    <row r="31" spans="1:21" ht="15.75" x14ac:dyDescent="0.25">
      <c r="A31" s="45" t="str">
        <f t="shared" si="2"/>
        <v>Бм2</v>
      </c>
      <c r="B31" s="44" t="s">
        <v>2979</v>
      </c>
      <c r="C31" s="44"/>
      <c r="D31" s="44" t="s">
        <v>3249</v>
      </c>
      <c r="E31" s="44">
        <v>200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3"/>
    </row>
    <row r="32" spans="1:21" ht="15.75" x14ac:dyDescent="0.25">
      <c r="A32" s="45" t="str">
        <f t="shared" si="2"/>
        <v>Бм2</v>
      </c>
      <c r="B32" s="44" t="s">
        <v>2979</v>
      </c>
      <c r="C32" s="44" t="s">
        <v>3248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3"/>
    </row>
    <row r="33" spans="1:21" ht="15.75" x14ac:dyDescent="0.25">
      <c r="A33" s="45" t="str">
        <f t="shared" si="2"/>
        <v>Бм2</v>
      </c>
      <c r="B33" s="44" t="s">
        <v>2979</v>
      </c>
      <c r="C33" s="44" t="s">
        <v>3247</v>
      </c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3"/>
    </row>
    <row r="34" spans="1:21" ht="15.75" x14ac:dyDescent="0.25">
      <c r="A34" s="45" t="str">
        <f t="shared" si="2"/>
        <v>Бм2</v>
      </c>
      <c r="B34" s="44" t="s">
        <v>2979</v>
      </c>
      <c r="C34" s="44" t="s">
        <v>3246</v>
      </c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3"/>
    </row>
    <row r="35" spans="1:21" ht="15.75" x14ac:dyDescent="0.25">
      <c r="A35" s="42" t="str">
        <f>B35</f>
        <v>Бм2</v>
      </c>
      <c r="B35" s="41" t="s">
        <v>3245</v>
      </c>
      <c r="C35" s="41"/>
      <c r="D35" s="41" t="s">
        <v>3244</v>
      </c>
      <c r="E35" s="41">
        <v>2</v>
      </c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0"/>
    </row>
    <row r="36" spans="1:21" ht="15.75" x14ac:dyDescent="0.25">
      <c r="A36" s="74" t="str">
        <f t="shared" ref="A36:A41" si="3">A35</f>
        <v>Бм2</v>
      </c>
      <c r="B36" s="73"/>
      <c r="C36" s="49" t="s">
        <v>3081</v>
      </c>
      <c r="D36" s="49" t="s">
        <v>3219</v>
      </c>
      <c r="E36" s="49">
        <f>E28/1.15</f>
        <v>1.5217391304347827</v>
      </c>
      <c r="F36" s="44" t="s">
        <v>4</v>
      </c>
      <c r="G36" s="73" t="s">
        <v>3</v>
      </c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5"/>
    </row>
    <row r="37" spans="1:21" ht="31.5" x14ac:dyDescent="0.25">
      <c r="A37" s="74" t="str">
        <f t="shared" si="3"/>
        <v>Бм2</v>
      </c>
      <c r="B37" s="73">
        <v>1</v>
      </c>
      <c r="C37" s="73" t="s">
        <v>3066</v>
      </c>
      <c r="D37" s="73" t="s">
        <v>3243</v>
      </c>
      <c r="E37" s="73">
        <v>4</v>
      </c>
      <c r="F37" s="44">
        <v>1.5780000000000001</v>
      </c>
      <c r="G37" s="73" t="s">
        <v>20</v>
      </c>
      <c r="H37" s="73">
        <f>Арм_Длина_ПМ(21100,T37)</f>
        <v>22560</v>
      </c>
      <c r="I37" s="73">
        <v>16</v>
      </c>
      <c r="J37" s="73" t="s">
        <v>2</v>
      </c>
      <c r="K37" s="73"/>
      <c r="L37" s="73"/>
      <c r="M37" s="73"/>
      <c r="N37" s="73"/>
      <c r="O37" s="73"/>
      <c r="P37" s="73"/>
      <c r="Q37" s="73"/>
      <c r="R37" s="73"/>
      <c r="S37" s="73">
        <v>605</v>
      </c>
      <c r="T37" s="73">
        <v>730</v>
      </c>
      <c r="U37" s="75">
        <v>40</v>
      </c>
    </row>
    <row r="38" spans="1:21" ht="31.5" x14ac:dyDescent="0.25">
      <c r="A38" s="74" t="str">
        <f t="shared" si="3"/>
        <v>Бм2</v>
      </c>
      <c r="B38" s="73">
        <v>2</v>
      </c>
      <c r="C38" s="73" t="s">
        <v>3066</v>
      </c>
      <c r="D38" s="73" t="s">
        <v>3242</v>
      </c>
      <c r="E38" s="73">
        <v>4</v>
      </c>
      <c r="F38" s="44">
        <v>2.4660000000000002</v>
      </c>
      <c r="G38" s="73" t="s">
        <v>20</v>
      </c>
      <c r="H38" s="73">
        <f>18880</f>
        <v>18880</v>
      </c>
      <c r="I38" s="73">
        <v>20</v>
      </c>
      <c r="J38" s="73" t="s">
        <v>2</v>
      </c>
      <c r="K38" s="73"/>
      <c r="L38" s="73"/>
      <c r="M38" s="73"/>
      <c r="N38" s="73"/>
      <c r="O38" s="73"/>
      <c r="P38" s="73"/>
      <c r="Q38" s="73"/>
      <c r="R38" s="73"/>
      <c r="S38" s="73">
        <v>760</v>
      </c>
      <c r="T38" s="73">
        <v>910</v>
      </c>
      <c r="U38" s="75">
        <v>80</v>
      </c>
    </row>
    <row r="39" spans="1:21" ht="31.5" x14ac:dyDescent="0.25">
      <c r="A39" s="74" t="str">
        <f t="shared" si="3"/>
        <v>Бм2</v>
      </c>
      <c r="B39" s="73">
        <v>3</v>
      </c>
      <c r="C39" s="73" t="s">
        <v>3066</v>
      </c>
      <c r="D39" s="73" t="s">
        <v>3241</v>
      </c>
      <c r="E39" s="73">
        <v>4</v>
      </c>
      <c r="F39" s="44">
        <v>2.984</v>
      </c>
      <c r="G39" s="73" t="s">
        <v>20</v>
      </c>
      <c r="H39" s="73">
        <f>18880</f>
        <v>18880</v>
      </c>
      <c r="I39" s="73">
        <v>22</v>
      </c>
      <c r="J39" s="73" t="s">
        <v>2</v>
      </c>
      <c r="K39" s="73"/>
      <c r="L39" s="73"/>
      <c r="M39" s="73"/>
      <c r="N39" s="73"/>
      <c r="O39" s="73"/>
      <c r="P39" s="73"/>
      <c r="Q39" s="73"/>
      <c r="R39" s="73"/>
      <c r="S39" s="73">
        <v>835</v>
      </c>
      <c r="T39" s="73">
        <v>1000</v>
      </c>
      <c r="U39" s="75">
        <v>88</v>
      </c>
    </row>
    <row r="40" spans="1:21" ht="15.75" x14ac:dyDescent="0.25">
      <c r="A40" s="74" t="str">
        <f t="shared" si="3"/>
        <v>Бм2</v>
      </c>
      <c r="B40" s="73">
        <v>4</v>
      </c>
      <c r="C40" s="73" t="s">
        <v>3066</v>
      </c>
      <c r="D40" s="73" t="s">
        <v>3240</v>
      </c>
      <c r="E40" s="73">
        <v>268</v>
      </c>
      <c r="F40" s="44">
        <v>0.39500000000000002</v>
      </c>
      <c r="G40" s="73" t="s">
        <v>0</v>
      </c>
      <c r="H40" s="73">
        <f>1540</f>
        <v>1540</v>
      </c>
      <c r="I40" s="73">
        <v>8</v>
      </c>
      <c r="J40" s="73" t="s">
        <v>1</v>
      </c>
      <c r="K40" s="73"/>
      <c r="L40" s="73"/>
      <c r="M40" s="73"/>
      <c r="N40" s="73"/>
      <c r="O40" s="73"/>
      <c r="P40" s="73"/>
      <c r="Q40" s="73"/>
      <c r="R40" s="73"/>
      <c r="S40" s="73">
        <v>200</v>
      </c>
      <c r="T40" s="73">
        <v>250</v>
      </c>
      <c r="U40" s="75">
        <v>10</v>
      </c>
    </row>
    <row r="41" spans="1:21" ht="15.75" x14ac:dyDescent="0.25">
      <c r="A41" s="74" t="str">
        <f t="shared" si="3"/>
        <v>Бм2</v>
      </c>
      <c r="B41" s="73">
        <v>5</v>
      </c>
      <c r="C41" s="73" t="s">
        <v>3066</v>
      </c>
      <c r="D41" s="73" t="s">
        <v>3239</v>
      </c>
      <c r="E41" s="73">
        <v>8</v>
      </c>
      <c r="F41" s="44">
        <v>0.39500000000000002</v>
      </c>
      <c r="G41" s="73" t="s">
        <v>0</v>
      </c>
      <c r="H41" s="73">
        <f>1840</f>
        <v>1840</v>
      </c>
      <c r="I41" s="73">
        <v>8</v>
      </c>
      <c r="J41" s="73" t="s">
        <v>1</v>
      </c>
      <c r="K41" s="73"/>
      <c r="L41" s="73"/>
      <c r="M41" s="73"/>
      <c r="N41" s="73"/>
      <c r="O41" s="73"/>
      <c r="P41" s="73"/>
      <c r="Q41" s="73"/>
      <c r="R41" s="73"/>
      <c r="S41" s="73">
        <v>200</v>
      </c>
      <c r="T41" s="73">
        <v>250</v>
      </c>
      <c r="U41" s="75">
        <v>10</v>
      </c>
    </row>
    <row r="42" spans="1:21" ht="31.5" x14ac:dyDescent="0.25">
      <c r="A42" s="74" t="str">
        <f>A40</f>
        <v>Бм2</v>
      </c>
      <c r="B42" s="73">
        <v>5</v>
      </c>
      <c r="C42" s="73" t="s">
        <v>3066</v>
      </c>
      <c r="D42" s="73" t="s">
        <v>3238</v>
      </c>
      <c r="E42" s="73">
        <v>2</v>
      </c>
      <c r="F42" s="44">
        <v>1.5780000000000001</v>
      </c>
      <c r="G42" s="72"/>
      <c r="H42" s="73">
        <f>6340</f>
        <v>6340</v>
      </c>
      <c r="I42" s="73">
        <v>16</v>
      </c>
      <c r="J42" s="73" t="s">
        <v>2</v>
      </c>
      <c r="K42" s="73"/>
      <c r="L42" s="73"/>
      <c r="M42" s="73"/>
      <c r="N42" s="73"/>
      <c r="O42" s="73"/>
      <c r="P42" s="73"/>
      <c r="Q42" s="73"/>
      <c r="R42" s="73"/>
      <c r="S42" s="73">
        <v>605</v>
      </c>
      <c r="T42" s="73">
        <v>730</v>
      </c>
      <c r="U42" s="75">
        <v>40</v>
      </c>
    </row>
    <row r="43" spans="1:21" ht="16.5" thickBot="1" x14ac:dyDescent="0.3">
      <c r="A43" s="76" t="str">
        <f>A42</f>
        <v>Бм2</v>
      </c>
      <c r="B43" s="50"/>
      <c r="C43" s="50" t="s">
        <v>3172</v>
      </c>
      <c r="D43" s="50" t="s">
        <v>3237</v>
      </c>
      <c r="E43" s="50">
        <v>16</v>
      </c>
      <c r="F43" s="46">
        <v>157</v>
      </c>
      <c r="G43" s="77"/>
      <c r="H43" s="77"/>
      <c r="I43" s="77"/>
      <c r="J43" s="77"/>
      <c r="K43" s="46">
        <v>10000</v>
      </c>
      <c r="L43" s="77" t="s">
        <v>2850</v>
      </c>
      <c r="M43" s="77" t="s">
        <v>2870</v>
      </c>
      <c r="N43" s="77"/>
      <c r="O43" s="77" t="s">
        <v>5</v>
      </c>
      <c r="P43" s="77"/>
      <c r="Q43" s="77"/>
      <c r="R43" s="77"/>
      <c r="S43" s="77"/>
      <c r="T43" s="77"/>
      <c r="U43" s="78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3 H2:Q2 K1 R1:S1 S2:U2">
    <cfRule type="containsText" dxfId="216" priority="15" stopIfTrue="1" operator="containsText" text="шт.)">
      <formula>NOT(ISERROR(SEARCH("шт.)",A1)))</formula>
    </cfRule>
    <cfRule type="containsText" dxfId="215" priority="14" stopIfTrue="1" operator="containsText" text=", на ">
      <formula>NOT(ISERROR(SEARCH(", на ",A1)))</formula>
    </cfRule>
    <cfRule type="containsText" dxfId="214" priority="13" stopIfTrue="1" operator="containsText" text="Элементы на отм.">
      <formula>NOT(ISERROR(SEARCH("Элементы на отм.",A1)))</formula>
    </cfRule>
    <cfRule type="containsText" dxfId="213" priority="12" stopIfTrue="1" operator="containsText" text=" Прокат ">
      <formula>NOT(ISERROR(SEARCH(" Прокат ",A1)))</formula>
    </cfRule>
    <cfRule type="containsText" dxfId="212" priority="11" stopIfTrue="1" operator="containsText" text=" Изделия арматурные ">
      <formula>NOT(ISERROR(SEARCH(" Изделия арматурные ",A1)))</formula>
    </cfRule>
    <cfRule type="containsText" dxfId="211" priority="10" stopIfTrue="1" operator="containsText" text=" Материалы ">
      <formula>NOT(ISERROR(SEARCH(" Материалы ",A1)))</formula>
    </cfRule>
    <cfRule type="containsText" dxfId="210" priority="9" stopIfTrue="1" operator="containsText" text=" Изделия ">
      <formula>NOT(ISERROR(SEARCH(" Изделия ",A1)))</formula>
    </cfRule>
    <cfRule type="containsText" dxfId="209" priority="8" stopIfTrue="1" operator="containsText" text=" Сборочные единицы ">
      <formula>NOT(ISERROR(SEARCH(" Сборочные единицы ",A1)))</formula>
    </cfRule>
    <cfRule type="containsText" dxfId="208" priority="7" stopIfTrue="1" operator="containsText" text=" Заполнения проёмов ">
      <formula>NOT(ISERROR(SEARCH(" Заполнения проёмов ",A1)))</formula>
    </cfRule>
    <cfRule type="containsText" dxfId="207" priority="6" stopIfTrue="1" operator="containsText" text=" Сборочные единицы ">
      <formula>NOT(ISERROR(SEARCH(" Сборочные единицы ",A1)))</formula>
    </cfRule>
    <cfRule type="containsText" dxfId="206" priority="5" stopIfTrue="1" operator="containsText" text=" Заполнения проёмов ">
      <formula>NOT(ISERROR(SEARCH(" Заполнения проёмов ",A1)))</formula>
    </cfRule>
    <cfRule type="containsText" dxfId="205" priority="4" stopIfTrue="1" operator="containsText" text="!!!">
      <formula>NOT(ISERROR(SEARCH("!!!",A1)))</formula>
    </cfRule>
    <cfRule type="containsText" dxfId="204" priority="3" stopIfTrue="1" operator="containsText" text="ИЗ ФАЙЛА">
      <formula>NOT(ISERROR(SEARCH("ИЗ ФАЙЛА",A1)))</formula>
    </cfRule>
    <cfRule type="containsText" dxfId="203" priority="2" stopIfTrue="1" operator="containsText" text="С ЛИСТА">
      <formula>NOT(ISERROR(SEARCH("С ЛИСТА",A1)))</formula>
    </cfRule>
  </conditionalFormatting>
  <conditionalFormatting sqref="A1:U1048576">
    <cfRule type="expression" dxfId="202" priority="1">
      <formula>ISERROR(A1)</formula>
    </cfRule>
  </conditionalFormatting>
  <dataValidations count="21">
    <dataValidation type="list" errorStyle="warning" allowBlank="1" showInputMessage="1" showErrorMessage="1" sqref="G3:G43">
      <formula1>#REF!</formula1>
    </dataValidation>
    <dataValidation type="list" allowBlank="1" showInputMessage="1" showErrorMessage="1" sqref="J3:J43">
      <formula1>#REF!</formula1>
    </dataValidation>
    <dataValidation type="list" allowBlank="1" showInputMessage="1" showErrorMessage="1" sqref="L3:L43">
      <formula1>#REF!</formula1>
    </dataValidation>
    <dataValidation type="list" allowBlank="1" showInputMessage="1" showErrorMessage="1" sqref="O3:O43">
      <formula1>#REF!</formula1>
    </dataValidation>
    <dataValidation type="list" allowBlank="1" showInputMessage="1" showErrorMessage="1" sqref="P3:P43">
      <formula1>#REF!</formula1>
    </dataValidation>
    <dataValidation type="list" allowBlank="1" showInputMessage="1" showErrorMessage="1" sqref="I16">
      <formula1>#REF!</formula1>
    </dataValidation>
    <dataValidation type="list" allowBlank="1" showInputMessage="1" showErrorMessage="1" sqref="I17">
      <formula1>#REF!</formula1>
    </dataValidation>
    <dataValidation type="list" allowBlank="1" showInputMessage="1" showErrorMessage="1" sqref="I18">
      <formula1>#REF!</formula1>
    </dataValidation>
    <dataValidation type="list" allowBlank="1" showInputMessage="1" showErrorMessage="1" sqref="I19">
      <formula1>#REF!</formula1>
    </dataValidation>
    <dataValidation type="list" allowBlank="1" showInputMessage="1" showErrorMessage="1" sqref="I20">
      <formula1>#REF!</formula1>
    </dataValidation>
    <dataValidation type="list" allowBlank="1" showInputMessage="1" showErrorMessage="1" sqref="I21">
      <formula1>#REF!</formula1>
    </dataValidation>
    <dataValidation type="list" allowBlank="1" showInputMessage="1" showErrorMessage="1" sqref="I22">
      <formula1>#REF!</formula1>
    </dataValidation>
    <dataValidation type="list" allowBlank="1" showInputMessage="1" showErrorMessage="1" sqref="I23">
      <formula1>#REF!</formula1>
    </dataValidation>
    <dataValidation type="list" allowBlank="1" showInputMessage="1" showErrorMessage="1" sqref="M24">
      <formula1>#REF!</formula1>
    </dataValidation>
    <dataValidation type="list" allowBlank="1" showInputMessage="1" showErrorMessage="1" sqref="I37">
      <formula1>#REF!</formula1>
    </dataValidation>
    <dataValidation type="list" allowBlank="1" showInputMessage="1" showErrorMessage="1" sqref="I38">
      <formula1>#REF!</formula1>
    </dataValidation>
    <dataValidation type="list" allowBlank="1" showInputMessage="1" showErrorMessage="1" sqref="I39">
      <formula1>#REF!</formula1>
    </dataValidation>
    <dataValidation type="list" allowBlank="1" showInputMessage="1" showErrorMessage="1" sqref="I40">
      <formula1>#REF!</formula1>
    </dataValidation>
    <dataValidation type="list" allowBlank="1" showInputMessage="1" showErrorMessage="1" sqref="I41">
      <formula1>#REF!</formula1>
    </dataValidation>
    <dataValidation type="list" allowBlank="1" showInputMessage="1" showErrorMessage="1" sqref="I42">
      <formula1>#REF!</formula1>
    </dataValidation>
    <dataValidation type="list" allowBlank="1" showInputMessage="1" showErrorMessage="1" sqref="M43">
      <formula1>#REF!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  <pageSetUpPr fitToPage="1"/>
  </sheetPr>
  <dimension ref="A1:R25"/>
  <sheetViews>
    <sheetView topLeftCell="A13" workbookViewId="0">
      <selection activeCell="L33" sqref="L33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1.5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5.75" x14ac:dyDescent="0.25">
      <c r="A2" s="148" t="s">
        <v>2995</v>
      </c>
      <c r="B2" s="149"/>
      <c r="C2" s="149"/>
      <c r="D2" s="149"/>
      <c r="E2" s="149"/>
      <c r="F2" s="150"/>
    </row>
    <row r="3" spans="1:6" ht="31.5" x14ac:dyDescent="0.25">
      <c r="A3" s="10" t="s">
        <v>2902</v>
      </c>
      <c r="B3" s="151" t="s">
        <v>2991</v>
      </c>
      <c r="C3" s="11" t="s">
        <v>2994</v>
      </c>
      <c r="D3" s="11">
        <v>24</v>
      </c>
      <c r="E3" s="11" t="s">
        <v>4</v>
      </c>
      <c r="F3" s="14" t="s">
        <v>4</v>
      </c>
    </row>
    <row r="4" spans="1:6" ht="31.5" x14ac:dyDescent="0.25">
      <c r="A4" s="10" t="s">
        <v>2902</v>
      </c>
      <c r="B4" s="151"/>
      <c r="C4" s="11" t="s">
        <v>2993</v>
      </c>
      <c r="D4" s="11">
        <v>16</v>
      </c>
      <c r="E4" s="11" t="s">
        <v>4</v>
      </c>
      <c r="F4" s="14" t="s">
        <v>4</v>
      </c>
    </row>
    <row r="5" spans="1:6" ht="31.5" x14ac:dyDescent="0.25">
      <c r="A5" s="10" t="s">
        <v>2902</v>
      </c>
      <c r="B5" s="151"/>
      <c r="C5" s="11" t="s">
        <v>2992</v>
      </c>
      <c r="D5" s="11">
        <v>4</v>
      </c>
      <c r="E5" s="11" t="s">
        <v>4</v>
      </c>
      <c r="F5" s="14" t="s">
        <v>4</v>
      </c>
    </row>
    <row r="6" spans="1:6" ht="31.5" x14ac:dyDescent="0.25">
      <c r="A6" s="10" t="s">
        <v>2902</v>
      </c>
      <c r="B6" s="151"/>
      <c r="C6" s="11" t="s">
        <v>2990</v>
      </c>
      <c r="D6" s="11">
        <v>14.4</v>
      </c>
      <c r="E6" s="11" t="s">
        <v>4</v>
      </c>
      <c r="F6" s="14" t="s">
        <v>20</v>
      </c>
    </row>
    <row r="7" spans="1:6" ht="15.75" x14ac:dyDescent="0.25">
      <c r="A7" s="148" t="s">
        <v>3058</v>
      </c>
      <c r="B7" s="149"/>
      <c r="C7" s="149"/>
      <c r="D7" s="149"/>
      <c r="E7" s="149"/>
      <c r="F7" s="150"/>
    </row>
    <row r="8" spans="1:6" ht="15.75" x14ac:dyDescent="0.25">
      <c r="A8" s="10" t="s">
        <v>2902</v>
      </c>
      <c r="B8" s="11" t="s">
        <v>3057</v>
      </c>
      <c r="C8" s="11" t="s">
        <v>3056</v>
      </c>
      <c r="D8" s="11">
        <v>126.06</v>
      </c>
      <c r="E8" s="11" t="s">
        <v>4</v>
      </c>
      <c r="F8" s="14" t="s">
        <v>2369</v>
      </c>
    </row>
    <row r="9" spans="1:6" ht="31.5" x14ac:dyDescent="0.25">
      <c r="A9" s="10" t="s">
        <v>2902</v>
      </c>
      <c r="B9" s="11" t="s">
        <v>3055</v>
      </c>
      <c r="C9" s="11" t="s">
        <v>3054</v>
      </c>
      <c r="D9" s="11">
        <v>126.06</v>
      </c>
      <c r="E9" s="11" t="s">
        <v>4</v>
      </c>
      <c r="F9" s="14" t="s">
        <v>2369</v>
      </c>
    </row>
    <row r="10" spans="1:6" ht="31.5" x14ac:dyDescent="0.25">
      <c r="A10" s="10" t="s">
        <v>2902</v>
      </c>
      <c r="B10" s="11" t="s">
        <v>3053</v>
      </c>
      <c r="C10" s="11" t="s">
        <v>3052</v>
      </c>
      <c r="D10" s="11">
        <v>126.14</v>
      </c>
      <c r="E10" s="11" t="s">
        <v>4</v>
      </c>
      <c r="F10" s="14" t="s">
        <v>2369</v>
      </c>
    </row>
    <row r="11" spans="1:6" ht="31.5" x14ac:dyDescent="0.25">
      <c r="A11" s="10" t="s">
        <v>2902</v>
      </c>
      <c r="B11" s="151" t="s">
        <v>3051</v>
      </c>
      <c r="C11" s="11" t="s">
        <v>3050</v>
      </c>
      <c r="D11" s="11">
        <v>126.08</v>
      </c>
      <c r="E11" s="11" t="s">
        <v>4</v>
      </c>
      <c r="F11" s="14" t="s">
        <v>2369</v>
      </c>
    </row>
    <row r="12" spans="1:6" ht="31.5" x14ac:dyDescent="0.25">
      <c r="A12" s="10" t="s">
        <v>2902</v>
      </c>
      <c r="B12" s="151"/>
      <c r="C12" s="11" t="s">
        <v>3049</v>
      </c>
      <c r="D12" s="11">
        <v>126.08</v>
      </c>
      <c r="E12" s="11" t="s">
        <v>4</v>
      </c>
      <c r="F12" s="14" t="s">
        <v>2369</v>
      </c>
    </row>
    <row r="13" spans="1:6" ht="15.75" x14ac:dyDescent="0.25">
      <c r="A13" s="148" t="s">
        <v>2977</v>
      </c>
      <c r="B13" s="149"/>
      <c r="C13" s="149"/>
      <c r="D13" s="149"/>
      <c r="E13" s="149"/>
      <c r="F13" s="150"/>
    </row>
    <row r="14" spans="1:6" ht="15.75" x14ac:dyDescent="0.25">
      <c r="A14" s="10" t="s">
        <v>2902</v>
      </c>
      <c r="B14" s="11" t="s">
        <v>2902</v>
      </c>
      <c r="C14" s="11" t="s">
        <v>3048</v>
      </c>
      <c r="D14" s="11">
        <v>6.27</v>
      </c>
      <c r="E14" s="11" t="s">
        <v>4</v>
      </c>
      <c r="F14" s="14" t="s">
        <v>3</v>
      </c>
    </row>
    <row r="15" spans="1:6" ht="63" x14ac:dyDescent="0.25">
      <c r="A15" s="10" t="s">
        <v>2902</v>
      </c>
      <c r="B15" s="11" t="s">
        <v>2976</v>
      </c>
      <c r="C15" s="11" t="s">
        <v>3047</v>
      </c>
      <c r="D15" s="11">
        <v>149</v>
      </c>
      <c r="E15" s="11" t="s">
        <v>4</v>
      </c>
      <c r="F15" s="14" t="s">
        <v>2369</v>
      </c>
    </row>
    <row r="16" spans="1:6" ht="47.25" x14ac:dyDescent="0.25">
      <c r="A16" s="10" t="s">
        <v>2902</v>
      </c>
      <c r="B16" s="11" t="s">
        <v>3046</v>
      </c>
      <c r="C16" s="11" t="s">
        <v>3045</v>
      </c>
      <c r="D16" s="11">
        <v>8.16</v>
      </c>
      <c r="E16" s="11" t="s">
        <v>4</v>
      </c>
      <c r="F16" s="14" t="s">
        <v>3</v>
      </c>
    </row>
    <row r="17" spans="1:6" ht="31.5" x14ac:dyDescent="0.25">
      <c r="A17" s="10" t="s">
        <v>2902</v>
      </c>
      <c r="B17" s="11" t="s">
        <v>3044</v>
      </c>
      <c r="C17" s="11" t="s">
        <v>3043</v>
      </c>
      <c r="D17" s="11">
        <v>24.55</v>
      </c>
      <c r="E17" s="11" t="s">
        <v>4</v>
      </c>
      <c r="F17" s="14" t="s">
        <v>2369</v>
      </c>
    </row>
    <row r="18" spans="1:6" ht="31.5" x14ac:dyDescent="0.25">
      <c r="A18" s="10" t="s">
        <v>2902</v>
      </c>
      <c r="B18" s="11" t="s">
        <v>3042</v>
      </c>
      <c r="C18" s="11" t="s">
        <v>3041</v>
      </c>
      <c r="D18" s="11">
        <v>101.89</v>
      </c>
      <c r="E18" s="11" t="s">
        <v>4</v>
      </c>
      <c r="F18" s="14" t="s">
        <v>2369</v>
      </c>
    </row>
    <row r="19" spans="1:6" ht="31.5" x14ac:dyDescent="0.25">
      <c r="A19" s="10" t="s">
        <v>2902</v>
      </c>
      <c r="B19" s="11" t="s">
        <v>2902</v>
      </c>
      <c r="C19" s="11" t="s">
        <v>3040</v>
      </c>
      <c r="D19" s="11">
        <v>130.83000000000001</v>
      </c>
      <c r="E19" s="11" t="s">
        <v>4</v>
      </c>
      <c r="F19" s="14" t="s">
        <v>2369</v>
      </c>
    </row>
    <row r="20" spans="1:6" ht="15.75" x14ac:dyDescent="0.25">
      <c r="A20" s="148" t="s">
        <v>2985</v>
      </c>
      <c r="B20" s="149"/>
      <c r="C20" s="149"/>
      <c r="D20" s="149"/>
      <c r="E20" s="149"/>
      <c r="F20" s="150"/>
    </row>
    <row r="21" spans="1:6" ht="47.25" x14ac:dyDescent="0.25">
      <c r="A21" s="10" t="s">
        <v>2902</v>
      </c>
      <c r="B21" s="151" t="s">
        <v>2902</v>
      </c>
      <c r="C21" s="11" t="s">
        <v>3039</v>
      </c>
      <c r="D21" s="11">
        <v>28.64</v>
      </c>
      <c r="E21" s="11" t="s">
        <v>4</v>
      </c>
      <c r="F21" s="14" t="s">
        <v>2369</v>
      </c>
    </row>
    <row r="22" spans="1:6" ht="47.25" x14ac:dyDescent="0.25">
      <c r="A22" s="10" t="s">
        <v>2902</v>
      </c>
      <c r="B22" s="151"/>
      <c r="C22" s="11" t="s">
        <v>2981</v>
      </c>
      <c r="D22" s="11">
        <v>6.9399999999999995</v>
      </c>
      <c r="E22" s="11" t="s">
        <v>4</v>
      </c>
      <c r="F22" s="14" t="s">
        <v>2369</v>
      </c>
    </row>
    <row r="23" spans="1:6" ht="63" x14ac:dyDescent="0.25">
      <c r="A23" s="10" t="s">
        <v>2902</v>
      </c>
      <c r="B23" s="11" t="s">
        <v>3038</v>
      </c>
      <c r="C23" s="11" t="s">
        <v>3037</v>
      </c>
      <c r="D23" s="11">
        <v>4.3</v>
      </c>
      <c r="E23" s="11" t="s">
        <v>4</v>
      </c>
      <c r="F23" s="14" t="s">
        <v>3</v>
      </c>
    </row>
    <row r="24" spans="1:6" ht="78.75" x14ac:dyDescent="0.25">
      <c r="A24" s="10" t="s">
        <v>2902</v>
      </c>
      <c r="B24" s="11" t="s">
        <v>2984</v>
      </c>
      <c r="C24" s="11" t="s">
        <v>3036</v>
      </c>
      <c r="D24" s="11">
        <v>9.2200000000000006</v>
      </c>
      <c r="E24" s="11" t="s">
        <v>4</v>
      </c>
      <c r="F24" s="14" t="s">
        <v>3</v>
      </c>
    </row>
    <row r="25" spans="1:6" ht="16.5" thickBot="1" x14ac:dyDescent="0.3">
      <c r="A25" s="8" t="s">
        <v>2902</v>
      </c>
      <c r="B25" s="9" t="s">
        <v>2902</v>
      </c>
      <c r="C25" s="9" t="s">
        <v>2982</v>
      </c>
      <c r="D25" s="9">
        <v>28.64</v>
      </c>
      <c r="E25" s="9" t="s">
        <v>4</v>
      </c>
      <c r="F25" s="16" t="s">
        <v>2369</v>
      </c>
    </row>
  </sheetData>
  <mergeCells count="7">
    <mergeCell ref="A20:F20"/>
    <mergeCell ref="B21:B22"/>
    <mergeCell ref="A2:F2"/>
    <mergeCell ref="B11:B12"/>
    <mergeCell ref="A7:F7"/>
    <mergeCell ref="A13:F13"/>
    <mergeCell ref="B3:B6"/>
  </mergeCells>
  <conditionalFormatting sqref="A1:F25">
    <cfRule type="containsText" dxfId="201" priority="1" stopIfTrue="1" operator="containsText" text="С ЛИСТА">
      <formula>NOT(ISERROR(SEARCH("С ЛИСТА",A1)))</formula>
    </cfRule>
    <cfRule type="containsText" dxfId="200" priority="2" stopIfTrue="1" operator="containsText" text="ИЗ ФАЙЛА">
      <formula>NOT(ISERROR(SEARCH("ИЗ ФАЙЛА",A1)))</formula>
    </cfRule>
    <cfRule type="containsText" dxfId="199" priority="3" stopIfTrue="1" operator="containsText" text="!!!">
      <formula>NOT(ISERROR(SEARCH("!!!",A1)))</formula>
    </cfRule>
    <cfRule type="containsText" dxfId="198" priority="4" stopIfTrue="1" operator="containsText" text=" Заполнения проёмов ">
      <formula>NOT(ISERROR(SEARCH(" Заполнения проёмов ",A1)))</formula>
    </cfRule>
    <cfRule type="containsText" dxfId="197" priority="5" stopIfTrue="1" operator="containsText" text=" Сборочные единицы ">
      <formula>NOT(ISERROR(SEARCH(" Сборочные единицы ",A1)))</formula>
    </cfRule>
    <cfRule type="containsText" dxfId="196" priority="6" stopIfTrue="1" operator="containsText" text=" Заполнения проёмов ">
      <formula>NOT(ISERROR(SEARCH(" Заполнения проёмов ",A1)))</formula>
    </cfRule>
    <cfRule type="containsText" dxfId="195" priority="7" stopIfTrue="1" operator="containsText" text=" Сборочные единицы ">
      <formula>NOT(ISERROR(SEARCH(" Сборочные единицы ",A1)))</formula>
    </cfRule>
    <cfRule type="containsText" dxfId="194" priority="8" stopIfTrue="1" operator="containsText" text=" Изделия ">
      <formula>NOT(ISERROR(SEARCH(" Изделия ",A1)))</formula>
    </cfRule>
    <cfRule type="containsText" dxfId="193" priority="9" stopIfTrue="1" operator="containsText" text=" Материалы ">
      <formula>NOT(ISERROR(SEARCH(" Материалы ",A1)))</formula>
    </cfRule>
    <cfRule type="containsText" dxfId="192" priority="10" stopIfTrue="1" operator="containsText" text=" Изделия арматурные ">
      <formula>NOT(ISERROR(SEARCH(" Изделия арматурные ",A1)))</formula>
    </cfRule>
    <cfRule type="containsText" dxfId="191" priority="11" stopIfTrue="1" operator="containsText" text=" Прокат ">
      <formula>NOT(ISERROR(SEARCH(" Прокат ",A1)))</formula>
    </cfRule>
    <cfRule type="containsText" dxfId="190" priority="12" stopIfTrue="1" operator="containsText" text="Элементы на отм.">
      <formula>NOT(ISERROR(SEARCH("Элементы на отм.",A1)))</formula>
    </cfRule>
    <cfRule type="containsText" dxfId="189" priority="13" stopIfTrue="1" operator="containsText" text=", на ">
      <formula>NOT(ISERROR(SEARCH(", на ",A1)))</formula>
    </cfRule>
    <cfRule type="containsText" dxfId="188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  <pageSetUpPr fitToPage="1"/>
  </sheetPr>
  <dimension ref="A1:F14"/>
  <sheetViews>
    <sheetView workbookViewId="0">
      <selection activeCell="L33" sqref="L33"/>
    </sheetView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1.5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5.75" x14ac:dyDescent="0.25">
      <c r="A2" s="148" t="s">
        <v>3075</v>
      </c>
      <c r="B2" s="149"/>
      <c r="C2" s="149"/>
      <c r="D2" s="149"/>
      <c r="E2" s="149"/>
      <c r="F2" s="150"/>
    </row>
    <row r="3" spans="1:6" ht="15.75" x14ac:dyDescent="0.25">
      <c r="A3" s="10">
        <v>1</v>
      </c>
      <c r="B3" s="11" t="s">
        <v>3066</v>
      </c>
      <c r="C3" s="11" t="s">
        <v>3065</v>
      </c>
      <c r="D3" s="11">
        <v>81</v>
      </c>
      <c r="E3" s="11">
        <v>0.154</v>
      </c>
      <c r="F3" s="14" t="s">
        <v>3074</v>
      </c>
    </row>
    <row r="4" spans="1:6" ht="15.75" x14ac:dyDescent="0.25">
      <c r="A4" s="10" t="s">
        <v>2902</v>
      </c>
      <c r="B4" s="151" t="s">
        <v>3063</v>
      </c>
      <c r="C4" s="11" t="s">
        <v>3062</v>
      </c>
      <c r="D4" s="11">
        <v>7.5699999999999994</v>
      </c>
      <c r="E4" s="11" t="s">
        <v>4</v>
      </c>
      <c r="F4" s="14" t="s">
        <v>2369</v>
      </c>
    </row>
    <row r="5" spans="1:6" ht="15.75" x14ac:dyDescent="0.25">
      <c r="A5" s="10" t="s">
        <v>2902</v>
      </c>
      <c r="B5" s="151"/>
      <c r="C5" s="11" t="s">
        <v>3061</v>
      </c>
      <c r="D5" s="11">
        <v>7.5699999999999994</v>
      </c>
      <c r="E5" s="11" t="s">
        <v>4</v>
      </c>
      <c r="F5" s="14" t="s">
        <v>2369</v>
      </c>
    </row>
    <row r="6" spans="1:6" ht="15.75" x14ac:dyDescent="0.25">
      <c r="A6" s="10" t="s">
        <v>2902</v>
      </c>
      <c r="B6" s="11" t="s">
        <v>3060</v>
      </c>
      <c r="C6" s="11" t="s">
        <v>3059</v>
      </c>
      <c r="D6" s="11">
        <v>1.18</v>
      </c>
      <c r="E6" s="11" t="s">
        <v>4</v>
      </c>
      <c r="F6" s="14" t="s">
        <v>3</v>
      </c>
    </row>
    <row r="7" spans="1:6" ht="15.75" x14ac:dyDescent="0.25">
      <c r="A7" s="10" t="s">
        <v>2902</v>
      </c>
      <c r="B7" s="11" t="s">
        <v>2909</v>
      </c>
      <c r="C7" s="11" t="s">
        <v>2910</v>
      </c>
      <c r="D7" s="11">
        <v>1.17</v>
      </c>
      <c r="E7" s="11" t="s">
        <v>4</v>
      </c>
      <c r="F7" s="14" t="s">
        <v>2369</v>
      </c>
    </row>
    <row r="8" spans="1:6" ht="15.75" x14ac:dyDescent="0.25">
      <c r="A8" s="10" t="s">
        <v>3071</v>
      </c>
      <c r="B8" s="11" t="s">
        <v>2911</v>
      </c>
      <c r="C8" s="11" t="s">
        <v>3073</v>
      </c>
      <c r="D8" s="11">
        <v>5.88</v>
      </c>
      <c r="E8" s="11">
        <v>1.88</v>
      </c>
      <c r="F8" s="14" t="s">
        <v>3072</v>
      </c>
    </row>
    <row r="9" spans="1:6" ht="31.5" x14ac:dyDescent="0.25">
      <c r="A9" s="10" t="s">
        <v>3071</v>
      </c>
      <c r="B9" s="11" t="s">
        <v>3070</v>
      </c>
      <c r="C9" s="11" t="s">
        <v>3069</v>
      </c>
      <c r="D9" s="11">
        <v>3</v>
      </c>
      <c r="E9" s="11">
        <v>12.84</v>
      </c>
      <c r="F9" s="14" t="s">
        <v>3068</v>
      </c>
    </row>
    <row r="10" spans="1:6" ht="15.75" x14ac:dyDescent="0.25">
      <c r="A10" s="148" t="s">
        <v>3067</v>
      </c>
      <c r="B10" s="149"/>
      <c r="C10" s="149"/>
      <c r="D10" s="149"/>
      <c r="E10" s="149"/>
      <c r="F10" s="150"/>
    </row>
    <row r="11" spans="1:6" ht="15.75" x14ac:dyDescent="0.25">
      <c r="A11" s="10">
        <v>1</v>
      </c>
      <c r="B11" s="11" t="s">
        <v>3066</v>
      </c>
      <c r="C11" s="11" t="s">
        <v>3065</v>
      </c>
      <c r="D11" s="11">
        <v>30</v>
      </c>
      <c r="E11" s="11">
        <v>0.154</v>
      </c>
      <c r="F11" s="14" t="s">
        <v>3064</v>
      </c>
    </row>
    <row r="12" spans="1:6" ht="15.75" x14ac:dyDescent="0.25">
      <c r="A12" s="10" t="s">
        <v>2902</v>
      </c>
      <c r="B12" s="151" t="s">
        <v>3063</v>
      </c>
      <c r="C12" s="11" t="s">
        <v>3062</v>
      </c>
      <c r="D12" s="11">
        <v>2.25</v>
      </c>
      <c r="E12" s="11" t="s">
        <v>4</v>
      </c>
      <c r="F12" s="14" t="s">
        <v>2369</v>
      </c>
    </row>
    <row r="13" spans="1:6" ht="15.75" x14ac:dyDescent="0.25">
      <c r="A13" s="10" t="s">
        <v>2902</v>
      </c>
      <c r="B13" s="151"/>
      <c r="C13" s="11" t="s">
        <v>3061</v>
      </c>
      <c r="D13" s="11">
        <v>2.25</v>
      </c>
      <c r="E13" s="11" t="s">
        <v>4</v>
      </c>
      <c r="F13" s="14" t="s">
        <v>2369</v>
      </c>
    </row>
    <row r="14" spans="1:6" ht="16.5" thickBot="1" x14ac:dyDescent="0.3">
      <c r="A14" s="8" t="s">
        <v>2902</v>
      </c>
      <c r="B14" s="9" t="s">
        <v>3060</v>
      </c>
      <c r="C14" s="9" t="s">
        <v>3059</v>
      </c>
      <c r="D14" s="9">
        <v>0.37</v>
      </c>
      <c r="E14" s="9" t="s">
        <v>4</v>
      </c>
      <c r="F14" s="16" t="s">
        <v>3</v>
      </c>
    </row>
  </sheetData>
  <mergeCells count="4">
    <mergeCell ref="A2:F2"/>
    <mergeCell ref="B4:B5"/>
    <mergeCell ref="A10:F10"/>
    <mergeCell ref="B12:B13"/>
  </mergeCells>
  <conditionalFormatting sqref="A1:F14">
    <cfRule type="containsText" dxfId="187" priority="1" stopIfTrue="1" operator="containsText" text="С ЛИСТА">
      <formula>NOT(ISERROR(SEARCH("С ЛИСТА",A1)))</formula>
    </cfRule>
    <cfRule type="containsText" dxfId="186" priority="2" stopIfTrue="1" operator="containsText" text="ИЗ ФАЙЛА">
      <formula>NOT(ISERROR(SEARCH("ИЗ ФАЙЛА",A1)))</formula>
    </cfRule>
    <cfRule type="containsText" dxfId="185" priority="3" stopIfTrue="1" operator="containsText" text="!!!">
      <formula>NOT(ISERROR(SEARCH("!!!",A1)))</formula>
    </cfRule>
    <cfRule type="containsText" dxfId="184" priority="4" stopIfTrue="1" operator="containsText" text=" Заполнения проёмов ">
      <formula>NOT(ISERROR(SEARCH(" Заполнения проёмов ",A1)))</formula>
    </cfRule>
    <cfRule type="containsText" dxfId="183" priority="5" stopIfTrue="1" operator="containsText" text=" Сборочные единицы ">
      <formula>NOT(ISERROR(SEARCH(" Сборочные единицы ",A1)))</formula>
    </cfRule>
    <cfRule type="containsText" dxfId="182" priority="6" stopIfTrue="1" operator="containsText" text=" Заполнения проёмов ">
      <formula>NOT(ISERROR(SEARCH(" Заполнения проёмов ",A1)))</formula>
    </cfRule>
    <cfRule type="containsText" dxfId="181" priority="7" stopIfTrue="1" operator="containsText" text=" Сборочные единицы ">
      <formula>NOT(ISERROR(SEARCH(" Сборочные единицы ",A1)))</formula>
    </cfRule>
    <cfRule type="containsText" dxfId="180" priority="8" stopIfTrue="1" operator="containsText" text=" Изделия ">
      <formula>NOT(ISERROR(SEARCH(" Изделия ",A1)))</formula>
    </cfRule>
    <cfRule type="containsText" dxfId="179" priority="9" stopIfTrue="1" operator="containsText" text=" Материалы ">
      <formula>NOT(ISERROR(SEARCH(" Материалы ",A1)))</formula>
    </cfRule>
    <cfRule type="containsText" dxfId="178" priority="10" stopIfTrue="1" operator="containsText" text=" Изделия арматурные ">
      <formula>NOT(ISERROR(SEARCH(" Изделия арматурные ",A1)))</formula>
    </cfRule>
    <cfRule type="containsText" dxfId="177" priority="11" stopIfTrue="1" operator="containsText" text=" Прокат ">
      <formula>NOT(ISERROR(SEARCH(" Прокат ",A1)))</formula>
    </cfRule>
    <cfRule type="containsText" dxfId="176" priority="12" stopIfTrue="1" operator="containsText" text="Элементы на отм.">
      <formula>NOT(ISERROR(SEARCH("Элементы на отм.",A1)))</formula>
    </cfRule>
    <cfRule type="containsText" dxfId="175" priority="13" stopIfTrue="1" operator="containsText" text=", на ">
      <formula>NOT(ISERROR(SEARCH(", на ",A1)))</formula>
    </cfRule>
    <cfRule type="containsText" dxfId="174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4"/>
  <sheetViews>
    <sheetView workbookViewId="0">
      <selection activeCell="G26" sqref="G26"/>
    </sheetView>
  </sheetViews>
  <sheetFormatPr defaultRowHeight="15" outlineLevelCol="1" x14ac:dyDescent="0.25"/>
  <cols>
    <col min="1" max="1" width="8.42578125" style="5" bestFit="1" customWidth="1"/>
    <col min="2" max="2" width="7" style="5" customWidth="1"/>
    <col min="3" max="3" width="45.140625" style="5" customWidth="1"/>
    <col min="4" max="4" width="7" style="5" customWidth="1"/>
    <col min="5" max="6" width="9.570312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47.25" x14ac:dyDescent="0.25">
      <c r="A1" s="15" t="s">
        <v>3120</v>
      </c>
      <c r="B1" s="12" t="s">
        <v>3121</v>
      </c>
      <c r="C1" s="12" t="s">
        <v>2905</v>
      </c>
      <c r="D1" s="12" t="s">
        <v>3122</v>
      </c>
      <c r="E1" s="12" t="s">
        <v>3142</v>
      </c>
      <c r="F1" s="13" t="s">
        <v>3143</v>
      </c>
    </row>
    <row r="2" spans="1:6" ht="15.75" x14ac:dyDescent="0.25">
      <c r="A2" s="152" t="s">
        <v>3144</v>
      </c>
      <c r="B2" s="56">
        <v>1</v>
      </c>
      <c r="C2" s="56" t="s">
        <v>3123</v>
      </c>
      <c r="D2" s="56">
        <v>9</v>
      </c>
      <c r="E2" s="56" t="s">
        <v>3124</v>
      </c>
      <c r="F2" s="153">
        <v>2.58</v>
      </c>
    </row>
    <row r="3" spans="1:6" ht="15.75" x14ac:dyDescent="0.25">
      <c r="A3" s="152"/>
      <c r="B3" s="56">
        <v>2</v>
      </c>
      <c r="C3" s="56" t="s">
        <v>3125</v>
      </c>
      <c r="D3" s="56">
        <v>2</v>
      </c>
      <c r="E3" s="56" t="s">
        <v>3126</v>
      </c>
      <c r="F3" s="153"/>
    </row>
    <row r="4" spans="1:6" ht="15.75" x14ac:dyDescent="0.25">
      <c r="A4" s="152" t="s">
        <v>3145</v>
      </c>
      <c r="B4" s="151"/>
      <c r="C4" s="151"/>
      <c r="D4" s="151"/>
      <c r="E4" s="151"/>
      <c r="F4" s="153"/>
    </row>
    <row r="5" spans="1:6" ht="15.75" x14ac:dyDescent="0.25">
      <c r="A5" s="152" t="s">
        <v>3146</v>
      </c>
      <c r="B5" s="56">
        <v>1</v>
      </c>
      <c r="C5" s="56" t="s">
        <v>3127</v>
      </c>
      <c r="D5" s="56">
        <v>1</v>
      </c>
      <c r="E5" s="56" t="s">
        <v>3128</v>
      </c>
      <c r="F5" s="153">
        <v>5.29</v>
      </c>
    </row>
    <row r="6" spans="1:6" ht="15.75" x14ac:dyDescent="0.25">
      <c r="A6" s="152"/>
      <c r="B6" s="56">
        <v>2</v>
      </c>
      <c r="C6" s="56" t="s">
        <v>3129</v>
      </c>
      <c r="D6" s="56">
        <v>4</v>
      </c>
      <c r="E6" s="56" t="s">
        <v>3130</v>
      </c>
      <c r="F6" s="153"/>
    </row>
    <row r="7" spans="1:6" ht="15.75" x14ac:dyDescent="0.25">
      <c r="A7" s="152"/>
      <c r="B7" s="56">
        <v>3</v>
      </c>
      <c r="C7" s="56" t="s">
        <v>3131</v>
      </c>
      <c r="D7" s="56">
        <v>4</v>
      </c>
      <c r="E7" s="56" t="s">
        <v>3132</v>
      </c>
      <c r="F7" s="153"/>
    </row>
    <row r="8" spans="1:6" ht="15.75" x14ac:dyDescent="0.25">
      <c r="A8" s="152" t="s">
        <v>3145</v>
      </c>
      <c r="B8" s="151"/>
      <c r="C8" s="151"/>
      <c r="D8" s="151"/>
      <c r="E8" s="151"/>
      <c r="F8" s="153"/>
    </row>
    <row r="9" spans="1:6" ht="15.75" x14ac:dyDescent="0.25">
      <c r="A9" s="152" t="s">
        <v>3150</v>
      </c>
      <c r="B9" s="56">
        <v>1</v>
      </c>
      <c r="C9" s="56" t="s">
        <v>3133</v>
      </c>
      <c r="D9" s="56">
        <v>1</v>
      </c>
      <c r="E9" s="56" t="s">
        <v>3134</v>
      </c>
      <c r="F9" s="153">
        <v>8.49</v>
      </c>
    </row>
    <row r="10" spans="1:6" ht="15.75" x14ac:dyDescent="0.25">
      <c r="A10" s="152"/>
      <c r="B10" s="56">
        <v>3</v>
      </c>
      <c r="C10" s="56" t="s">
        <v>3135</v>
      </c>
      <c r="D10" s="56">
        <v>1</v>
      </c>
      <c r="E10" s="56" t="s">
        <v>3136</v>
      </c>
      <c r="F10" s="153"/>
    </row>
    <row r="11" spans="1:6" ht="15.75" x14ac:dyDescent="0.25">
      <c r="A11" s="152" t="s">
        <v>3145</v>
      </c>
      <c r="B11" s="151"/>
      <c r="C11" s="151"/>
      <c r="D11" s="151"/>
      <c r="E11" s="151"/>
      <c r="F11" s="153"/>
    </row>
    <row r="12" spans="1:6" ht="15.75" x14ac:dyDescent="0.25">
      <c r="A12" s="152" t="s">
        <v>3147</v>
      </c>
      <c r="B12" s="56">
        <v>1</v>
      </c>
      <c r="C12" s="56" t="s">
        <v>3137</v>
      </c>
      <c r="D12" s="56">
        <v>1</v>
      </c>
      <c r="E12" s="56" t="s">
        <v>3138</v>
      </c>
      <c r="F12" s="153">
        <v>16.34</v>
      </c>
    </row>
    <row r="13" spans="1:6" ht="15.75" x14ac:dyDescent="0.25">
      <c r="A13" s="152"/>
      <c r="B13" s="56">
        <v>3</v>
      </c>
      <c r="C13" s="56" t="s">
        <v>3135</v>
      </c>
      <c r="D13" s="56">
        <v>1</v>
      </c>
      <c r="E13" s="56" t="s">
        <v>3136</v>
      </c>
      <c r="F13" s="153"/>
    </row>
    <row r="14" spans="1:6" ht="16.5" thickBot="1" x14ac:dyDescent="0.3">
      <c r="A14" s="154" t="s">
        <v>3145</v>
      </c>
      <c r="B14" s="155"/>
      <c r="C14" s="155"/>
      <c r="D14" s="155"/>
      <c r="E14" s="155"/>
      <c r="F14" s="156"/>
    </row>
  </sheetData>
  <mergeCells count="12">
    <mergeCell ref="A11:F11"/>
    <mergeCell ref="A12:A13"/>
    <mergeCell ref="F12:F13"/>
    <mergeCell ref="A14:F14"/>
    <mergeCell ref="A8:F8"/>
    <mergeCell ref="A9:A10"/>
    <mergeCell ref="F9:F10"/>
    <mergeCell ref="A2:A3"/>
    <mergeCell ref="F2:F3"/>
    <mergeCell ref="A4:F4"/>
    <mergeCell ref="A5:A7"/>
    <mergeCell ref="F5:F7"/>
  </mergeCells>
  <conditionalFormatting sqref="A1:F14">
    <cfRule type="containsText" dxfId="173" priority="1" stopIfTrue="1" operator="containsText" text="С ЛИСТА">
      <formula>NOT(ISERROR(SEARCH("С ЛИСТА",A1)))</formula>
    </cfRule>
    <cfRule type="containsText" dxfId="172" priority="2" stopIfTrue="1" operator="containsText" text="ИЗ ФАЙЛА">
      <formula>NOT(ISERROR(SEARCH("ИЗ ФАЙЛА",A1)))</formula>
    </cfRule>
    <cfRule type="containsText" dxfId="171" priority="3" stopIfTrue="1" operator="containsText" text="!!!">
      <formula>NOT(ISERROR(SEARCH("!!!",A1)))</formula>
    </cfRule>
    <cfRule type="containsText" dxfId="170" priority="4" stopIfTrue="1" operator="containsText" text=" Заполнения проёмов ">
      <formula>NOT(ISERROR(SEARCH(" Заполнения проёмов ",A1)))</formula>
    </cfRule>
    <cfRule type="containsText" dxfId="169" priority="5" stopIfTrue="1" operator="containsText" text=" Сборочные единицы ">
      <formula>NOT(ISERROR(SEARCH(" Сборочные единицы ",A1)))</formula>
    </cfRule>
    <cfRule type="containsText" dxfId="168" priority="6" stopIfTrue="1" operator="containsText" text=" Заполнения проёмов ">
      <formula>NOT(ISERROR(SEARCH(" Заполнения проёмов ",A1)))</formula>
    </cfRule>
    <cfRule type="containsText" dxfId="167" priority="7" stopIfTrue="1" operator="containsText" text=" Сборочные единицы ">
      <formula>NOT(ISERROR(SEARCH(" Сборочные единицы ",A1)))</formula>
    </cfRule>
    <cfRule type="containsText" dxfId="166" priority="8" stopIfTrue="1" operator="containsText" text=" Изделия ">
      <formula>NOT(ISERROR(SEARCH(" Изделия ",A1)))</formula>
    </cfRule>
    <cfRule type="containsText" dxfId="165" priority="9" stopIfTrue="1" operator="containsText" text=" Материалы ">
      <formula>NOT(ISERROR(SEARCH(" Материалы ",A1)))</formula>
    </cfRule>
    <cfRule type="containsText" dxfId="164" priority="10" stopIfTrue="1" operator="containsText" text=" Изделия арматурные ">
      <formula>NOT(ISERROR(SEARCH(" Изделия арматурные ",A1)))</formula>
    </cfRule>
    <cfRule type="containsText" dxfId="163" priority="11" stopIfTrue="1" operator="containsText" text=" Прокат ">
      <formula>NOT(ISERROR(SEARCH(" Прокат ",A1)))</formula>
    </cfRule>
    <cfRule type="containsText" dxfId="162" priority="12" stopIfTrue="1" operator="containsText" text="Элементы на отм.">
      <formula>NOT(ISERROR(SEARCH("Элементы на отм.",A1)))</formula>
    </cfRule>
    <cfRule type="containsText" dxfId="161" priority="13" stopIfTrue="1" operator="containsText" text=", на ">
      <formula>NOT(ISERROR(SEARCH(", на ",A1)))</formula>
    </cfRule>
    <cfRule type="containsText" dxfId="160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F2"/>
  <sheetViews>
    <sheetView workbookViewId="0"/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1.5" x14ac:dyDescent="0.25">
      <c r="A1" s="79" t="s">
        <v>2903</v>
      </c>
      <c r="B1" s="80" t="s">
        <v>2904</v>
      </c>
      <c r="C1" s="80" t="s">
        <v>2905</v>
      </c>
      <c r="D1" s="80" t="s">
        <v>2906</v>
      </c>
      <c r="E1" s="80" t="s">
        <v>2907</v>
      </c>
      <c r="F1" s="81" t="s">
        <v>2908</v>
      </c>
    </row>
    <row r="2" spans="1:6" ht="32.25" thickBot="1" x14ac:dyDescent="0.3">
      <c r="A2" s="76" t="s">
        <v>3091</v>
      </c>
      <c r="B2" s="77" t="s">
        <v>2902</v>
      </c>
      <c r="C2" s="77" t="s">
        <v>3090</v>
      </c>
      <c r="D2" s="77">
        <v>1</v>
      </c>
      <c r="E2" s="77">
        <v>11050.05</v>
      </c>
      <c r="F2" s="78" t="s">
        <v>4</v>
      </c>
    </row>
  </sheetData>
  <conditionalFormatting sqref="A1:F2">
    <cfRule type="containsText" dxfId="159" priority="1" stopIfTrue="1" operator="containsText" text="С ЛИСТА">
      <formula>NOT(ISERROR(SEARCH("С ЛИСТА",A1)))</formula>
    </cfRule>
    <cfRule type="containsText" dxfId="158" priority="2" stopIfTrue="1" operator="containsText" text="ИЗ ФАЙЛА">
      <formula>NOT(ISERROR(SEARCH("ИЗ ФАЙЛА",A1)))</formula>
    </cfRule>
    <cfRule type="containsText" dxfId="157" priority="3" stopIfTrue="1" operator="containsText" text="!!!">
      <formula>NOT(ISERROR(SEARCH("!!!",A1)))</formula>
    </cfRule>
    <cfRule type="containsText" dxfId="156" priority="4" stopIfTrue="1" operator="containsText" text=" Заполнения проёмов ">
      <formula>NOT(ISERROR(SEARCH(" Заполнения проёмов ",A1)))</formula>
    </cfRule>
    <cfRule type="containsText" dxfId="155" priority="5" stopIfTrue="1" operator="containsText" text=" Сборочные единицы ">
      <formula>NOT(ISERROR(SEARCH(" Сборочные единицы ",A1)))</formula>
    </cfRule>
    <cfRule type="containsText" dxfId="154" priority="6" stopIfTrue="1" operator="containsText" text=" Заполнения проёмов ">
      <formula>NOT(ISERROR(SEARCH(" Заполнения проёмов ",A1)))</formula>
    </cfRule>
    <cfRule type="containsText" dxfId="153" priority="7" stopIfTrue="1" operator="containsText" text=" Сборочные единицы ">
      <formula>NOT(ISERROR(SEARCH(" Сборочные единицы ",A1)))</formula>
    </cfRule>
    <cfRule type="containsText" dxfId="152" priority="8" stopIfTrue="1" operator="containsText" text=" Изделия ">
      <formula>NOT(ISERROR(SEARCH(" Изделия ",A1)))</formula>
    </cfRule>
    <cfRule type="containsText" dxfId="151" priority="9" stopIfTrue="1" operator="containsText" text=" Материалы ">
      <formula>NOT(ISERROR(SEARCH(" Материалы ",A1)))</formula>
    </cfRule>
    <cfRule type="containsText" dxfId="150" priority="10" stopIfTrue="1" operator="containsText" text=" Изделия арматурные ">
      <formula>NOT(ISERROR(SEARCH(" Изделия арматурные ",A1)))</formula>
    </cfRule>
    <cfRule type="containsText" dxfId="149" priority="11" stopIfTrue="1" operator="containsText" text=" Прокат ">
      <formula>NOT(ISERROR(SEARCH(" Прокат ",A1)))</formula>
    </cfRule>
    <cfRule type="containsText" dxfId="148" priority="12" stopIfTrue="1" operator="containsText" text="Элементы на отм.">
      <formula>NOT(ISERROR(SEARCH("Элементы на отм.",A1)))</formula>
    </cfRule>
    <cfRule type="containsText" dxfId="147" priority="13" stopIfTrue="1" operator="containsText" text=", на ">
      <formula>NOT(ISERROR(SEARCH(", на ",A1)))</formula>
    </cfRule>
    <cfRule type="containsText" dxfId="14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U8"/>
  <sheetViews>
    <sheetView workbookViewId="0">
      <selection activeCell="R22" sqref="R22"/>
    </sheetView>
  </sheetViews>
  <sheetFormatPr defaultRowHeight="15" x14ac:dyDescent="0.25"/>
  <cols>
    <col min="1" max="1" width="16.28515625" style="5" customWidth="1"/>
    <col min="2" max="22" width="8.140625" style="5" customWidth="1"/>
    <col min="23" max="16384" width="9.140625" style="5"/>
  </cols>
  <sheetData>
    <row r="1" spans="1:21" ht="22.7" customHeight="1" x14ac:dyDescent="0.25">
      <c r="A1" s="157" t="s">
        <v>3165</v>
      </c>
      <c r="B1" s="158" t="s">
        <v>3166</v>
      </c>
      <c r="C1" s="158"/>
      <c r="D1" s="158"/>
      <c r="E1" s="158"/>
      <c r="F1" s="158"/>
      <c r="G1" s="158"/>
      <c r="H1" s="158"/>
      <c r="I1" s="158" t="s">
        <v>3167</v>
      </c>
      <c r="J1" s="158"/>
      <c r="K1" s="158"/>
      <c r="L1" s="158"/>
      <c r="M1" s="158"/>
      <c r="N1" s="158"/>
      <c r="O1" s="158"/>
      <c r="P1" s="158"/>
      <c r="Q1" s="158"/>
      <c r="R1" s="112" t="s">
        <v>3168</v>
      </c>
      <c r="S1" s="157" t="s">
        <v>3169</v>
      </c>
      <c r="T1" s="158"/>
      <c r="U1" s="159" t="s">
        <v>3168</v>
      </c>
    </row>
    <row r="2" spans="1:21" ht="22.7" customHeight="1" x14ac:dyDescent="0.25">
      <c r="A2" s="152"/>
      <c r="B2" s="151" t="s">
        <v>3170</v>
      </c>
      <c r="C2" s="151"/>
      <c r="D2" s="151"/>
      <c r="E2" s="151"/>
      <c r="F2" s="151"/>
      <c r="G2" s="151"/>
      <c r="H2" s="151" t="s">
        <v>3168</v>
      </c>
      <c r="I2" s="151" t="s">
        <v>3170</v>
      </c>
      <c r="J2" s="151"/>
      <c r="K2" s="151" t="s">
        <v>2913</v>
      </c>
      <c r="L2" s="151"/>
      <c r="M2" s="151"/>
      <c r="N2" s="151"/>
      <c r="O2" s="151"/>
      <c r="P2" s="151"/>
      <c r="Q2" s="151" t="s">
        <v>3168</v>
      </c>
      <c r="R2" s="163"/>
      <c r="S2" s="160" t="s">
        <v>3089</v>
      </c>
      <c r="T2" s="161" t="s">
        <v>3088</v>
      </c>
      <c r="U2" s="153"/>
    </row>
    <row r="3" spans="1:21" ht="22.7" customHeight="1" x14ac:dyDescent="0.25">
      <c r="A3" s="152"/>
      <c r="B3" s="151" t="s">
        <v>2</v>
      </c>
      <c r="C3" s="151"/>
      <c r="D3" s="151"/>
      <c r="E3" s="151" t="s">
        <v>1</v>
      </c>
      <c r="F3" s="151"/>
      <c r="G3" s="151"/>
      <c r="H3" s="151"/>
      <c r="I3" s="151" t="s">
        <v>2</v>
      </c>
      <c r="J3" s="151"/>
      <c r="K3" s="151" t="s">
        <v>3171</v>
      </c>
      <c r="L3" s="151"/>
      <c r="M3" s="151"/>
      <c r="N3" s="151"/>
      <c r="O3" s="151"/>
      <c r="P3" s="151"/>
      <c r="Q3" s="151"/>
      <c r="R3" s="163"/>
      <c r="S3" s="160"/>
      <c r="T3" s="161"/>
      <c r="U3" s="153"/>
    </row>
    <row r="4" spans="1:21" ht="22.7" customHeight="1" x14ac:dyDescent="0.25">
      <c r="A4" s="152"/>
      <c r="B4" s="151" t="s">
        <v>3066</v>
      </c>
      <c r="C4" s="151"/>
      <c r="D4" s="151"/>
      <c r="E4" s="151"/>
      <c r="F4" s="151"/>
      <c r="G4" s="151"/>
      <c r="H4" s="151"/>
      <c r="I4" s="151" t="s">
        <v>3066</v>
      </c>
      <c r="J4" s="151"/>
      <c r="K4" s="151" t="s">
        <v>3172</v>
      </c>
      <c r="L4" s="151"/>
      <c r="M4" s="151"/>
      <c r="N4" s="151" t="s">
        <v>2911</v>
      </c>
      <c r="O4" s="151"/>
      <c r="P4" s="151"/>
      <c r="Q4" s="151"/>
      <c r="R4" s="163"/>
      <c r="S4" s="160"/>
      <c r="T4" s="161"/>
      <c r="U4" s="153"/>
    </row>
    <row r="5" spans="1:21" ht="22.7" customHeight="1" thickBot="1" x14ac:dyDescent="0.3">
      <c r="A5" s="162"/>
      <c r="B5" s="87" t="s">
        <v>3173</v>
      </c>
      <c r="C5" s="87" t="s">
        <v>3174</v>
      </c>
      <c r="D5" s="87" t="s">
        <v>3168</v>
      </c>
      <c r="E5" s="87" t="s">
        <v>3175</v>
      </c>
      <c r="F5" s="87" t="s">
        <v>3176</v>
      </c>
      <c r="G5" s="87" t="s">
        <v>3168</v>
      </c>
      <c r="H5" s="165"/>
      <c r="I5" s="87" t="s">
        <v>3174</v>
      </c>
      <c r="J5" s="87" t="s">
        <v>3168</v>
      </c>
      <c r="K5" s="87" t="s">
        <v>2860</v>
      </c>
      <c r="L5" s="87" t="s">
        <v>2858</v>
      </c>
      <c r="M5" s="87" t="s">
        <v>3168</v>
      </c>
      <c r="N5" s="87" t="s">
        <v>2153</v>
      </c>
      <c r="O5" s="87" t="s">
        <v>2165</v>
      </c>
      <c r="P5" s="87" t="s">
        <v>3168</v>
      </c>
      <c r="Q5" s="165"/>
      <c r="R5" s="164"/>
      <c r="S5" s="160"/>
      <c r="T5" s="161"/>
      <c r="U5" s="153"/>
    </row>
    <row r="6" spans="1:21" ht="22.7" customHeight="1" x14ac:dyDescent="0.25">
      <c r="A6" s="88" t="s">
        <v>3177</v>
      </c>
      <c r="B6" s="89">
        <v>5625.54</v>
      </c>
      <c r="C6" s="89">
        <v>3191.76</v>
      </c>
      <c r="D6" s="89">
        <v>8817.2900000000009</v>
      </c>
      <c r="E6" s="89">
        <v>117.01</v>
      </c>
      <c r="F6" s="89">
        <v>475.46</v>
      </c>
      <c r="G6" s="89">
        <v>592.45000000000005</v>
      </c>
      <c r="H6" s="89">
        <v>9409.74</v>
      </c>
      <c r="I6" s="89">
        <v>0.84</v>
      </c>
      <c r="J6" s="89">
        <v>0.84</v>
      </c>
      <c r="K6" s="89">
        <v>3.85</v>
      </c>
      <c r="L6" s="89">
        <v>13.75</v>
      </c>
      <c r="M6" s="89">
        <v>17.600000000000001</v>
      </c>
      <c r="N6" s="89">
        <v>43.52</v>
      </c>
      <c r="O6" s="89">
        <v>177.82</v>
      </c>
      <c r="P6" s="89">
        <v>221.34</v>
      </c>
      <c r="Q6" s="89">
        <v>239.78</v>
      </c>
      <c r="R6" s="91">
        <v>9649.52</v>
      </c>
      <c r="S6" s="83">
        <v>83.5</v>
      </c>
      <c r="T6" s="82">
        <v>19.3</v>
      </c>
      <c r="U6" s="84">
        <v>127.51</v>
      </c>
    </row>
    <row r="7" spans="1:21" ht="22.7" customHeight="1" x14ac:dyDescent="0.25">
      <c r="A7" s="83" t="s">
        <v>3270</v>
      </c>
      <c r="B7" s="61">
        <v>710.33</v>
      </c>
      <c r="C7" s="61" t="s">
        <v>2902</v>
      </c>
      <c r="D7" s="61">
        <v>710.33</v>
      </c>
      <c r="E7" s="61">
        <v>21.07</v>
      </c>
      <c r="F7" s="61" t="s">
        <v>2902</v>
      </c>
      <c r="G7" s="61">
        <v>21.07</v>
      </c>
      <c r="H7" s="61">
        <v>731.39</v>
      </c>
      <c r="I7" s="61" t="s">
        <v>2902</v>
      </c>
      <c r="J7" s="61" t="s">
        <v>2902</v>
      </c>
      <c r="K7" s="61" t="s">
        <v>2902</v>
      </c>
      <c r="L7" s="61" t="s">
        <v>2902</v>
      </c>
      <c r="M7" s="61" t="s">
        <v>2902</v>
      </c>
      <c r="N7" s="61" t="s">
        <v>2902</v>
      </c>
      <c r="O7" s="61" t="s">
        <v>2902</v>
      </c>
      <c r="P7" s="61" t="s">
        <v>2902</v>
      </c>
      <c r="Q7" s="61" t="s">
        <v>2902</v>
      </c>
      <c r="R7" s="92">
        <v>731.39</v>
      </c>
      <c r="S7" s="83" t="s">
        <v>2902</v>
      </c>
      <c r="T7" s="82" t="s">
        <v>2902</v>
      </c>
      <c r="U7" s="84" t="s">
        <v>2902</v>
      </c>
    </row>
    <row r="8" spans="1:21" ht="22.7" customHeight="1" thickBot="1" x14ac:dyDescent="0.3">
      <c r="A8" s="90" t="s">
        <v>3156</v>
      </c>
      <c r="B8" s="64">
        <v>6335.87</v>
      </c>
      <c r="C8" s="64">
        <v>3191.76</v>
      </c>
      <c r="D8" s="64">
        <v>9527.6200000000008</v>
      </c>
      <c r="E8" s="64">
        <v>138.08000000000001</v>
      </c>
      <c r="F8" s="64">
        <v>475.46</v>
      </c>
      <c r="G8" s="64">
        <v>613.5200000000001</v>
      </c>
      <c r="H8" s="64">
        <v>10141.129999999999</v>
      </c>
      <c r="I8" s="64">
        <v>0.84</v>
      </c>
      <c r="J8" s="64">
        <v>0.84</v>
      </c>
      <c r="K8" s="64">
        <v>3.85</v>
      </c>
      <c r="L8" s="64">
        <v>13.75</v>
      </c>
      <c r="M8" s="64">
        <v>17.600000000000001</v>
      </c>
      <c r="N8" s="64">
        <v>43.52</v>
      </c>
      <c r="O8" s="64">
        <v>177.82</v>
      </c>
      <c r="P8" s="64">
        <v>221.34</v>
      </c>
      <c r="Q8" s="64">
        <v>239.78</v>
      </c>
      <c r="R8" s="93">
        <v>10380.91</v>
      </c>
      <c r="S8" s="85">
        <v>83.5</v>
      </c>
      <c r="T8" s="86">
        <v>19.3</v>
      </c>
      <c r="U8" s="66">
        <v>127.51</v>
      </c>
    </row>
  </sheetData>
  <mergeCells count="21">
    <mergeCell ref="B4:G4"/>
    <mergeCell ref="I4:J4"/>
    <mergeCell ref="K4:M4"/>
    <mergeCell ref="N4:P4"/>
    <mergeCell ref="H2:H5"/>
    <mergeCell ref="S1:T1"/>
    <mergeCell ref="U1:U5"/>
    <mergeCell ref="S2:S5"/>
    <mergeCell ref="T2:T5"/>
    <mergeCell ref="A1:A5"/>
    <mergeCell ref="R1:R5"/>
    <mergeCell ref="B1:H1"/>
    <mergeCell ref="I1:Q1"/>
    <mergeCell ref="B2:G2"/>
    <mergeCell ref="I2:J2"/>
    <mergeCell ref="Q2:Q5"/>
    <mergeCell ref="K2:P2"/>
    <mergeCell ref="B3:D3"/>
    <mergeCell ref="E3:G3"/>
    <mergeCell ref="I3:J3"/>
    <mergeCell ref="K3:P3"/>
  </mergeCells>
  <conditionalFormatting sqref="A1:R5">
    <cfRule type="containsText" dxfId="145" priority="42" stopIfTrue="1" operator="containsText" text="шт.)">
      <formula>NOT(ISERROR(SEARCH("шт.)",A1)))</formula>
    </cfRule>
    <cfRule type="containsText" dxfId="144" priority="41" stopIfTrue="1" operator="containsText" text=", на ">
      <formula>NOT(ISERROR(SEARCH(", на ",A1)))</formula>
    </cfRule>
    <cfRule type="containsText" dxfId="143" priority="40" stopIfTrue="1" operator="containsText" text="Элементы на отм.">
      <formula>NOT(ISERROR(SEARCH("Элементы на отм.",A1)))</formula>
    </cfRule>
    <cfRule type="containsText" dxfId="142" priority="39" stopIfTrue="1" operator="containsText" text=" Прокат ">
      <formula>NOT(ISERROR(SEARCH(" Прокат ",A1)))</formula>
    </cfRule>
    <cfRule type="containsText" dxfId="141" priority="38" stopIfTrue="1" operator="containsText" text=" Изделия арматурные ">
      <formula>NOT(ISERROR(SEARCH(" Изделия арматурные ",A1)))</formula>
    </cfRule>
    <cfRule type="containsText" dxfId="140" priority="37" stopIfTrue="1" operator="containsText" text=" Материалы ">
      <formula>NOT(ISERROR(SEARCH(" Материалы ",A1)))</formula>
    </cfRule>
    <cfRule type="containsText" dxfId="139" priority="36" stopIfTrue="1" operator="containsText" text=" Изделия ">
      <formula>NOT(ISERROR(SEARCH(" Изделия ",A1)))</formula>
    </cfRule>
    <cfRule type="containsText" dxfId="138" priority="35" stopIfTrue="1" operator="containsText" text=" Сборочные единицы ">
      <formula>NOT(ISERROR(SEARCH(" Сборочные единицы ",A1)))</formula>
    </cfRule>
    <cfRule type="containsText" dxfId="137" priority="34" stopIfTrue="1" operator="containsText" text=" Заполнения проёмов ">
      <formula>NOT(ISERROR(SEARCH(" Заполнения проёмов ",A1)))</formula>
    </cfRule>
    <cfRule type="containsText" dxfId="136" priority="33" stopIfTrue="1" operator="containsText" text=" Сборочные единицы ">
      <formula>NOT(ISERROR(SEARCH(" Сборочные единицы ",A1)))</formula>
    </cfRule>
    <cfRule type="containsText" dxfId="135" priority="32" stopIfTrue="1" operator="containsText" text=" Заполнения проёмов ">
      <formula>NOT(ISERROR(SEARCH(" Заполнения проёмов ",A1)))</formula>
    </cfRule>
    <cfRule type="containsText" dxfId="134" priority="31" stopIfTrue="1" operator="containsText" text="!!!">
      <formula>NOT(ISERROR(SEARCH("!!!",A1)))</formula>
    </cfRule>
    <cfRule type="containsText" dxfId="133" priority="30" stopIfTrue="1" operator="containsText" text="ИЗ ФАЙЛА">
      <formula>NOT(ISERROR(SEARCH("ИЗ ФАЙЛА",A1)))</formula>
    </cfRule>
    <cfRule type="containsText" dxfId="132" priority="29" stopIfTrue="1" operator="containsText" text="С ЛИСТА">
      <formula>NOT(ISERROR(SEARCH("С ЛИСТА",A1)))</formula>
    </cfRule>
  </conditionalFormatting>
  <conditionalFormatting sqref="A6:R8">
    <cfRule type="containsText" dxfId="131" priority="28" stopIfTrue="1" operator="containsText" text="шт.)">
      <formula>NOT(ISERROR(SEARCH("шт.)",A6)))</formula>
    </cfRule>
    <cfRule type="containsText" dxfId="130" priority="27" stopIfTrue="1" operator="containsText" text=", на ">
      <formula>NOT(ISERROR(SEARCH(", на ",A6)))</formula>
    </cfRule>
    <cfRule type="containsText" dxfId="129" priority="26" stopIfTrue="1" operator="containsText" text="Элементы на отм.">
      <formula>NOT(ISERROR(SEARCH("Элементы на отм.",A6)))</formula>
    </cfRule>
    <cfRule type="containsText" dxfId="128" priority="25" stopIfTrue="1" operator="containsText" text=" Прокат ">
      <formula>NOT(ISERROR(SEARCH(" Прокат ",A6)))</formula>
    </cfRule>
    <cfRule type="containsText" dxfId="127" priority="24" stopIfTrue="1" operator="containsText" text=" Изделия арматурные ">
      <formula>NOT(ISERROR(SEARCH(" Изделия арматурные ",A6)))</formula>
    </cfRule>
    <cfRule type="containsText" dxfId="126" priority="23" stopIfTrue="1" operator="containsText" text=" Материалы ">
      <formula>NOT(ISERROR(SEARCH(" Материалы ",A6)))</formula>
    </cfRule>
    <cfRule type="containsText" dxfId="125" priority="22" stopIfTrue="1" operator="containsText" text=" Изделия ">
      <formula>NOT(ISERROR(SEARCH(" Изделия ",A6)))</formula>
    </cfRule>
    <cfRule type="containsText" dxfId="124" priority="21" stopIfTrue="1" operator="containsText" text=" Сборочные единицы ">
      <formula>NOT(ISERROR(SEARCH(" Сборочные единицы ",A6)))</formula>
    </cfRule>
    <cfRule type="containsText" dxfId="123" priority="20" stopIfTrue="1" operator="containsText" text=" Заполнения проёмов ">
      <formula>NOT(ISERROR(SEARCH(" Заполнения проёмов ",A6)))</formula>
    </cfRule>
    <cfRule type="containsText" dxfId="122" priority="19" stopIfTrue="1" operator="containsText" text=" Сборочные единицы ">
      <formula>NOT(ISERROR(SEARCH(" Сборочные единицы ",A6)))</formula>
    </cfRule>
    <cfRule type="containsText" dxfId="121" priority="18" stopIfTrue="1" operator="containsText" text=" Заполнения проёмов ">
      <formula>NOT(ISERROR(SEARCH(" Заполнения проёмов ",A6)))</formula>
    </cfRule>
    <cfRule type="containsText" dxfId="120" priority="17" stopIfTrue="1" operator="containsText" text="!!!">
      <formula>NOT(ISERROR(SEARCH("!!!",A6)))</formula>
    </cfRule>
    <cfRule type="containsText" dxfId="119" priority="16" stopIfTrue="1" operator="containsText" text="ИЗ ФАЙЛА">
      <formula>NOT(ISERROR(SEARCH("ИЗ ФАЙЛА",A6)))</formula>
    </cfRule>
    <cfRule type="containsText" dxfId="118" priority="15" stopIfTrue="1" operator="containsText" text="С ЛИСТА">
      <formula>NOT(ISERROR(SEARCH("С ЛИСТА",A6)))</formula>
    </cfRule>
  </conditionalFormatting>
  <conditionalFormatting sqref="S1:U8">
    <cfRule type="containsText" dxfId="117" priority="14" stopIfTrue="1" operator="containsText" text="шт.)">
      <formula>NOT(ISERROR(SEARCH("шт.)",S1)))</formula>
    </cfRule>
    <cfRule type="containsText" dxfId="116" priority="13" stopIfTrue="1" operator="containsText" text=", на ">
      <formula>NOT(ISERROR(SEARCH(", на ",S1)))</formula>
    </cfRule>
    <cfRule type="containsText" dxfId="115" priority="12" stopIfTrue="1" operator="containsText" text="Элементы на отм.">
      <formula>NOT(ISERROR(SEARCH("Элементы на отм.",S1)))</formula>
    </cfRule>
    <cfRule type="containsText" dxfId="114" priority="11" stopIfTrue="1" operator="containsText" text=" Прокат ">
      <formula>NOT(ISERROR(SEARCH(" Прокат ",S1)))</formula>
    </cfRule>
    <cfRule type="containsText" dxfId="113" priority="10" stopIfTrue="1" operator="containsText" text=" Изделия арматурные ">
      <formula>NOT(ISERROR(SEARCH(" Изделия арматурные ",S1)))</formula>
    </cfRule>
    <cfRule type="containsText" dxfId="112" priority="9" stopIfTrue="1" operator="containsText" text=" Материалы ">
      <formula>NOT(ISERROR(SEARCH(" Материалы ",S1)))</formula>
    </cfRule>
    <cfRule type="containsText" dxfId="111" priority="8" stopIfTrue="1" operator="containsText" text=" Изделия ">
      <formula>NOT(ISERROR(SEARCH(" Изделия ",S1)))</formula>
    </cfRule>
    <cfRule type="containsText" dxfId="110" priority="7" stopIfTrue="1" operator="containsText" text=" Сборочные единицы ">
      <formula>NOT(ISERROR(SEARCH(" Сборочные единицы ",S1)))</formula>
    </cfRule>
    <cfRule type="containsText" dxfId="109" priority="6" stopIfTrue="1" operator="containsText" text=" Заполнения проёмов ">
      <formula>NOT(ISERROR(SEARCH(" Заполнения проёмов ",S1)))</formula>
    </cfRule>
    <cfRule type="containsText" dxfId="108" priority="5" stopIfTrue="1" operator="containsText" text=" Сборочные единицы ">
      <formula>NOT(ISERROR(SEARCH(" Сборочные единицы ",S1)))</formula>
    </cfRule>
    <cfRule type="containsText" dxfId="107" priority="4" stopIfTrue="1" operator="containsText" text=" Заполнения проёмов ">
      <formula>NOT(ISERROR(SEARCH(" Заполнения проёмов ",S1)))</formula>
    </cfRule>
    <cfRule type="containsText" dxfId="106" priority="3" stopIfTrue="1" operator="containsText" text="!!!">
      <formula>NOT(ISERROR(SEARCH("!!!",S1)))</formula>
    </cfRule>
    <cfRule type="containsText" dxfId="105" priority="2" stopIfTrue="1" operator="containsText" text="ИЗ ФАЙЛА">
      <formula>NOT(ISERROR(SEARCH("ИЗ ФАЙЛА",S1)))</formula>
    </cfRule>
    <cfRule type="containsText" dxfId="104" priority="1" stopIfTrue="1" operator="containsText" text="С ЛИСТА">
      <formula>NOT(ISERROR(SEARCH("С ЛИСТА",S1)))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R23"/>
  <sheetViews>
    <sheetView workbookViewId="0">
      <selection activeCell="C30" sqref="C30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1.5" x14ac:dyDescent="0.25">
      <c r="A1" s="104" t="s">
        <v>2903</v>
      </c>
      <c r="B1" s="105" t="s">
        <v>2904</v>
      </c>
      <c r="C1" s="105" t="s">
        <v>2905</v>
      </c>
      <c r="D1" s="105" t="s">
        <v>2906</v>
      </c>
      <c r="E1" s="105" t="s">
        <v>2907</v>
      </c>
      <c r="F1" s="106" t="s">
        <v>2908</v>
      </c>
    </row>
    <row r="2" spans="1:6" ht="15.75" x14ac:dyDescent="0.25">
      <c r="A2" s="148" t="s">
        <v>3090</v>
      </c>
      <c r="B2" s="149"/>
      <c r="C2" s="149"/>
      <c r="D2" s="149"/>
      <c r="E2" s="149"/>
      <c r="F2" s="150"/>
    </row>
    <row r="3" spans="1:6" ht="15.75" x14ac:dyDescent="0.25">
      <c r="A3" s="99">
        <v>1</v>
      </c>
      <c r="B3" s="151" t="s">
        <v>3066</v>
      </c>
      <c r="C3" s="98" t="s">
        <v>3230</v>
      </c>
      <c r="D3" s="98">
        <v>2643</v>
      </c>
      <c r="E3" s="98">
        <v>1.208</v>
      </c>
      <c r="F3" s="100" t="s">
        <v>3282</v>
      </c>
    </row>
    <row r="4" spans="1:6" ht="15.75" x14ac:dyDescent="0.25">
      <c r="A4" s="99">
        <v>2</v>
      </c>
      <c r="B4" s="151"/>
      <c r="C4" s="98" t="s">
        <v>3231</v>
      </c>
      <c r="D4" s="98">
        <v>3234</v>
      </c>
      <c r="E4" s="98">
        <v>0.88800000000000001</v>
      </c>
      <c r="F4" s="100" t="s">
        <v>3283</v>
      </c>
    </row>
    <row r="5" spans="1:6" ht="15.75" x14ac:dyDescent="0.25">
      <c r="A5" s="99" t="s">
        <v>3284</v>
      </c>
      <c r="B5" s="151"/>
      <c r="C5" s="98" t="s">
        <v>3232</v>
      </c>
      <c r="D5" s="98">
        <v>1070</v>
      </c>
      <c r="E5" s="98" t="s">
        <v>3272</v>
      </c>
      <c r="F5" s="100" t="s">
        <v>3285</v>
      </c>
    </row>
    <row r="6" spans="1:6" ht="15.75" x14ac:dyDescent="0.25">
      <c r="A6" s="99" t="s">
        <v>3286</v>
      </c>
      <c r="B6" s="151"/>
      <c r="C6" s="98" t="s">
        <v>3271</v>
      </c>
      <c r="D6" s="98">
        <v>1</v>
      </c>
      <c r="E6" s="98" t="s">
        <v>3280</v>
      </c>
      <c r="F6" s="100" t="s">
        <v>3287</v>
      </c>
    </row>
    <row r="7" spans="1:6" ht="15.75" x14ac:dyDescent="0.25">
      <c r="A7" s="99" t="s">
        <v>3286</v>
      </c>
      <c r="B7" s="151"/>
      <c r="C7" s="98" t="s">
        <v>3233</v>
      </c>
      <c r="D7" s="98">
        <v>1070</v>
      </c>
      <c r="E7" s="98" t="s">
        <v>3273</v>
      </c>
      <c r="F7" s="100" t="s">
        <v>3288</v>
      </c>
    </row>
    <row r="8" spans="1:6" ht="15.75" x14ac:dyDescent="0.25">
      <c r="A8" s="99" t="s">
        <v>3289</v>
      </c>
      <c r="B8" s="151"/>
      <c r="C8" s="98" t="s">
        <v>3234</v>
      </c>
      <c r="D8" s="98">
        <v>3</v>
      </c>
      <c r="E8" s="98" t="s">
        <v>3274</v>
      </c>
      <c r="F8" s="100" t="s">
        <v>3290</v>
      </c>
    </row>
    <row r="9" spans="1:6" ht="15.75" x14ac:dyDescent="0.25">
      <c r="A9" s="99" t="s">
        <v>3115</v>
      </c>
      <c r="B9" s="98" t="s">
        <v>2902</v>
      </c>
      <c r="C9" s="98" t="s">
        <v>3114</v>
      </c>
      <c r="D9" s="98">
        <v>185</v>
      </c>
      <c r="E9" s="98">
        <v>2.5799999999999996</v>
      </c>
      <c r="F9" s="100" t="s">
        <v>3291</v>
      </c>
    </row>
    <row r="10" spans="1:6" ht="15.75" x14ac:dyDescent="0.25">
      <c r="A10" s="99" t="s">
        <v>3107</v>
      </c>
      <c r="B10" s="151" t="s">
        <v>3102</v>
      </c>
      <c r="C10" s="98" t="s">
        <v>3111</v>
      </c>
      <c r="D10" s="98">
        <v>1</v>
      </c>
      <c r="E10" s="98">
        <v>5.21</v>
      </c>
      <c r="F10" s="100" t="s">
        <v>3292</v>
      </c>
    </row>
    <row r="11" spans="1:6" ht="15.75" x14ac:dyDescent="0.25">
      <c r="A11" s="99" t="s">
        <v>3105</v>
      </c>
      <c r="B11" s="151"/>
      <c r="C11" s="98" t="s">
        <v>3104</v>
      </c>
      <c r="D11" s="98">
        <v>17</v>
      </c>
      <c r="E11" s="98">
        <v>11.09</v>
      </c>
      <c r="F11" s="100" t="s">
        <v>3293</v>
      </c>
    </row>
    <row r="12" spans="1:6" ht="15.75" x14ac:dyDescent="0.25">
      <c r="A12" s="99" t="s">
        <v>3103</v>
      </c>
      <c r="B12" s="151"/>
      <c r="C12" s="98" t="s">
        <v>3101</v>
      </c>
      <c r="D12" s="98">
        <v>4</v>
      </c>
      <c r="E12" s="98">
        <v>11.52</v>
      </c>
      <c r="F12" s="100" t="s">
        <v>3294</v>
      </c>
    </row>
    <row r="13" spans="1:6" ht="15.75" x14ac:dyDescent="0.25">
      <c r="A13" s="99" t="s">
        <v>2902</v>
      </c>
      <c r="B13" s="98" t="s">
        <v>2902</v>
      </c>
      <c r="C13" s="98" t="s">
        <v>3077</v>
      </c>
      <c r="D13" s="98">
        <v>6.8</v>
      </c>
      <c r="E13" s="98" t="s">
        <v>2902</v>
      </c>
      <c r="F13" s="100" t="s">
        <v>20</v>
      </c>
    </row>
    <row r="14" spans="1:6" ht="15.75" x14ac:dyDescent="0.25">
      <c r="A14" s="99" t="s">
        <v>2902</v>
      </c>
      <c r="B14" s="151" t="s">
        <v>3081</v>
      </c>
      <c r="C14" s="98" t="s">
        <v>3089</v>
      </c>
      <c r="D14" s="98" t="s">
        <v>3275</v>
      </c>
      <c r="E14" s="98" t="s">
        <v>2902</v>
      </c>
      <c r="F14" s="100" t="s">
        <v>3</v>
      </c>
    </row>
    <row r="15" spans="1:6" ht="15.75" x14ac:dyDescent="0.25">
      <c r="A15" s="99" t="s">
        <v>2902</v>
      </c>
      <c r="B15" s="151"/>
      <c r="C15" s="98" t="s">
        <v>3229</v>
      </c>
      <c r="D15" s="98" t="s">
        <v>3276</v>
      </c>
      <c r="E15" s="98" t="s">
        <v>2902</v>
      </c>
      <c r="F15" s="100" t="s">
        <v>3</v>
      </c>
    </row>
    <row r="16" spans="1:6" ht="15.75" x14ac:dyDescent="0.25">
      <c r="A16" s="99" t="s">
        <v>2902</v>
      </c>
      <c r="B16" s="151"/>
      <c r="C16" s="98" t="s">
        <v>3088</v>
      </c>
      <c r="D16" s="98" t="s">
        <v>3277</v>
      </c>
      <c r="E16" s="98" t="s">
        <v>2902</v>
      </c>
      <c r="F16" s="100" t="s">
        <v>3</v>
      </c>
    </row>
    <row r="17" spans="1:6" ht="15.75" x14ac:dyDescent="0.25">
      <c r="A17" s="99" t="s">
        <v>2902</v>
      </c>
      <c r="B17" s="151"/>
      <c r="C17" s="98" t="s">
        <v>3080</v>
      </c>
      <c r="D17" s="98">
        <v>1391</v>
      </c>
      <c r="E17" s="98" t="s">
        <v>2902</v>
      </c>
      <c r="F17" s="100" t="s">
        <v>2369</v>
      </c>
    </row>
    <row r="18" spans="1:6" ht="31.5" x14ac:dyDescent="0.25">
      <c r="A18" s="99" t="s">
        <v>2902</v>
      </c>
      <c r="B18" s="98" t="s">
        <v>3079</v>
      </c>
      <c r="C18" s="98" t="s">
        <v>3078</v>
      </c>
      <c r="D18" s="98" t="s">
        <v>3281</v>
      </c>
      <c r="E18" s="98" t="s">
        <v>2902</v>
      </c>
      <c r="F18" s="100" t="s">
        <v>2371</v>
      </c>
    </row>
    <row r="19" spans="1:6" ht="31.5" x14ac:dyDescent="0.25">
      <c r="A19" s="99" t="s">
        <v>2902</v>
      </c>
      <c r="B19" s="98" t="s">
        <v>2902</v>
      </c>
      <c r="C19" s="98" t="s">
        <v>3076</v>
      </c>
      <c r="D19" s="98" t="s">
        <v>3278</v>
      </c>
      <c r="E19" s="98" t="s">
        <v>2902</v>
      </c>
      <c r="F19" s="100" t="s">
        <v>2369</v>
      </c>
    </row>
    <row r="20" spans="1:6" ht="15.75" x14ac:dyDescent="0.25">
      <c r="A20" s="148" t="s">
        <v>3261</v>
      </c>
      <c r="B20" s="149"/>
      <c r="C20" s="149"/>
      <c r="D20" s="149"/>
      <c r="E20" s="149"/>
      <c r="F20" s="150"/>
    </row>
    <row r="21" spans="1:6" ht="15.75" x14ac:dyDescent="0.25">
      <c r="A21" s="99" t="s">
        <v>3284</v>
      </c>
      <c r="B21" s="151" t="s">
        <v>3066</v>
      </c>
      <c r="C21" s="98" t="s">
        <v>3260</v>
      </c>
      <c r="D21" s="98">
        <v>4</v>
      </c>
      <c r="E21" s="98" t="s">
        <v>3279</v>
      </c>
      <c r="F21" s="100" t="s">
        <v>3295</v>
      </c>
    </row>
    <row r="22" spans="1:6" ht="15.75" x14ac:dyDescent="0.25">
      <c r="A22" s="99">
        <v>4</v>
      </c>
      <c r="B22" s="151"/>
      <c r="C22" s="98" t="s">
        <v>3231</v>
      </c>
      <c r="D22" s="98">
        <v>800</v>
      </c>
      <c r="E22" s="98">
        <v>0.88800000000000001</v>
      </c>
      <c r="F22" s="100" t="s">
        <v>3296</v>
      </c>
    </row>
    <row r="23" spans="1:6" ht="16.5" thickBot="1" x14ac:dyDescent="0.3">
      <c r="A23" s="101" t="s">
        <v>3289</v>
      </c>
      <c r="B23" s="155"/>
      <c r="C23" s="102" t="s">
        <v>3234</v>
      </c>
      <c r="D23" s="102">
        <v>351</v>
      </c>
      <c r="E23" s="102" t="s">
        <v>3274</v>
      </c>
      <c r="F23" s="103" t="s">
        <v>3297</v>
      </c>
    </row>
  </sheetData>
  <mergeCells count="6">
    <mergeCell ref="B21:B23"/>
    <mergeCell ref="A2:F2"/>
    <mergeCell ref="B14:B17"/>
    <mergeCell ref="A20:F20"/>
    <mergeCell ref="B3:B8"/>
    <mergeCell ref="B10:B12"/>
  </mergeCells>
  <conditionalFormatting sqref="A1:F23">
    <cfRule type="containsText" dxfId="103" priority="14" stopIfTrue="1" operator="containsText" text="шт.)">
      <formula>NOT(ISERROR(SEARCH("шт.)",A1)))</formula>
    </cfRule>
    <cfRule type="containsText" dxfId="102" priority="13" stopIfTrue="1" operator="containsText" text=", на ">
      <formula>NOT(ISERROR(SEARCH(", на ",A1)))</formula>
    </cfRule>
    <cfRule type="containsText" dxfId="101" priority="12" stopIfTrue="1" operator="containsText" text="Элементы на отм.">
      <formula>NOT(ISERROR(SEARCH("Элементы на отм.",A1)))</formula>
    </cfRule>
    <cfRule type="containsText" dxfId="100" priority="11" stopIfTrue="1" operator="containsText" text=" Прокат ">
      <formula>NOT(ISERROR(SEARCH(" Прокат ",A1)))</formula>
    </cfRule>
    <cfRule type="containsText" dxfId="99" priority="10" stopIfTrue="1" operator="containsText" text=" Изделия арматурные ">
      <formula>NOT(ISERROR(SEARCH(" Изделия арматурные ",A1)))</formula>
    </cfRule>
    <cfRule type="containsText" dxfId="98" priority="9" stopIfTrue="1" operator="containsText" text=" Материалы ">
      <formula>NOT(ISERROR(SEARCH(" Материалы ",A1)))</formula>
    </cfRule>
    <cfRule type="containsText" dxfId="97" priority="8" stopIfTrue="1" operator="containsText" text=" Изделия ">
      <formula>NOT(ISERROR(SEARCH(" Изделия ",A1)))</formula>
    </cfRule>
    <cfRule type="containsText" dxfId="96" priority="7" stopIfTrue="1" operator="containsText" text=" Сборочные единицы ">
      <formula>NOT(ISERROR(SEARCH(" Сборочные единицы ",A1)))</formula>
    </cfRule>
    <cfRule type="containsText" dxfId="95" priority="6" stopIfTrue="1" operator="containsText" text=" Заполнения проёмов ">
      <formula>NOT(ISERROR(SEARCH(" Заполнения проёмов ",A1)))</formula>
    </cfRule>
    <cfRule type="containsText" dxfId="94" priority="5" stopIfTrue="1" operator="containsText" text=" Сборочные единицы ">
      <formula>NOT(ISERROR(SEARCH(" Сборочные единицы ",A1)))</formula>
    </cfRule>
    <cfRule type="containsText" dxfId="93" priority="4" stopIfTrue="1" operator="containsText" text=" Заполнения проёмов ">
      <formula>NOT(ISERROR(SEARCH(" Заполнения проёмов ",A1)))</formula>
    </cfRule>
    <cfRule type="containsText" dxfId="92" priority="3" stopIfTrue="1" operator="containsText" text="!!!">
      <formula>NOT(ISERROR(SEARCH("!!!",A1)))</formula>
    </cfRule>
    <cfRule type="containsText" dxfId="91" priority="2" stopIfTrue="1" operator="containsText" text="ИЗ ФАЙЛА">
      <formula>NOT(ISERROR(SEARCH("ИЗ ФАЙЛА",A1)))</formula>
    </cfRule>
    <cfRule type="containsText" dxfId="9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4</vt:i4>
      </vt:variant>
    </vt:vector>
  </HeadingPairs>
  <TitlesOfParts>
    <vt:vector size="24" baseType="lpstr">
      <vt:lpstr>|Содержание|</vt:lpstr>
      <vt:lpstr>|Лог|</vt:lpstr>
      <vt:lpstr>Спм1_спец</vt:lpstr>
      <vt:lpstr>Спм1_норм</vt:lpstr>
      <vt:lpstr>Пдм1_спец</vt:lpstr>
      <vt:lpstr>Отделка_экспл</vt:lpstr>
      <vt:lpstr>Отделка_правила</vt:lpstr>
      <vt:lpstr>Отделка_вед</vt:lpstr>
      <vt:lpstr>Кровля_спец</vt:lpstr>
      <vt:lpstr>Изделия_спец.И</vt:lpstr>
      <vt:lpstr>Ведомость отделки фасадов</vt:lpstr>
      <vt:lpstr>Бм_спец</vt:lpstr>
      <vt:lpstr>Лист1</vt:lpstr>
      <vt:lpstr>!System</vt:lpstr>
      <vt:lpstr>Кровля_об</vt:lpstr>
      <vt:lpstr>Пандус_об</vt:lpstr>
      <vt:lpstr>Спм1_гр</vt:lpstr>
      <vt:lpstr>Спм1</vt:lpstr>
      <vt:lpstr>Спм1_кж</vt:lpstr>
      <vt:lpstr>Спм1_об</vt:lpstr>
      <vt:lpstr>'Ведомость отделки фасадов'!Область_печати</vt:lpstr>
      <vt:lpstr>Кровля_об!Область_печати</vt:lpstr>
      <vt:lpstr>Отделка_вед!Область_печати</vt:lpstr>
      <vt:lpstr>Пандус_об!Область_печати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2020-09-14T12:36:14Z</dcterms:modified>
</cp:coreProperties>
</file>