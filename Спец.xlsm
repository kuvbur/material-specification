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updateLinks="always"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D:\Рогожин ДА\prog\YandexDisk\Работа\material-specification\"/>
    </mc:Choice>
  </mc:AlternateContent>
  <bookViews>
    <workbookView xWindow="9300" yWindow="0" windowWidth="17700" windowHeight="8340" tabRatio="850"/>
  </bookViews>
  <sheets>
    <sheet name="|Содержание|" sheetId="661" r:id="rId1"/>
    <sheet name="|Лог|" sheetId="948" r:id="rId2"/>
    <sheet name="Пфм1_спец" sheetId="969" r:id="rId3"/>
    <sheet name="Изделия_спец.И" sheetId="939" r:id="rId4"/>
    <sheet name="Ведомость отделки_правила" sheetId="999" r:id="rId5"/>
    <sheet name="Ведомость отделки_вед" sheetId="1000" r:id="rId6"/>
    <sheet name="Пример 4_грс" sheetId="996" r:id="rId7"/>
    <sheet name="Пример 4" sheetId="995" r:id="rId8"/>
    <sheet name="Пример 4_кж" sheetId="997" r:id="rId9"/>
    <sheet name="Пример 4_об" sheetId="994" r:id="rId10"/>
    <sheet name="Пример 4_гр" sheetId="998" r:id="rId11"/>
    <sheet name="Пример 4_зап" sheetId="993" r:id="rId12"/>
    <sheet name="!System" sheetId="932" state="hidden" r:id="rId13"/>
  </sheets>
  <functionGroups builtInGroupCount="18"/>
  <externalReferences>
    <externalReference r:id="rId14"/>
  </externalReferences>
  <definedNames>
    <definedName name="_xlnm.Print_Titles" localSheetId="11">'Пример 4_зап'!$1:$1</definedName>
    <definedName name="_xlnm.Print_Area" localSheetId="10">'Пример 4_гр'!$A$1:$F$13</definedName>
    <definedName name="_xlnm.Print_Area" localSheetId="8">'Пример 4_кж'!$A$1:$AI$17</definedName>
  </definedNames>
  <calcPr calcId="162913"/>
</workbook>
</file>

<file path=xl/calcChain.xml><?xml version="1.0" encoding="utf-8"?>
<calcChain xmlns="http://schemas.openxmlformats.org/spreadsheetml/2006/main">
  <c r="C8" i="999" l="1"/>
  <c r="C9" i="999"/>
  <c r="C10" i="999"/>
  <c r="C11" i="999"/>
  <c r="C12" i="999"/>
  <c r="C13" i="999"/>
  <c r="C7" i="999"/>
  <c r="D11" i="969" l="1"/>
  <c r="C16" i="969"/>
  <c r="H61" i="969"/>
  <c r="H89" i="969"/>
  <c r="H83" i="969"/>
  <c r="H56" i="969"/>
  <c r="H57" i="969"/>
  <c r="H66" i="969"/>
  <c r="H29" i="969"/>
  <c r="H84" i="969"/>
  <c r="H62" i="969"/>
  <c r="H82" i="969"/>
  <c r="H65" i="969"/>
  <c r="H43" i="969"/>
  <c r="H81" i="969"/>
  <c r="H30" i="969"/>
  <c r="H60" i="969"/>
  <c r="A10" i="969" l="1"/>
  <c r="A9" i="969" s="1"/>
  <c r="A8" i="969" s="1"/>
  <c r="A7" i="969" s="1"/>
  <c r="A6" i="969" s="1"/>
  <c r="A5" i="969" s="1"/>
  <c r="A4" i="969" s="1"/>
  <c r="E17" i="969"/>
  <c r="H17" i="969"/>
  <c r="H15" i="969"/>
  <c r="H14" i="969"/>
  <c r="A11" i="969" l="1"/>
  <c r="A12" i="969" s="1"/>
  <c r="E15" i="969"/>
  <c r="E14" i="969"/>
  <c r="A3" i="969"/>
  <c r="A13" i="969" l="1"/>
  <c r="A14" i="969" s="1"/>
  <c r="A15" i="969" l="1"/>
  <c r="A17" i="969" s="1"/>
  <c r="A18" i="969" s="1"/>
  <c r="A16" i="969"/>
  <c r="B5" i="939" l="1"/>
  <c r="D5" i="939" s="1"/>
  <c r="A6" i="939"/>
  <c r="A7" i="939"/>
  <c r="B10" i="939"/>
  <c r="D10" i="939" s="1"/>
  <c r="A11" i="939"/>
  <c r="A12" i="939"/>
  <c r="B15" i="939"/>
  <c r="A16" i="939"/>
  <c r="A17" i="939"/>
  <c r="B21" i="939"/>
  <c r="D21" i="939" s="1"/>
  <c r="A22" i="939"/>
  <c r="A23" i="939"/>
  <c r="B26" i="939"/>
  <c r="D26" i="939"/>
  <c r="A27" i="939"/>
  <c r="A28" i="939"/>
  <c r="B31" i="939"/>
  <c r="D31" i="939"/>
  <c r="A32" i="939"/>
  <c r="A33" i="939"/>
  <c r="B37" i="939"/>
  <c r="A38" i="939"/>
  <c r="A39" i="939" s="1"/>
  <c r="B42" i="939"/>
  <c r="A43" i="939"/>
  <c r="K43" i="939"/>
  <c r="A44" i="939"/>
  <c r="D15" i="939" l="1"/>
  <c r="D16" i="969" s="1"/>
  <c r="B16" i="969"/>
</calcChain>
</file>

<file path=xl/sharedStrings.xml><?xml version="1.0" encoding="utf-8"?>
<sst xmlns="http://schemas.openxmlformats.org/spreadsheetml/2006/main" count="5909" uniqueCount="3179">
  <si>
    <t>*</t>
  </si>
  <si>
    <t>A-I(A240)</t>
  </si>
  <si>
    <t>A500C</t>
  </si>
  <si>
    <t>куб.м.</t>
  </si>
  <si>
    <t>-</t>
  </si>
  <si>
    <t>С245</t>
  </si>
  <si>
    <t>тр_к_Труба_54157_2010</t>
  </si>
  <si>
    <t>140x120x5</t>
  </si>
  <si>
    <t>160x100x6</t>
  </si>
  <si>
    <t>180x100x6</t>
  </si>
  <si>
    <t>60x4</t>
  </si>
  <si>
    <t>80x3</t>
  </si>
  <si>
    <t>80x5</t>
  </si>
  <si>
    <t>100x7</t>
  </si>
  <si>
    <t>120x5</t>
  </si>
  <si>
    <t>16П</t>
  </si>
  <si>
    <t>30Ш2</t>
  </si>
  <si>
    <t>С235</t>
  </si>
  <si>
    <t>С255</t>
  </si>
  <si>
    <t>С345-3</t>
  </si>
  <si>
    <t>п.м.</t>
  </si>
  <si>
    <t>Тип 1</t>
  </si>
  <si>
    <t>Тип 2</t>
  </si>
  <si>
    <t>Тип 3</t>
  </si>
  <si>
    <t>|Содержание|</t>
  </si>
  <si>
    <t>|Лог|</t>
  </si>
  <si>
    <t>Системные</t>
  </si>
  <si>
    <t>Скрытые</t>
  </si>
  <si>
    <t>k_zap</t>
  </si>
  <si>
    <t>Дата</t>
  </si>
  <si>
    <t>arm_pm</t>
  </si>
  <si>
    <t>pr_pm</t>
  </si>
  <si>
    <t>keep_pos</t>
  </si>
  <si>
    <t>qtyOneSubpos</t>
  </si>
  <si>
    <t>show_subpos</t>
  </si>
  <si>
    <t>ignore_subpos</t>
  </si>
  <si>
    <t>merge_material</t>
  </si>
  <si>
    <t>otd_by_type</t>
  </si>
  <si>
    <t>add_row</t>
  </si>
  <si>
    <t>ed_izm_km</t>
  </si>
  <si>
    <t>separate_material</t>
  </si>
  <si>
    <t>show_type</t>
  </si>
  <si>
    <t>show_qty_spec</t>
  </si>
  <si>
    <t>decode</t>
  </si>
  <si>
    <t>тр_к_Труба_10704_91</t>
  </si>
  <si>
    <t>имя</t>
  </si>
  <si>
    <t>10x1</t>
  </si>
  <si>
    <t>10x1.2</t>
  </si>
  <si>
    <t>10.2x1</t>
  </si>
  <si>
    <t>10.2x1.2</t>
  </si>
  <si>
    <t>12x1</t>
  </si>
  <si>
    <t>12x1.2</t>
  </si>
  <si>
    <t>12x1.4</t>
  </si>
  <si>
    <t>12x1.5</t>
  </si>
  <si>
    <t>12x1.6</t>
  </si>
  <si>
    <t>13x1</t>
  </si>
  <si>
    <t>13x1.2</t>
  </si>
  <si>
    <t>13x1.4</t>
  </si>
  <si>
    <t>13x1.5</t>
  </si>
  <si>
    <t>13x1.6</t>
  </si>
  <si>
    <t>14x1</t>
  </si>
  <si>
    <t>14x1.2</t>
  </si>
  <si>
    <t>14x1.4</t>
  </si>
  <si>
    <t>14x1.5</t>
  </si>
  <si>
    <t>14x1.6</t>
  </si>
  <si>
    <t>15x1</t>
  </si>
  <si>
    <t>15x1.2</t>
  </si>
  <si>
    <t>15x1.4</t>
  </si>
  <si>
    <t>15x1.5</t>
  </si>
  <si>
    <t>15x1.6</t>
  </si>
  <si>
    <t>16x1</t>
  </si>
  <si>
    <t>16x1.2</t>
  </si>
  <si>
    <t>16x1.4</t>
  </si>
  <si>
    <t>16x1.5</t>
  </si>
  <si>
    <t>16x1.6</t>
  </si>
  <si>
    <t>17x1</t>
  </si>
  <si>
    <t>17x1.2</t>
  </si>
  <si>
    <t>17x1.4</t>
  </si>
  <si>
    <t>17x1.5</t>
  </si>
  <si>
    <t>17x1.6</t>
  </si>
  <si>
    <t>18x1</t>
  </si>
  <si>
    <t>18x1.2</t>
  </si>
  <si>
    <t>18x1.4</t>
  </si>
  <si>
    <t>18x1.5</t>
  </si>
  <si>
    <t>18x1.6</t>
  </si>
  <si>
    <t>18x1.8</t>
  </si>
  <si>
    <t>19x1</t>
  </si>
  <si>
    <t>19x1.2</t>
  </si>
  <si>
    <t>19x1.4</t>
  </si>
  <si>
    <t>19x1.5</t>
  </si>
  <si>
    <t>19x1.6</t>
  </si>
  <si>
    <t>19x1.8</t>
  </si>
  <si>
    <t>19x2</t>
  </si>
  <si>
    <t>20x1</t>
  </si>
  <si>
    <t>20x1.2</t>
  </si>
  <si>
    <t>20x1.4</t>
  </si>
  <si>
    <t>20x1.5</t>
  </si>
  <si>
    <t>20x1.6</t>
  </si>
  <si>
    <t>20x1.8</t>
  </si>
  <si>
    <t>20x2</t>
  </si>
  <si>
    <t>21.3x1</t>
  </si>
  <si>
    <t>21.3x1.2</t>
  </si>
  <si>
    <t>21.3x1.4</t>
  </si>
  <si>
    <t>21.3x1.5</t>
  </si>
  <si>
    <t>21.3x1.6</t>
  </si>
  <si>
    <t>21.3x1.8</t>
  </si>
  <si>
    <t>21.3x2</t>
  </si>
  <si>
    <t>22x1</t>
  </si>
  <si>
    <t>22x1.2</t>
  </si>
  <si>
    <t>22x1.4</t>
  </si>
  <si>
    <t>22x1.5</t>
  </si>
  <si>
    <t>22x1.6</t>
  </si>
  <si>
    <t>22x1.8</t>
  </si>
  <si>
    <t>22x2</t>
  </si>
  <si>
    <t>23x1</t>
  </si>
  <si>
    <t>23x1.2</t>
  </si>
  <si>
    <t>23x1.4</t>
  </si>
  <si>
    <t>23x1.5</t>
  </si>
  <si>
    <t>23x1.6</t>
  </si>
  <si>
    <t>23x1.8</t>
  </si>
  <si>
    <t>23x2</t>
  </si>
  <si>
    <t>23x2.2</t>
  </si>
  <si>
    <t>23x2.5</t>
  </si>
  <si>
    <t>24x1</t>
  </si>
  <si>
    <t>24x1.2</t>
  </si>
  <si>
    <t>24x1.4</t>
  </si>
  <si>
    <t>24x1.5</t>
  </si>
  <si>
    <t>24x1.6</t>
  </si>
  <si>
    <t>24x1.8</t>
  </si>
  <si>
    <t>24x2</t>
  </si>
  <si>
    <t>24x2.2</t>
  </si>
  <si>
    <t>24x2.5</t>
  </si>
  <si>
    <t>25x1</t>
  </si>
  <si>
    <t>25x1.2</t>
  </si>
  <si>
    <t>25x1.4</t>
  </si>
  <si>
    <t>25x1.5</t>
  </si>
  <si>
    <t>25x1.6</t>
  </si>
  <si>
    <t>25x1.8</t>
  </si>
  <si>
    <t>25x2</t>
  </si>
  <si>
    <t>25x2.2</t>
  </si>
  <si>
    <t>25x2.5</t>
  </si>
  <si>
    <t>26x1</t>
  </si>
  <si>
    <t>26x1.2</t>
  </si>
  <si>
    <t>26x1.4</t>
  </si>
  <si>
    <t>26x1.5</t>
  </si>
  <si>
    <t>26x1.6</t>
  </si>
  <si>
    <t>26x1.8</t>
  </si>
  <si>
    <t>26x2</t>
  </si>
  <si>
    <t>26x2.2</t>
  </si>
  <si>
    <t>26x2.5</t>
  </si>
  <si>
    <t>27x1</t>
  </si>
  <si>
    <t>27x1.2</t>
  </si>
  <si>
    <t>27x1.4</t>
  </si>
  <si>
    <t>27x1.5</t>
  </si>
  <si>
    <t>27x1.6</t>
  </si>
  <si>
    <t>27x1.8</t>
  </si>
  <si>
    <t>27x2</t>
  </si>
  <si>
    <t>27x2.2</t>
  </si>
  <si>
    <t>27x2.5</t>
  </si>
  <si>
    <t>28x1</t>
  </si>
  <si>
    <t>28x1.2</t>
  </si>
  <si>
    <t>28x1.4</t>
  </si>
  <si>
    <t>28x1.5</t>
  </si>
  <si>
    <t>28x1.6</t>
  </si>
  <si>
    <t>28x1.8</t>
  </si>
  <si>
    <t>28x2</t>
  </si>
  <si>
    <t>28x2.2</t>
  </si>
  <si>
    <t>28x2.5</t>
  </si>
  <si>
    <t>30x1</t>
  </si>
  <si>
    <t>30x1.2</t>
  </si>
  <si>
    <t>30x1.4</t>
  </si>
  <si>
    <t>30x1.5</t>
  </si>
  <si>
    <t>30x1.6</t>
  </si>
  <si>
    <t>30x1.8</t>
  </si>
  <si>
    <t>30x2</t>
  </si>
  <si>
    <t>30x2.2</t>
  </si>
  <si>
    <t>30x2.5</t>
  </si>
  <si>
    <t>32x1</t>
  </si>
  <si>
    <t>32x1.2</t>
  </si>
  <si>
    <t>32x1.4</t>
  </si>
  <si>
    <t>32x1.5</t>
  </si>
  <si>
    <t>32x1.6</t>
  </si>
  <si>
    <t>32x1.8</t>
  </si>
  <si>
    <t>32x2</t>
  </si>
  <si>
    <t>32x2.2</t>
  </si>
  <si>
    <t>32x2.5</t>
  </si>
  <si>
    <t>32x2.8</t>
  </si>
  <si>
    <t>32x3</t>
  </si>
  <si>
    <t>33x1</t>
  </si>
  <si>
    <t>33x1.2</t>
  </si>
  <si>
    <t>33x1.4</t>
  </si>
  <si>
    <t>33x1.5</t>
  </si>
  <si>
    <t>33x1.6</t>
  </si>
  <si>
    <t>33x1.8</t>
  </si>
  <si>
    <t>33x2</t>
  </si>
  <si>
    <t>33x2.2</t>
  </si>
  <si>
    <t>33x2.5</t>
  </si>
  <si>
    <t>33x2.8</t>
  </si>
  <si>
    <t>33x3</t>
  </si>
  <si>
    <t>33.7x1.2</t>
  </si>
  <si>
    <t>33.7x1.4</t>
  </si>
  <si>
    <t>33.7x1.5</t>
  </si>
  <si>
    <t>33.7x1.6</t>
  </si>
  <si>
    <t>33.7x1.8</t>
  </si>
  <si>
    <t>33.7x2</t>
  </si>
  <si>
    <t>33.7x2.2</t>
  </si>
  <si>
    <t>33.7x2.5</t>
  </si>
  <si>
    <t>33.7x2.8</t>
  </si>
  <si>
    <t>33.7x3</t>
  </si>
  <si>
    <t>35x1.2</t>
  </si>
  <si>
    <t>35x1.4</t>
  </si>
  <si>
    <t>35x1.5</t>
  </si>
  <si>
    <t>35x1.6</t>
  </si>
  <si>
    <t>35x1.8</t>
  </si>
  <si>
    <t>35x2</t>
  </si>
  <si>
    <t>35x2.2</t>
  </si>
  <si>
    <t>35x2.5</t>
  </si>
  <si>
    <t>35x2.8</t>
  </si>
  <si>
    <t>35x3</t>
  </si>
  <si>
    <t>36x1.2</t>
  </si>
  <si>
    <t>36x1.4</t>
  </si>
  <si>
    <t>36x1.5</t>
  </si>
  <si>
    <t>36x1.6</t>
  </si>
  <si>
    <t>36x1.8</t>
  </si>
  <si>
    <t>36x2</t>
  </si>
  <si>
    <t>36x2.2</t>
  </si>
  <si>
    <t>36x2.5</t>
  </si>
  <si>
    <t>36x2.8</t>
  </si>
  <si>
    <t>36x3</t>
  </si>
  <si>
    <t>38x1.2</t>
  </si>
  <si>
    <t>38x1.4</t>
  </si>
  <si>
    <t>38x1.5</t>
  </si>
  <si>
    <t>38x1.6</t>
  </si>
  <si>
    <t>38x1.8</t>
  </si>
  <si>
    <t>38x2</t>
  </si>
  <si>
    <t>38x2.2</t>
  </si>
  <si>
    <t>38x2.5</t>
  </si>
  <si>
    <t>38x2.8</t>
  </si>
  <si>
    <t>38x3</t>
  </si>
  <si>
    <t>40x1.2</t>
  </si>
  <si>
    <t>40x1.4</t>
  </si>
  <si>
    <t>40x1.5</t>
  </si>
  <si>
    <t>40x1.6</t>
  </si>
  <si>
    <t>40x1.8</t>
  </si>
  <si>
    <t>40x2</t>
  </si>
  <si>
    <t>40x2.2</t>
  </si>
  <si>
    <t>40x2.5</t>
  </si>
  <si>
    <t>40x2.8</t>
  </si>
  <si>
    <t>40x3</t>
  </si>
  <si>
    <t>42x1.2</t>
  </si>
  <si>
    <t>42x1.4</t>
  </si>
  <si>
    <t>42x1.5</t>
  </si>
  <si>
    <t>42x1.6</t>
  </si>
  <si>
    <t>42x1.8</t>
  </si>
  <si>
    <t>42x2</t>
  </si>
  <si>
    <t>42x2.2</t>
  </si>
  <si>
    <t>42x2.5</t>
  </si>
  <si>
    <t>42x2.8</t>
  </si>
  <si>
    <t>42x3</t>
  </si>
  <si>
    <t>44.5x1.2</t>
  </si>
  <si>
    <t>44.5x1.4</t>
  </si>
  <si>
    <t>44.5x1.5</t>
  </si>
  <si>
    <t>44.5x1.6</t>
  </si>
  <si>
    <t>44.5x1.8</t>
  </si>
  <si>
    <t>44.5x2</t>
  </si>
  <si>
    <t>44.5x2.2</t>
  </si>
  <si>
    <t>44.5x2.5</t>
  </si>
  <si>
    <t>44.5x2.8</t>
  </si>
  <si>
    <t>44.5x3</t>
  </si>
  <si>
    <t>45x1.2</t>
  </si>
  <si>
    <t>45x1.4</t>
  </si>
  <si>
    <t>45x1.5</t>
  </si>
  <si>
    <t>45x1.6</t>
  </si>
  <si>
    <t>45x1.8</t>
  </si>
  <si>
    <t>45x2</t>
  </si>
  <si>
    <t>45x2.2</t>
  </si>
  <si>
    <t>45x2.5</t>
  </si>
  <si>
    <t>45x2.8</t>
  </si>
  <si>
    <t>45x3</t>
  </si>
  <si>
    <t>48x1.4</t>
  </si>
  <si>
    <t>48x1.5</t>
  </si>
  <si>
    <t>48x1.6</t>
  </si>
  <si>
    <t>48x1.8</t>
  </si>
  <si>
    <t>48x2</t>
  </si>
  <si>
    <t>48x2.2</t>
  </si>
  <si>
    <t>48x2.5</t>
  </si>
  <si>
    <t>48x2.8</t>
  </si>
  <si>
    <t>48x3</t>
  </si>
  <si>
    <t>48x3.2</t>
  </si>
  <si>
    <t>48x3.5</t>
  </si>
  <si>
    <t>48.3x1.4</t>
  </si>
  <si>
    <t>48.3x1.5</t>
  </si>
  <si>
    <t>48.3x1.6</t>
  </si>
  <si>
    <t>48.3x1.8</t>
  </si>
  <si>
    <t>48.3x2</t>
  </si>
  <si>
    <t>48.3x2.2</t>
  </si>
  <si>
    <t>48.3x2.5</t>
  </si>
  <si>
    <t>48.3x2.8</t>
  </si>
  <si>
    <t>48.3x3</t>
  </si>
  <si>
    <t>48.3x3.2</t>
  </si>
  <si>
    <t>48.3x3.5</t>
  </si>
  <si>
    <t>51x1.4</t>
  </si>
  <si>
    <t>51x1.5</t>
  </si>
  <si>
    <t>51x1.6</t>
  </si>
  <si>
    <t>51x1.8</t>
  </si>
  <si>
    <t>51x2</t>
  </si>
  <si>
    <t>51x2.2</t>
  </si>
  <si>
    <t>51x2.5</t>
  </si>
  <si>
    <t>51x2.8</t>
  </si>
  <si>
    <t>51x3</t>
  </si>
  <si>
    <t>51x3.2</t>
  </si>
  <si>
    <t>51x3.5</t>
  </si>
  <si>
    <t>53x1.4</t>
  </si>
  <si>
    <t>53x1.5</t>
  </si>
  <si>
    <t>53x1.6</t>
  </si>
  <si>
    <t>53x1.8</t>
  </si>
  <si>
    <t>53x2</t>
  </si>
  <si>
    <t>53x2.2</t>
  </si>
  <si>
    <t>53x2.5</t>
  </si>
  <si>
    <t>53x2.8</t>
  </si>
  <si>
    <t>53x3</t>
  </si>
  <si>
    <t>53x3.2</t>
  </si>
  <si>
    <t>53x3.5</t>
  </si>
  <si>
    <t>54x1.4</t>
  </si>
  <si>
    <t>54x1.5</t>
  </si>
  <si>
    <t>54x1.6</t>
  </si>
  <si>
    <t>54x1.8</t>
  </si>
  <si>
    <t>54x2</t>
  </si>
  <si>
    <t>54x2.2</t>
  </si>
  <si>
    <t>54x2.5</t>
  </si>
  <si>
    <t>54x2.8</t>
  </si>
  <si>
    <t>54x3</t>
  </si>
  <si>
    <t>54x3.2</t>
  </si>
  <si>
    <t>54x3.5</t>
  </si>
  <si>
    <t>57x1.4</t>
  </si>
  <si>
    <t>57x1.5</t>
  </si>
  <si>
    <t>57x1.6</t>
  </si>
  <si>
    <t>57x1.8</t>
  </si>
  <si>
    <t>57x2</t>
  </si>
  <si>
    <t>57x2.2</t>
  </si>
  <si>
    <t>57x2.5</t>
  </si>
  <si>
    <t>57x2.8</t>
  </si>
  <si>
    <t>57x3</t>
  </si>
  <si>
    <t>57x3.2</t>
  </si>
  <si>
    <t>57x3.5</t>
  </si>
  <si>
    <t>60x1.4</t>
  </si>
  <si>
    <t>60x1.5</t>
  </si>
  <si>
    <t>60x1.6</t>
  </si>
  <si>
    <t>60x1.8</t>
  </si>
  <si>
    <t>60x2</t>
  </si>
  <si>
    <t>60x2.2</t>
  </si>
  <si>
    <t>60x2.5</t>
  </si>
  <si>
    <t>60x2.8</t>
  </si>
  <si>
    <t>60x3</t>
  </si>
  <si>
    <t>60x3.2</t>
  </si>
  <si>
    <t>60x3.5</t>
  </si>
  <si>
    <t>60x3.8</t>
  </si>
  <si>
    <t>63.5x1.4</t>
  </si>
  <si>
    <t>63.5x1.5</t>
  </si>
  <si>
    <t>63.5x1.6</t>
  </si>
  <si>
    <t>63.5x1.8</t>
  </si>
  <si>
    <t>63.5x2</t>
  </si>
  <si>
    <t>63.5x2.2</t>
  </si>
  <si>
    <t>63.5x2.5</t>
  </si>
  <si>
    <t>63.5x2.8</t>
  </si>
  <si>
    <t>63.5x3</t>
  </si>
  <si>
    <t>63.5x3.2</t>
  </si>
  <si>
    <t>63.5x3.5</t>
  </si>
  <si>
    <t>63.5x3.8</t>
  </si>
  <si>
    <t>70x1.4</t>
  </si>
  <si>
    <t>70x1.5</t>
  </si>
  <si>
    <t>70x1.6</t>
  </si>
  <si>
    <t>70x1.8</t>
  </si>
  <si>
    <t>70x2</t>
  </si>
  <si>
    <t>70x2.2</t>
  </si>
  <si>
    <t>70x2.5</t>
  </si>
  <si>
    <t>70x2.8</t>
  </si>
  <si>
    <t>70x3</t>
  </si>
  <si>
    <t>70x3.2</t>
  </si>
  <si>
    <t>70x3.5</t>
  </si>
  <si>
    <t>70x3.8</t>
  </si>
  <si>
    <t>70x4</t>
  </si>
  <si>
    <t>73x1.4</t>
  </si>
  <si>
    <t>73x1.5</t>
  </si>
  <si>
    <t>73x1.6</t>
  </si>
  <si>
    <t>73x1.8</t>
  </si>
  <si>
    <t>73x2</t>
  </si>
  <si>
    <t>73x2.2</t>
  </si>
  <si>
    <t>73x2.5</t>
  </si>
  <si>
    <t>73x2.8</t>
  </si>
  <si>
    <t>73x3</t>
  </si>
  <si>
    <t>73x3.2</t>
  </si>
  <si>
    <t>73x3.5</t>
  </si>
  <si>
    <t>73x3.8</t>
  </si>
  <si>
    <t>73x4</t>
  </si>
  <si>
    <t>76x1.4</t>
  </si>
  <si>
    <t>76x1.5</t>
  </si>
  <si>
    <t>76x1.6</t>
  </si>
  <si>
    <t>76x1.8</t>
  </si>
  <si>
    <t>76x2</t>
  </si>
  <si>
    <t>76x2.2</t>
  </si>
  <si>
    <t>76x2.5</t>
  </si>
  <si>
    <t>76x2.8</t>
  </si>
  <si>
    <t>76x3</t>
  </si>
  <si>
    <t>76x3.2</t>
  </si>
  <si>
    <t>76x3.5</t>
  </si>
  <si>
    <t>76x3.8</t>
  </si>
  <si>
    <t>76x4</t>
  </si>
  <si>
    <t>76x4.5</t>
  </si>
  <si>
    <t>76x5</t>
  </si>
  <si>
    <t>76x5.5</t>
  </si>
  <si>
    <t>83x1.6</t>
  </si>
  <si>
    <t>83x1.8</t>
  </si>
  <si>
    <t>83x2</t>
  </si>
  <si>
    <t>83x2.2</t>
  </si>
  <si>
    <t>83x2.5</t>
  </si>
  <si>
    <t>83x2.8</t>
  </si>
  <si>
    <t>83x3</t>
  </si>
  <si>
    <t>83x3.2</t>
  </si>
  <si>
    <t>83x3.5</t>
  </si>
  <si>
    <t>83x3.8</t>
  </si>
  <si>
    <t>83x4</t>
  </si>
  <si>
    <t>83x4.5</t>
  </si>
  <si>
    <t>83x5</t>
  </si>
  <si>
    <t>83x5.5</t>
  </si>
  <si>
    <t>89x1.6</t>
  </si>
  <si>
    <t>89x1.8</t>
  </si>
  <si>
    <t>89x2</t>
  </si>
  <si>
    <t>89x2.2</t>
  </si>
  <si>
    <t>89x2.5</t>
  </si>
  <si>
    <t>89x2.8</t>
  </si>
  <si>
    <t>89x3</t>
  </si>
  <si>
    <t>89x3.2</t>
  </si>
  <si>
    <t>89x3.5</t>
  </si>
  <si>
    <t>89x3.8</t>
  </si>
  <si>
    <t>89x4</t>
  </si>
  <si>
    <t>89x4.5</t>
  </si>
  <si>
    <t>89x5</t>
  </si>
  <si>
    <t>89x5.5</t>
  </si>
  <si>
    <t>95x2</t>
  </si>
  <si>
    <t>95x2.5</t>
  </si>
  <si>
    <t>95x3.2</t>
  </si>
  <si>
    <t>95x5</t>
  </si>
  <si>
    <t>102x1.8</t>
  </si>
  <si>
    <t>102x2</t>
  </si>
  <si>
    <t>102x2.2</t>
  </si>
  <si>
    <t>102x2.5</t>
  </si>
  <si>
    <t>102x2.8</t>
  </si>
  <si>
    <t>102x3</t>
  </si>
  <si>
    <t>102x3.2</t>
  </si>
  <si>
    <t>102x3.5</t>
  </si>
  <si>
    <t>102x3.8</t>
  </si>
  <si>
    <t>102x4</t>
  </si>
  <si>
    <t>102x4.5</t>
  </si>
  <si>
    <t>102x5</t>
  </si>
  <si>
    <t>102x5.5</t>
  </si>
  <si>
    <t>108x1.8</t>
  </si>
  <si>
    <t>108x2</t>
  </si>
  <si>
    <t>108x2.2</t>
  </si>
  <si>
    <t>108x2.5</t>
  </si>
  <si>
    <t>108x2.8</t>
  </si>
  <si>
    <t>108x3</t>
  </si>
  <si>
    <t>108x3.2</t>
  </si>
  <si>
    <t>108x3.5</t>
  </si>
  <si>
    <t>108x3.8</t>
  </si>
  <si>
    <t>108x4</t>
  </si>
  <si>
    <t>108x4.5</t>
  </si>
  <si>
    <t>108x5</t>
  </si>
  <si>
    <t>108x5.5</t>
  </si>
  <si>
    <t>114x1.8</t>
  </si>
  <si>
    <t>114x2</t>
  </si>
  <si>
    <t>114x2.2</t>
  </si>
  <si>
    <t>114x2.5</t>
  </si>
  <si>
    <t>114x2.8</t>
  </si>
  <si>
    <t>114x3</t>
  </si>
  <si>
    <t>114x3.2</t>
  </si>
  <si>
    <t>114x3.5</t>
  </si>
  <si>
    <t>114x3.8</t>
  </si>
  <si>
    <t>114x4</t>
  </si>
  <si>
    <t>114x4.5</t>
  </si>
  <si>
    <t>114x5</t>
  </si>
  <si>
    <t>114x5.5</t>
  </si>
  <si>
    <t>127x1.8</t>
  </si>
  <si>
    <t>127x2</t>
  </si>
  <si>
    <t>127x2.2</t>
  </si>
  <si>
    <t>127x2.5</t>
  </si>
  <si>
    <t>127x2.8</t>
  </si>
  <si>
    <t>127x3</t>
  </si>
  <si>
    <t>127x3.2</t>
  </si>
  <si>
    <t>127x3.5</t>
  </si>
  <si>
    <t>127x3.8</t>
  </si>
  <si>
    <t>127x4</t>
  </si>
  <si>
    <t>127x4.5</t>
  </si>
  <si>
    <t>127x5</t>
  </si>
  <si>
    <t>127x5.5</t>
  </si>
  <si>
    <t>133x1.8</t>
  </si>
  <si>
    <t>133x2</t>
  </si>
  <si>
    <t>133x2.2</t>
  </si>
  <si>
    <t>133x2.5</t>
  </si>
  <si>
    <t>133x2.8</t>
  </si>
  <si>
    <t>133x3</t>
  </si>
  <si>
    <t>133x3.2</t>
  </si>
  <si>
    <t>133x3.5</t>
  </si>
  <si>
    <t>133x3.8</t>
  </si>
  <si>
    <t>133x4</t>
  </si>
  <si>
    <t>133x4.5</t>
  </si>
  <si>
    <t>133x5</t>
  </si>
  <si>
    <t>133x5.5</t>
  </si>
  <si>
    <t>140x1.8</t>
  </si>
  <si>
    <t>140x2</t>
  </si>
  <si>
    <t>140x2.2</t>
  </si>
  <si>
    <t>140x2.5</t>
  </si>
  <si>
    <t>140x2.8</t>
  </si>
  <si>
    <t>140x3</t>
  </si>
  <si>
    <t>140x3.2</t>
  </si>
  <si>
    <t>140x3.5</t>
  </si>
  <si>
    <t>140x3.8</t>
  </si>
  <si>
    <t>140x4</t>
  </si>
  <si>
    <t>140x4.5</t>
  </si>
  <si>
    <t>140x5</t>
  </si>
  <si>
    <t>140x5.5</t>
  </si>
  <si>
    <t>152x1.8</t>
  </si>
  <si>
    <t>152x2</t>
  </si>
  <si>
    <t>152x2.2</t>
  </si>
  <si>
    <t>152x2.5</t>
  </si>
  <si>
    <t>152x2.8</t>
  </si>
  <si>
    <t>152x3</t>
  </si>
  <si>
    <t>152x3.2</t>
  </si>
  <si>
    <t>152x3.5</t>
  </si>
  <si>
    <t>152x3.8</t>
  </si>
  <si>
    <t>152x4</t>
  </si>
  <si>
    <t>152x4.5</t>
  </si>
  <si>
    <t>152x5</t>
  </si>
  <si>
    <t>152x5.5</t>
  </si>
  <si>
    <t>159x1.8</t>
  </si>
  <si>
    <t>159x2</t>
  </si>
  <si>
    <t>159x2.2</t>
  </si>
  <si>
    <t>159x2.5</t>
  </si>
  <si>
    <t>159x2.8</t>
  </si>
  <si>
    <t>159x3</t>
  </si>
  <si>
    <t>159x3.2</t>
  </si>
  <si>
    <t>159x3.5</t>
  </si>
  <si>
    <t>159x3.8</t>
  </si>
  <si>
    <t>159x4</t>
  </si>
  <si>
    <t>159x4.5</t>
  </si>
  <si>
    <t>159x5</t>
  </si>
  <si>
    <t>159x5.5</t>
  </si>
  <si>
    <t>159x6</t>
  </si>
  <si>
    <t>159x7</t>
  </si>
  <si>
    <t>159x8</t>
  </si>
  <si>
    <t>168x1.8</t>
  </si>
  <si>
    <t>168x2</t>
  </si>
  <si>
    <t>168x2.2</t>
  </si>
  <si>
    <t>168x2.5</t>
  </si>
  <si>
    <t>168x2.8</t>
  </si>
  <si>
    <t>168x3</t>
  </si>
  <si>
    <t>168x3.2</t>
  </si>
  <si>
    <t>168x3.5</t>
  </si>
  <si>
    <t>168x3.8</t>
  </si>
  <si>
    <t>168x4</t>
  </si>
  <si>
    <t>168x4.5</t>
  </si>
  <si>
    <t>168x5</t>
  </si>
  <si>
    <t>168x5.5</t>
  </si>
  <si>
    <t>168x6</t>
  </si>
  <si>
    <t>168x7</t>
  </si>
  <si>
    <t>168x8</t>
  </si>
  <si>
    <t>177.8x1.8</t>
  </si>
  <si>
    <t>177.8x2</t>
  </si>
  <si>
    <t>177.8x2.2</t>
  </si>
  <si>
    <t>177.8x2.5</t>
  </si>
  <si>
    <t>177.8x2.8</t>
  </si>
  <si>
    <t>177.8x3</t>
  </si>
  <si>
    <t>177.8x3.2</t>
  </si>
  <si>
    <t>177.8x3.5</t>
  </si>
  <si>
    <t>177.8x3.8</t>
  </si>
  <si>
    <t>177.8x4</t>
  </si>
  <si>
    <t>177.8x4.5</t>
  </si>
  <si>
    <t>177.8x5</t>
  </si>
  <si>
    <t>177.8x5.5</t>
  </si>
  <si>
    <t>177.8x6</t>
  </si>
  <si>
    <t>177.8x7</t>
  </si>
  <si>
    <t>177.8x8</t>
  </si>
  <si>
    <t>180x4</t>
  </si>
  <si>
    <t>180x5</t>
  </si>
  <si>
    <t>193.7x2</t>
  </si>
  <si>
    <t>193.7x2.2</t>
  </si>
  <si>
    <t>193.7x2.5</t>
  </si>
  <si>
    <t>193.7x2.8</t>
  </si>
  <si>
    <t>193.7x3</t>
  </si>
  <si>
    <t>193.7x3.2</t>
  </si>
  <si>
    <t>193.7x3.5</t>
  </si>
  <si>
    <t>193.7x3.8</t>
  </si>
  <si>
    <t>193.7x4</t>
  </si>
  <si>
    <t>193.7x4.5</t>
  </si>
  <si>
    <t>193.7x5</t>
  </si>
  <si>
    <t>193.7x5.5</t>
  </si>
  <si>
    <t>193.7x6</t>
  </si>
  <si>
    <t>193.7x7</t>
  </si>
  <si>
    <t>193.7x8</t>
  </si>
  <si>
    <t>219x2.5</t>
  </si>
  <si>
    <t>219x2.8</t>
  </si>
  <si>
    <t>219x3</t>
  </si>
  <si>
    <t>219x3.2</t>
  </si>
  <si>
    <t>219x3.5</t>
  </si>
  <si>
    <t>219x3.8</t>
  </si>
  <si>
    <t>219x4</t>
  </si>
  <si>
    <t>219x4.5</t>
  </si>
  <si>
    <t>219x5</t>
  </si>
  <si>
    <t>219x5.5</t>
  </si>
  <si>
    <t>219x6</t>
  </si>
  <si>
    <t>219x7</t>
  </si>
  <si>
    <t>219x8</t>
  </si>
  <si>
    <t>219x9</t>
  </si>
  <si>
    <t>244.5x3</t>
  </si>
  <si>
    <t>244.5x3.2</t>
  </si>
  <si>
    <t>244.5x3.5</t>
  </si>
  <si>
    <t>244.5x3.8</t>
  </si>
  <si>
    <t>244.5x4</t>
  </si>
  <si>
    <t>244.5x4.5</t>
  </si>
  <si>
    <t>244.5x5</t>
  </si>
  <si>
    <t>244.5x5.5</t>
  </si>
  <si>
    <t>244.5x6</t>
  </si>
  <si>
    <t>244.5x7</t>
  </si>
  <si>
    <t>244.5x8</t>
  </si>
  <si>
    <t>244.5x9</t>
  </si>
  <si>
    <t>273x3.5</t>
  </si>
  <si>
    <t>273x3.8</t>
  </si>
  <si>
    <t>273x4</t>
  </si>
  <si>
    <t>273x4.5</t>
  </si>
  <si>
    <t>273x5</t>
  </si>
  <si>
    <t>273x5.5</t>
  </si>
  <si>
    <t>273x6</t>
  </si>
  <si>
    <t>273x7</t>
  </si>
  <si>
    <t>273x8</t>
  </si>
  <si>
    <t>273x9</t>
  </si>
  <si>
    <t>325x4</t>
  </si>
  <si>
    <t>325x4.5</t>
  </si>
  <si>
    <t>325x5</t>
  </si>
  <si>
    <t>325x5.5</t>
  </si>
  <si>
    <t>325x6</t>
  </si>
  <si>
    <t>325x7</t>
  </si>
  <si>
    <t>325x8</t>
  </si>
  <si>
    <t>325x9</t>
  </si>
  <si>
    <t>355.6x4</t>
  </si>
  <si>
    <t>355.6x4.5</t>
  </si>
  <si>
    <t>355.6x5</t>
  </si>
  <si>
    <t>355.6x5.5</t>
  </si>
  <si>
    <t>355.6x6</t>
  </si>
  <si>
    <t>355.6x7</t>
  </si>
  <si>
    <t>355.6x8</t>
  </si>
  <si>
    <t>355.6x9</t>
  </si>
  <si>
    <t>355.6x10</t>
  </si>
  <si>
    <t>377x4</t>
  </si>
  <si>
    <t>377x4.5</t>
  </si>
  <si>
    <t>377x5</t>
  </si>
  <si>
    <t>377x5.5</t>
  </si>
  <si>
    <t>377x6</t>
  </si>
  <si>
    <t>377x7</t>
  </si>
  <si>
    <t>377x8</t>
  </si>
  <si>
    <t>377x9</t>
  </si>
  <si>
    <t>377x10</t>
  </si>
  <si>
    <t>406.4x4</t>
  </si>
  <si>
    <t>406.4x4.5</t>
  </si>
  <si>
    <t>406.4x5</t>
  </si>
  <si>
    <t>406.4x5.5</t>
  </si>
  <si>
    <t>406.4x6</t>
  </si>
  <si>
    <t>406.4x7</t>
  </si>
  <si>
    <t>406.4x8</t>
  </si>
  <si>
    <t>406.4x9</t>
  </si>
  <si>
    <t>406.4x10</t>
  </si>
  <si>
    <t>406.4x11</t>
  </si>
  <si>
    <t>406.4x12</t>
  </si>
  <si>
    <t>426x4</t>
  </si>
  <si>
    <t>426x4.5</t>
  </si>
  <si>
    <t>426x5</t>
  </si>
  <si>
    <t>426x5.5</t>
  </si>
  <si>
    <t>426x6</t>
  </si>
  <si>
    <t>426x7</t>
  </si>
  <si>
    <t>426x8</t>
  </si>
  <si>
    <t>426x9</t>
  </si>
  <si>
    <t>426x10</t>
  </si>
  <si>
    <t>426x11</t>
  </si>
  <si>
    <t>426x12</t>
  </si>
  <si>
    <t>478x5</t>
  </si>
  <si>
    <t>478x5.5</t>
  </si>
  <si>
    <t>478x6</t>
  </si>
  <si>
    <t>478x7</t>
  </si>
  <si>
    <t>478x8</t>
  </si>
  <si>
    <t>478x9</t>
  </si>
  <si>
    <t>478x10</t>
  </si>
  <si>
    <t>478x11</t>
  </si>
  <si>
    <t>478x12</t>
  </si>
  <si>
    <t>530x5</t>
  </si>
  <si>
    <t>530x5.5</t>
  </si>
  <si>
    <t>530x6</t>
  </si>
  <si>
    <t>530x7</t>
  </si>
  <si>
    <t>530x8</t>
  </si>
  <si>
    <t>530x9</t>
  </si>
  <si>
    <t>530x10</t>
  </si>
  <si>
    <t>530x11</t>
  </si>
  <si>
    <t>530x12</t>
  </si>
  <si>
    <t>530x13</t>
  </si>
  <si>
    <t>530x14</t>
  </si>
  <si>
    <t>530x16</t>
  </si>
  <si>
    <t>530x17</t>
  </si>
  <si>
    <t>530x17.5</t>
  </si>
  <si>
    <t>530x18</t>
  </si>
  <si>
    <t>530x19</t>
  </si>
  <si>
    <t>530x20</t>
  </si>
  <si>
    <t>530x21</t>
  </si>
  <si>
    <t>530x22</t>
  </si>
  <si>
    <t>530x23</t>
  </si>
  <si>
    <t>530x24</t>
  </si>
  <si>
    <t>630x7</t>
  </si>
  <si>
    <t>630x8</t>
  </si>
  <si>
    <t>630x9</t>
  </si>
  <si>
    <t>630x10</t>
  </si>
  <si>
    <t>630x11</t>
  </si>
  <si>
    <t>630x12</t>
  </si>
  <si>
    <t>630x13</t>
  </si>
  <si>
    <t>630x14</t>
  </si>
  <si>
    <t>630x16</t>
  </si>
  <si>
    <t>630x17</t>
  </si>
  <si>
    <t>630x17.5</t>
  </si>
  <si>
    <t>630x18</t>
  </si>
  <si>
    <t>630x19</t>
  </si>
  <si>
    <t>630x20</t>
  </si>
  <si>
    <t>720x7</t>
  </si>
  <si>
    <t>720x8</t>
  </si>
  <si>
    <t>720x9</t>
  </si>
  <si>
    <t>720x10</t>
  </si>
  <si>
    <t>720x11</t>
  </si>
  <si>
    <t>720x12</t>
  </si>
  <si>
    <t>720x13</t>
  </si>
  <si>
    <t>720x14</t>
  </si>
  <si>
    <t>720x16</t>
  </si>
  <si>
    <t>720x17</t>
  </si>
  <si>
    <t>720x17.5</t>
  </si>
  <si>
    <t>720x18</t>
  </si>
  <si>
    <t>720x19</t>
  </si>
  <si>
    <t>720x20</t>
  </si>
  <si>
    <t>720x21</t>
  </si>
  <si>
    <t>720x22</t>
  </si>
  <si>
    <t>720x23</t>
  </si>
  <si>
    <t>720x24</t>
  </si>
  <si>
    <t>720x25</t>
  </si>
  <si>
    <t>720x26</t>
  </si>
  <si>
    <t>720x27</t>
  </si>
  <si>
    <t>720x28</t>
  </si>
  <si>
    <t>720x29</t>
  </si>
  <si>
    <t>720x30</t>
  </si>
  <si>
    <t>820x7</t>
  </si>
  <si>
    <t>820x8</t>
  </si>
  <si>
    <t>820x9</t>
  </si>
  <si>
    <t>820x10</t>
  </si>
  <si>
    <t>820x11</t>
  </si>
  <si>
    <t>820x12</t>
  </si>
  <si>
    <t>820x13</t>
  </si>
  <si>
    <t>820x14</t>
  </si>
  <si>
    <t>820x16</t>
  </si>
  <si>
    <t>820x17</t>
  </si>
  <si>
    <t>820x17.5</t>
  </si>
  <si>
    <t>820x18</t>
  </si>
  <si>
    <t>820x19</t>
  </si>
  <si>
    <t>820x20</t>
  </si>
  <si>
    <t>820x21</t>
  </si>
  <si>
    <t>820x22</t>
  </si>
  <si>
    <t>820x23</t>
  </si>
  <si>
    <t>820x24</t>
  </si>
  <si>
    <t>820x25</t>
  </si>
  <si>
    <t>820x26</t>
  </si>
  <si>
    <t>820x27</t>
  </si>
  <si>
    <t>820x28</t>
  </si>
  <si>
    <t>820x29</t>
  </si>
  <si>
    <t>820x30</t>
  </si>
  <si>
    <t>920x7</t>
  </si>
  <si>
    <t>920x8</t>
  </si>
  <si>
    <t>920x9</t>
  </si>
  <si>
    <t>920x10</t>
  </si>
  <si>
    <t>920x11</t>
  </si>
  <si>
    <t>920x12</t>
  </si>
  <si>
    <t>920x13</t>
  </si>
  <si>
    <t>920x14</t>
  </si>
  <si>
    <t>920x16</t>
  </si>
  <si>
    <t>920x17</t>
  </si>
  <si>
    <t>920x17.5</t>
  </si>
  <si>
    <t>920x18</t>
  </si>
  <si>
    <t>920x19</t>
  </si>
  <si>
    <t>920x20</t>
  </si>
  <si>
    <t>1020x8</t>
  </si>
  <si>
    <t>1020x9</t>
  </si>
  <si>
    <t>1020x10</t>
  </si>
  <si>
    <t>1020x11</t>
  </si>
  <si>
    <t>1020x12</t>
  </si>
  <si>
    <t>1020x13</t>
  </si>
  <si>
    <t>1020x14</t>
  </si>
  <si>
    <t>1020x16</t>
  </si>
  <si>
    <t>1020x17</t>
  </si>
  <si>
    <t>1020x17.5</t>
  </si>
  <si>
    <t>1020x18</t>
  </si>
  <si>
    <t>1020x19</t>
  </si>
  <si>
    <t>1020x20</t>
  </si>
  <si>
    <t>1020x21</t>
  </si>
  <si>
    <t>1020x22</t>
  </si>
  <si>
    <t>1020x23</t>
  </si>
  <si>
    <t>1020x24</t>
  </si>
  <si>
    <t>1020x25</t>
  </si>
  <si>
    <t>1020x26</t>
  </si>
  <si>
    <t>1020x27</t>
  </si>
  <si>
    <t>1020x28</t>
  </si>
  <si>
    <t>1020x29</t>
  </si>
  <si>
    <t>1020x30</t>
  </si>
  <si>
    <t>1020x31</t>
  </si>
  <si>
    <t>1020x32</t>
  </si>
  <si>
    <t>1120x8</t>
  </si>
  <si>
    <t>1120x9</t>
  </si>
  <si>
    <t>1120x10</t>
  </si>
  <si>
    <t>1120x11</t>
  </si>
  <si>
    <t>1120x12</t>
  </si>
  <si>
    <t>1120x13</t>
  </si>
  <si>
    <t>1120x14</t>
  </si>
  <si>
    <t>1120x16</t>
  </si>
  <si>
    <t>1120x17</t>
  </si>
  <si>
    <t>1120x17.5</t>
  </si>
  <si>
    <t>1120x18</t>
  </si>
  <si>
    <t>1120x19</t>
  </si>
  <si>
    <t>1120x20</t>
  </si>
  <si>
    <t>1220x9</t>
  </si>
  <si>
    <t>1220x10</t>
  </si>
  <si>
    <t>1220x11</t>
  </si>
  <si>
    <t>1220x12</t>
  </si>
  <si>
    <t>1220x13</t>
  </si>
  <si>
    <t>1220x14</t>
  </si>
  <si>
    <t>1220x16</t>
  </si>
  <si>
    <t>1220x17</t>
  </si>
  <si>
    <t>1220x17.5</t>
  </si>
  <si>
    <t>1220x18</t>
  </si>
  <si>
    <t>1220x19</t>
  </si>
  <si>
    <t>1220x20</t>
  </si>
  <si>
    <t>1420x10</t>
  </si>
  <si>
    <t>1420x11</t>
  </si>
  <si>
    <t>1420x12</t>
  </si>
  <si>
    <t>1420x13</t>
  </si>
  <si>
    <t>1420x14</t>
  </si>
  <si>
    <t>1420x16</t>
  </si>
  <si>
    <t>1420x17</t>
  </si>
  <si>
    <t>1420x17.5</t>
  </si>
  <si>
    <t>1420x18</t>
  </si>
  <si>
    <t>1420x19</t>
  </si>
  <si>
    <t>1420x20</t>
  </si>
  <si>
    <t>57.0x3.0</t>
  </si>
  <si>
    <t>57.0x3.2</t>
  </si>
  <si>
    <t>57.0x3.5</t>
  </si>
  <si>
    <t>60.0x3.0</t>
  </si>
  <si>
    <t>60.0x3.2</t>
  </si>
  <si>
    <t>60.0x3.5</t>
  </si>
  <si>
    <t>60.0x3.8</t>
  </si>
  <si>
    <t>63.5x3.0</t>
  </si>
  <si>
    <t>70.0x3.0</t>
  </si>
  <si>
    <t>70.0x3.2</t>
  </si>
  <si>
    <t>70.0x3.5</t>
  </si>
  <si>
    <t>70.0x3.8</t>
  </si>
  <si>
    <t>70.0x4.0</t>
  </si>
  <si>
    <t>73.0x3.0</t>
  </si>
  <si>
    <t>73.0x3.2</t>
  </si>
  <si>
    <t>73.0x3.5</t>
  </si>
  <si>
    <t>73.0x3.8</t>
  </si>
  <si>
    <t>73.0x4.0</t>
  </si>
  <si>
    <t>76.0x3.0</t>
  </si>
  <si>
    <t>76.0x3.2</t>
  </si>
  <si>
    <t>76.0x3.5</t>
  </si>
  <si>
    <t>76.0x3.8</t>
  </si>
  <si>
    <t>76.0x4.0</t>
  </si>
  <si>
    <t>76.0x4.5</t>
  </si>
  <si>
    <t>76.0x5.0</t>
  </si>
  <si>
    <t>76.0x5.5</t>
  </si>
  <si>
    <t>83.0x3.0</t>
  </si>
  <si>
    <t>83.0x3.2</t>
  </si>
  <si>
    <t>83.0x3.5</t>
  </si>
  <si>
    <t>83.0x3.8</t>
  </si>
  <si>
    <t>83.0x4.0</t>
  </si>
  <si>
    <t>83.0x4.5</t>
  </si>
  <si>
    <t>83.0x5.0</t>
  </si>
  <si>
    <t>83.0x5.5</t>
  </si>
  <si>
    <t>89.0x3.0</t>
  </si>
  <si>
    <t>89.0x3.2</t>
  </si>
  <si>
    <t>89.0x3.5</t>
  </si>
  <si>
    <t>89.0x3.8</t>
  </si>
  <si>
    <t>89.0x4.0</t>
  </si>
  <si>
    <t>89.0x4.5</t>
  </si>
  <si>
    <t>89.0x5.0</t>
  </si>
  <si>
    <t>89.0x5.5</t>
  </si>
  <si>
    <t>95.0x3.2</t>
  </si>
  <si>
    <t>95.0x5.0</t>
  </si>
  <si>
    <t>102.0x3.0</t>
  </si>
  <si>
    <t>102.0x3.2</t>
  </si>
  <si>
    <t>102.0x3.5</t>
  </si>
  <si>
    <t>102.0x3.8</t>
  </si>
  <si>
    <t>102.0x4.0</t>
  </si>
  <si>
    <t>102.0x4.5</t>
  </si>
  <si>
    <t>102.0x5.0</t>
  </si>
  <si>
    <t>102.0x5.5</t>
  </si>
  <si>
    <t>108.0x3.0</t>
  </si>
  <si>
    <t>108.0x3.2</t>
  </si>
  <si>
    <t>108.0x3.5</t>
  </si>
  <si>
    <t>108.0x3.8</t>
  </si>
  <si>
    <t>108.0x4.0</t>
  </si>
  <si>
    <t>108.0x4.5</t>
  </si>
  <si>
    <t>108.0x5.0</t>
  </si>
  <si>
    <t>108.0x5.5</t>
  </si>
  <si>
    <t>114.0x3.0</t>
  </si>
  <si>
    <t>114.0x3.2</t>
  </si>
  <si>
    <t>114.0x3.5</t>
  </si>
  <si>
    <t>114.0x3.8</t>
  </si>
  <si>
    <t>114.0x4.0</t>
  </si>
  <si>
    <t>114.0x4.5</t>
  </si>
  <si>
    <t>114.0x5.0</t>
  </si>
  <si>
    <t>114.0x5.5</t>
  </si>
  <si>
    <t>127.0x3.0</t>
  </si>
  <si>
    <t>127.0x3.2</t>
  </si>
  <si>
    <t>127.0x3.5</t>
  </si>
  <si>
    <t>127.0x3.8</t>
  </si>
  <si>
    <t>127.0x4.0</t>
  </si>
  <si>
    <t>127.0x4.5</t>
  </si>
  <si>
    <t>127.0x5.0</t>
  </si>
  <si>
    <t>127.0x5.5</t>
  </si>
  <si>
    <t>133.0x3.0</t>
  </si>
  <si>
    <t>133.0x3.2</t>
  </si>
  <si>
    <t>133.0x3.5</t>
  </si>
  <si>
    <t>133.0x3.8</t>
  </si>
  <si>
    <t>133.0x4.0</t>
  </si>
  <si>
    <t>133.0x4.5</t>
  </si>
  <si>
    <t>133.0x5.0</t>
  </si>
  <si>
    <t>133.0x5.5</t>
  </si>
  <si>
    <t>140.0x3.0</t>
  </si>
  <si>
    <t>140.0x3.2</t>
  </si>
  <si>
    <t>140.0x3.5</t>
  </si>
  <si>
    <t>140.0x3.8</t>
  </si>
  <si>
    <t>140.0x4.0</t>
  </si>
  <si>
    <t>140.0x4.5</t>
  </si>
  <si>
    <t>140.0x5.0</t>
  </si>
  <si>
    <t>140.0x5.5</t>
  </si>
  <si>
    <t>152.0x3.0</t>
  </si>
  <si>
    <t>152.0x3.2</t>
  </si>
  <si>
    <t>152.0x3.5</t>
  </si>
  <si>
    <t>152.0x3.8</t>
  </si>
  <si>
    <t>152.0x4.0</t>
  </si>
  <si>
    <t>152.0x4.5</t>
  </si>
  <si>
    <t>152.0x5.0</t>
  </si>
  <si>
    <t>152.0x5.5</t>
  </si>
  <si>
    <t>159.0x3.0</t>
  </si>
  <si>
    <t>159.0x3.2</t>
  </si>
  <si>
    <t>159.0x3.5</t>
  </si>
  <si>
    <t>159.0x3.8</t>
  </si>
  <si>
    <t>159.0x4.0</t>
  </si>
  <si>
    <t>159.0x4.5</t>
  </si>
  <si>
    <t>159.0x5.0</t>
  </si>
  <si>
    <t>159.0x5.5</t>
  </si>
  <si>
    <t>159.0x6.0</t>
  </si>
  <si>
    <t>159.0x7.0</t>
  </si>
  <si>
    <t>159.0x8.0</t>
  </si>
  <si>
    <t>168.0x3.0</t>
  </si>
  <si>
    <t>168.0x3.2</t>
  </si>
  <si>
    <t>168.0x3.5</t>
  </si>
  <si>
    <t>168.0x3.8</t>
  </si>
  <si>
    <t>168.0x4.0</t>
  </si>
  <si>
    <t>168.0x4.5</t>
  </si>
  <si>
    <t>168.0x5.0</t>
  </si>
  <si>
    <t>168.0x5.5</t>
  </si>
  <si>
    <t>168.0x6.0</t>
  </si>
  <si>
    <t>168.0x7.0</t>
  </si>
  <si>
    <t>168.0x8.0</t>
  </si>
  <si>
    <t>177.8x3.0</t>
  </si>
  <si>
    <t>177.8x4.0</t>
  </si>
  <si>
    <t>177.8x5.0</t>
  </si>
  <si>
    <t>177.8x6.0</t>
  </si>
  <si>
    <t>177.8x7.0</t>
  </si>
  <si>
    <t>177.8x8.0</t>
  </si>
  <si>
    <t>180.0x4.0</t>
  </si>
  <si>
    <t>180.0x5.0</t>
  </si>
  <si>
    <t>193.7x3.0</t>
  </si>
  <si>
    <t>193.7x4.0</t>
  </si>
  <si>
    <t>193.7x5.0</t>
  </si>
  <si>
    <t>193.7x6.0</t>
  </si>
  <si>
    <t>193.7x7.0</t>
  </si>
  <si>
    <t>193.7x8.0</t>
  </si>
  <si>
    <t>219.0x3.0</t>
  </si>
  <si>
    <t>219.0x3.2</t>
  </si>
  <si>
    <t>219.0x3.5</t>
  </si>
  <si>
    <t>219.0x3.8</t>
  </si>
  <si>
    <t>219.0x4.0</t>
  </si>
  <si>
    <t>219.0x4.5</t>
  </si>
  <si>
    <t>219.0x5.0</t>
  </si>
  <si>
    <t>219.0x5.5</t>
  </si>
  <si>
    <t>219.0x6.0</t>
  </si>
  <si>
    <t>219.0x7.0</t>
  </si>
  <si>
    <t>219.0x8.0</t>
  </si>
  <si>
    <t>219.0x9.0</t>
  </si>
  <si>
    <t>219.0x10.0</t>
  </si>
  <si>
    <t>219.0x11.0</t>
  </si>
  <si>
    <t>219.0x12.0</t>
  </si>
  <si>
    <t>219.0x13.0</t>
  </si>
  <si>
    <t>219.0x14.0</t>
  </si>
  <si>
    <t>219.0x16.0</t>
  </si>
  <si>
    <t>219.0x17.0</t>
  </si>
  <si>
    <t>219.0x17.5</t>
  </si>
  <si>
    <t>219.0x18.0</t>
  </si>
  <si>
    <t>219.0x19.0</t>
  </si>
  <si>
    <t>219.0x20.0</t>
  </si>
  <si>
    <t>244.5x3.0</t>
  </si>
  <si>
    <t>244.5x4.0</t>
  </si>
  <si>
    <t>244.5x5.0</t>
  </si>
  <si>
    <t>244.5x6.0</t>
  </si>
  <si>
    <t>244.5x7.0</t>
  </si>
  <si>
    <t>244.5x8.0</t>
  </si>
  <si>
    <t>244.5x9.0</t>
  </si>
  <si>
    <t>273.0x3.0</t>
  </si>
  <si>
    <t>273.0x3.2</t>
  </si>
  <si>
    <t>273.0x3.5</t>
  </si>
  <si>
    <t>273.0x3.8</t>
  </si>
  <si>
    <t>273.0x4.0</t>
  </si>
  <si>
    <t>273.0x4.5</t>
  </si>
  <si>
    <t>273.0x5.0</t>
  </si>
  <si>
    <t>273.0x5.5</t>
  </si>
  <si>
    <t>273.0x6.0</t>
  </si>
  <si>
    <t>273.0x7.0</t>
  </si>
  <si>
    <t>273.0x8.0</t>
  </si>
  <si>
    <t>273.0x9.0</t>
  </si>
  <si>
    <t>273.0x10.0</t>
  </si>
  <si>
    <t>273.0x11.0</t>
  </si>
  <si>
    <t>273.0x12.0</t>
  </si>
  <si>
    <t>273.0x13.0</t>
  </si>
  <si>
    <t>273.0x14.0</t>
  </si>
  <si>
    <t>273.0x16.0</t>
  </si>
  <si>
    <t>273.0x17.0</t>
  </si>
  <si>
    <t>273.0x17.5</t>
  </si>
  <si>
    <t>273.0x18.0</t>
  </si>
  <si>
    <t>273.0x19.0</t>
  </si>
  <si>
    <t>273.0x20.0</t>
  </si>
  <si>
    <t>273.0x21.0</t>
  </si>
  <si>
    <t>273.0x22.0</t>
  </si>
  <si>
    <t>325.0x3.5</t>
  </si>
  <si>
    <t>325.0x3.8</t>
  </si>
  <si>
    <t>325.0x4.0</t>
  </si>
  <si>
    <t>325.0x4.5</t>
  </si>
  <si>
    <t>325.0x5.0</t>
  </si>
  <si>
    <t>325.0x5.5</t>
  </si>
  <si>
    <t>325.0x6.0</t>
  </si>
  <si>
    <t>325.0x7.0</t>
  </si>
  <si>
    <t>325.0x8.0</t>
  </si>
  <si>
    <t>325.0x9.0</t>
  </si>
  <si>
    <t>325.0x10.0</t>
  </si>
  <si>
    <t>325.0x11.0</t>
  </si>
  <si>
    <t>325.0x12.0</t>
  </si>
  <si>
    <t>325.0x13.0</t>
  </si>
  <si>
    <t>325.0x14.0</t>
  </si>
  <si>
    <t>325.0x16.0</t>
  </si>
  <si>
    <t>325.0x17.0</t>
  </si>
  <si>
    <t>325.0x17.5</t>
  </si>
  <si>
    <t>325.0x18.0</t>
  </si>
  <si>
    <t>325.0x19.0</t>
  </si>
  <si>
    <t>325.0x20.0</t>
  </si>
  <si>
    <t>325.0x21.0</t>
  </si>
  <si>
    <t>325.0x22.0</t>
  </si>
  <si>
    <t>355.6x4.0</t>
  </si>
  <si>
    <t>355.6x5.0</t>
  </si>
  <si>
    <t>355.6x6.0</t>
  </si>
  <si>
    <t>355.6x7.0</t>
  </si>
  <si>
    <t>355.6x8.0</t>
  </si>
  <si>
    <t>355.6x9.0</t>
  </si>
  <si>
    <t>355.6x10.0</t>
  </si>
  <si>
    <t>355.6x11.0</t>
  </si>
  <si>
    <t>355.6x12.0</t>
  </si>
  <si>
    <t>355.6x13.0</t>
  </si>
  <si>
    <t>355.6x14.0</t>
  </si>
  <si>
    <t>355.6x16.0</t>
  </si>
  <si>
    <t>355.6x17.0</t>
  </si>
  <si>
    <t>355.6x17.5</t>
  </si>
  <si>
    <t>355.6x18.0</t>
  </si>
  <si>
    <t>355.6x19.0</t>
  </si>
  <si>
    <t>355.6x20.0</t>
  </si>
  <si>
    <t>355.6x21.0</t>
  </si>
  <si>
    <t>355.6x22.0</t>
  </si>
  <si>
    <t>377.0x4.0</t>
  </si>
  <si>
    <t>377.0x4.5</t>
  </si>
  <si>
    <t>377.0x5.0</t>
  </si>
  <si>
    <t>377.0x5.5</t>
  </si>
  <si>
    <t>377.0x6.0</t>
  </si>
  <si>
    <t>377.0x7.0</t>
  </si>
  <si>
    <t>377.0x8.0</t>
  </si>
  <si>
    <t>377.0x9.0</t>
  </si>
  <si>
    <t>377.0x10.0</t>
  </si>
  <si>
    <t>377.0x11.0</t>
  </si>
  <si>
    <t>377.0x12.0</t>
  </si>
  <si>
    <t>377.0x13.0</t>
  </si>
  <si>
    <t>377.0x14.0</t>
  </si>
  <si>
    <t>377.0x16.0</t>
  </si>
  <si>
    <t>377.0x17.0</t>
  </si>
  <si>
    <t>377.0x17.5</t>
  </si>
  <si>
    <t>377.0x18.0</t>
  </si>
  <si>
    <t>377.0x19.0</t>
  </si>
  <si>
    <t>377.0x20.0</t>
  </si>
  <si>
    <t>377.0x21.0</t>
  </si>
  <si>
    <t>377.0x22.0</t>
  </si>
  <si>
    <t>406.4x4.0</t>
  </si>
  <si>
    <t>406.4x5.0</t>
  </si>
  <si>
    <t>406.4x6.0</t>
  </si>
  <si>
    <t>406.4x7.0</t>
  </si>
  <si>
    <t>406.4x8.0</t>
  </si>
  <si>
    <t>406.4x9.0</t>
  </si>
  <si>
    <t>406.4x10.0</t>
  </si>
  <si>
    <t>406.4x11.0</t>
  </si>
  <si>
    <t>406.4x12.0</t>
  </si>
  <si>
    <t>406.4x13.0</t>
  </si>
  <si>
    <t>406.4x14.0</t>
  </si>
  <si>
    <t>406.4x16.0</t>
  </si>
  <si>
    <t>406.4x17.0</t>
  </si>
  <si>
    <t>406.4x17.5</t>
  </si>
  <si>
    <t>406.4x18.0</t>
  </si>
  <si>
    <t>406.4x19.0</t>
  </si>
  <si>
    <t>406.4x20.0</t>
  </si>
  <si>
    <t>406.4x21.0</t>
  </si>
  <si>
    <t>406.4x22.0</t>
  </si>
  <si>
    <t>426.0x4.0</t>
  </si>
  <si>
    <t>426.0x4.5</t>
  </si>
  <si>
    <t>426.0x5.0</t>
  </si>
  <si>
    <t>426.0x5.5</t>
  </si>
  <si>
    <t>426.0x6.0</t>
  </si>
  <si>
    <t>426.0x7.0</t>
  </si>
  <si>
    <t>426.0x8.0</t>
  </si>
  <si>
    <t>426.0x9.0</t>
  </si>
  <si>
    <t>426.0x10.0</t>
  </si>
  <si>
    <t>426.0x11.0</t>
  </si>
  <si>
    <t>426.0x12.0</t>
  </si>
  <si>
    <t>426.0x13.0</t>
  </si>
  <si>
    <t>426.0x14.0</t>
  </si>
  <si>
    <t>426.0x16.0</t>
  </si>
  <si>
    <t>426.0x17.0</t>
  </si>
  <si>
    <t>426.0x17.5</t>
  </si>
  <si>
    <t>426.0x18.0</t>
  </si>
  <si>
    <t>426.0x19.0</t>
  </si>
  <si>
    <t>426.0x20.0</t>
  </si>
  <si>
    <t>426.0x21.0</t>
  </si>
  <si>
    <t>426.0x22.0</t>
  </si>
  <si>
    <t>530.0x5.0</t>
  </si>
  <si>
    <t>530.0x5.5</t>
  </si>
  <si>
    <t>530.0x6.0</t>
  </si>
  <si>
    <t>530.0x7.0</t>
  </si>
  <si>
    <t>530.0x8.0</t>
  </si>
  <si>
    <t>530.0x9.0</t>
  </si>
  <si>
    <t>530.0x10.0</t>
  </si>
  <si>
    <t>530.0x11.0</t>
  </si>
  <si>
    <t>530.0x12.0</t>
  </si>
  <si>
    <t>530.0x13.0</t>
  </si>
  <si>
    <t>530.0x14.0</t>
  </si>
  <si>
    <t>530.0x16.0</t>
  </si>
  <si>
    <t>530.0x17.0</t>
  </si>
  <si>
    <t>530.0x17.5</t>
  </si>
  <si>
    <t>530.0x18.0</t>
  </si>
  <si>
    <t>530.0x19.0</t>
  </si>
  <si>
    <t>530.0x20.0</t>
  </si>
  <si>
    <t>530.0x21.0</t>
  </si>
  <si>
    <t>530.0x22.0</t>
  </si>
  <si>
    <t>530.0x23.0</t>
  </si>
  <si>
    <t>530.0x24.0</t>
  </si>
  <si>
    <t>630.0x7.0</t>
  </si>
  <si>
    <t>630.0x8.0</t>
  </si>
  <si>
    <t>630.0x9.0</t>
  </si>
  <si>
    <t>630.0x10.0</t>
  </si>
  <si>
    <t>630.0x11.0</t>
  </si>
  <si>
    <t>630.0x12.0</t>
  </si>
  <si>
    <t>630.0x13.0</t>
  </si>
  <si>
    <t>630.0x14.0</t>
  </si>
  <si>
    <t>630.0x16.0</t>
  </si>
  <si>
    <t>630.0x17.0</t>
  </si>
  <si>
    <t>630.0x17.5</t>
  </si>
  <si>
    <t>630.0x18.0</t>
  </si>
  <si>
    <t>630.0x19.0</t>
  </si>
  <si>
    <t>630.0x20.0</t>
  </si>
  <si>
    <t>630.0x21.0</t>
  </si>
  <si>
    <t>630.0x22.0</t>
  </si>
  <si>
    <t>тр_Гнутые_по_30245_2003</t>
  </si>
  <si>
    <t>50x25x2</t>
  </si>
  <si>
    <t>50x25x2.5</t>
  </si>
  <si>
    <t>50x25x3</t>
  </si>
  <si>
    <t>50x25x3.5</t>
  </si>
  <si>
    <t>50x25x4</t>
  </si>
  <si>
    <t>50x30x2</t>
  </si>
  <si>
    <t>50x30x2.5</t>
  </si>
  <si>
    <t>50x30x3</t>
  </si>
  <si>
    <t>50x30x3.5</t>
  </si>
  <si>
    <t>50x30x4</t>
  </si>
  <si>
    <t>50x30x5</t>
  </si>
  <si>
    <t>50x40x2</t>
  </si>
  <si>
    <t>50x40x2.5</t>
  </si>
  <si>
    <t>50x40x3</t>
  </si>
  <si>
    <t>50x40x3.5</t>
  </si>
  <si>
    <t>50x40x4</t>
  </si>
  <si>
    <t>50x40x4.5</t>
  </si>
  <si>
    <t>50x40x5</t>
  </si>
  <si>
    <t>60x30x2</t>
  </si>
  <si>
    <t>60x30x2.5</t>
  </si>
  <si>
    <t>60x30x3</t>
  </si>
  <si>
    <t>60x30x3.5</t>
  </si>
  <si>
    <t>60x30x4</t>
  </si>
  <si>
    <t>60x30x4.5</t>
  </si>
  <si>
    <t>60x30x5</t>
  </si>
  <si>
    <t>60x30x5.5</t>
  </si>
  <si>
    <t>60x30x6</t>
  </si>
  <si>
    <t>60x40x2</t>
  </si>
  <si>
    <t>60x40x2.5</t>
  </si>
  <si>
    <t>60x40x3</t>
  </si>
  <si>
    <t>60x40x3.5</t>
  </si>
  <si>
    <t>60x40x4</t>
  </si>
  <si>
    <t>60x40x4.5</t>
  </si>
  <si>
    <t>60x40x5</t>
  </si>
  <si>
    <t>60x40x5.5</t>
  </si>
  <si>
    <t>60x40x6</t>
  </si>
  <si>
    <t>70x50x2</t>
  </si>
  <si>
    <t>70x50x2.5</t>
  </si>
  <si>
    <t>70x50x3</t>
  </si>
  <si>
    <t>70x50x3.5</t>
  </si>
  <si>
    <t>70x50x4</t>
  </si>
  <si>
    <t>70x50x4.5</t>
  </si>
  <si>
    <t>70x50x5</t>
  </si>
  <si>
    <t>70x50x5.5</t>
  </si>
  <si>
    <t>70x50x6</t>
  </si>
  <si>
    <t>80x40x2</t>
  </si>
  <si>
    <t>80x40x2.5</t>
  </si>
  <si>
    <t>80x40x3</t>
  </si>
  <si>
    <t>80x40x3.5</t>
  </si>
  <si>
    <t>80x40x4</t>
  </si>
  <si>
    <t>80x40x4.5</t>
  </si>
  <si>
    <t>80x40x5</t>
  </si>
  <si>
    <t>80x40x5.5</t>
  </si>
  <si>
    <t>80x40x6</t>
  </si>
  <si>
    <t>80x60x2</t>
  </si>
  <si>
    <t>80x60x2.5</t>
  </si>
  <si>
    <t>80x60x3</t>
  </si>
  <si>
    <t>80x60x3.5</t>
  </si>
  <si>
    <t>80x60x4</t>
  </si>
  <si>
    <t>80x60x4.5</t>
  </si>
  <si>
    <t>80x60x5</t>
  </si>
  <si>
    <t>80x60x5.5</t>
  </si>
  <si>
    <t>80x60x6</t>
  </si>
  <si>
    <t>80x60x6.5</t>
  </si>
  <si>
    <t>80x60x7</t>
  </si>
  <si>
    <t>80x70x3</t>
  </si>
  <si>
    <t>80x70x3.5</t>
  </si>
  <si>
    <t>80x70x4</t>
  </si>
  <si>
    <t>80x70x4.5</t>
  </si>
  <si>
    <t>80x70x5</t>
  </si>
  <si>
    <t>80x70x5.5</t>
  </si>
  <si>
    <t>80x70x6</t>
  </si>
  <si>
    <t>80x70x6.5</t>
  </si>
  <si>
    <t>80x70x7</t>
  </si>
  <si>
    <t>90x50x3</t>
  </si>
  <si>
    <t>90x50x3.5</t>
  </si>
  <si>
    <t>90x50x4</t>
  </si>
  <si>
    <t>90x50x4.5</t>
  </si>
  <si>
    <t>90x50x5</t>
  </si>
  <si>
    <t>90x50x5.5</t>
  </si>
  <si>
    <t>90x50x6</t>
  </si>
  <si>
    <t>90x50x6.5</t>
  </si>
  <si>
    <t>90x50x7</t>
  </si>
  <si>
    <t>90x60x3</t>
  </si>
  <si>
    <t>90x60x3.5</t>
  </si>
  <si>
    <t>90x60x4</t>
  </si>
  <si>
    <t>90x60x4.5</t>
  </si>
  <si>
    <t>90x60x5</t>
  </si>
  <si>
    <t>90x60x5.5</t>
  </si>
  <si>
    <t>90x60x6</t>
  </si>
  <si>
    <t>90x60x7</t>
  </si>
  <si>
    <t>100x40x3</t>
  </si>
  <si>
    <t>100x40x3.5</t>
  </si>
  <si>
    <t>100x40x4</t>
  </si>
  <si>
    <t>100x40x4.5</t>
  </si>
  <si>
    <t>100x40x5</t>
  </si>
  <si>
    <t>100x40x5.5</t>
  </si>
  <si>
    <t>100x40x6</t>
  </si>
  <si>
    <t>100x40x6.5</t>
  </si>
  <si>
    <t>100x40x7</t>
  </si>
  <si>
    <t>100x50x3</t>
  </si>
  <si>
    <t>100x50x3.5</t>
  </si>
  <si>
    <t>100x50x4</t>
  </si>
  <si>
    <t>100x50x4.5</t>
  </si>
  <si>
    <t>100x50x5</t>
  </si>
  <si>
    <t>100x50x5.5</t>
  </si>
  <si>
    <t>100x50x6</t>
  </si>
  <si>
    <t>100x50x6.5</t>
  </si>
  <si>
    <t>100x50x7</t>
  </si>
  <si>
    <t>100x60x3</t>
  </si>
  <si>
    <t>100x60x3.5</t>
  </si>
  <si>
    <t>100x60x4</t>
  </si>
  <si>
    <t>100x60x4.5</t>
  </si>
  <si>
    <t>100x60x5</t>
  </si>
  <si>
    <t>100x60x5.5</t>
  </si>
  <si>
    <t>100x60x6</t>
  </si>
  <si>
    <t>100x60x6.5</t>
  </si>
  <si>
    <t>100x60x7</t>
  </si>
  <si>
    <t>120x40x3</t>
  </si>
  <si>
    <t>120x40x3.5</t>
  </si>
  <si>
    <t>120x40x4</t>
  </si>
  <si>
    <t>120x40x4.5</t>
  </si>
  <si>
    <t>120x40x5</t>
  </si>
  <si>
    <t>120x40x5.5</t>
  </si>
  <si>
    <t>120x40x6</t>
  </si>
  <si>
    <t>120x40x6.5</t>
  </si>
  <si>
    <t>120x40x7</t>
  </si>
  <si>
    <t>120x60x3</t>
  </si>
  <si>
    <t>120x60x3.5</t>
  </si>
  <si>
    <t>120x60x4</t>
  </si>
  <si>
    <t>120x60x4.5</t>
  </si>
  <si>
    <t>120x60x5</t>
  </si>
  <si>
    <t>120x60x5.5</t>
  </si>
  <si>
    <t>120x60x6</t>
  </si>
  <si>
    <t>120x60x6.5</t>
  </si>
  <si>
    <t>120x60x7</t>
  </si>
  <si>
    <t>120x80x3</t>
  </si>
  <si>
    <t>120x80x3.5</t>
  </si>
  <si>
    <t>120x80x4</t>
  </si>
  <si>
    <t>120x80x4.5</t>
  </si>
  <si>
    <t>120x80x5</t>
  </si>
  <si>
    <t>120x80x5.5</t>
  </si>
  <si>
    <t>120x80x6</t>
  </si>
  <si>
    <t>120x80x6.5</t>
  </si>
  <si>
    <t>120x80x7</t>
  </si>
  <si>
    <t>140x60x3</t>
  </si>
  <si>
    <t>140x60x3.5</t>
  </si>
  <si>
    <t>140x60x4</t>
  </si>
  <si>
    <t>140x60x4.5</t>
  </si>
  <si>
    <t>140x60x5</t>
  </si>
  <si>
    <t>140x60x5.5</t>
  </si>
  <si>
    <t>140x60x6</t>
  </si>
  <si>
    <t>140x60x6.5</t>
  </si>
  <si>
    <t>140x60x7</t>
  </si>
  <si>
    <t>140x100x4</t>
  </si>
  <si>
    <t>140x100x4.5</t>
  </si>
  <si>
    <t>140x100x5</t>
  </si>
  <si>
    <t>140x100x5.5</t>
  </si>
  <si>
    <t>140x100x6</t>
  </si>
  <si>
    <t>140x100x6.5</t>
  </si>
  <si>
    <t>140x100x7</t>
  </si>
  <si>
    <t>140x120x4</t>
  </si>
  <si>
    <t>140x120x4.5</t>
  </si>
  <si>
    <t>140x120x5.5</t>
  </si>
  <si>
    <t>140x120x6</t>
  </si>
  <si>
    <t>140x120x6.5</t>
  </si>
  <si>
    <t>140x120x7</t>
  </si>
  <si>
    <t>140x120x7.5</t>
  </si>
  <si>
    <t>140x120x8</t>
  </si>
  <si>
    <t>150x100x4</t>
  </si>
  <si>
    <t>150x100x4.5</t>
  </si>
  <si>
    <t>150x100x5</t>
  </si>
  <si>
    <t>150x100x5.5</t>
  </si>
  <si>
    <t>150x100x6</t>
  </si>
  <si>
    <t>150x100x6.5</t>
  </si>
  <si>
    <t>150x100x7</t>
  </si>
  <si>
    <t>160x40x3</t>
  </si>
  <si>
    <t>160x40x3.5</t>
  </si>
  <si>
    <t>160x40x4</t>
  </si>
  <si>
    <t>160x40x4.5</t>
  </si>
  <si>
    <t>160x40x5</t>
  </si>
  <si>
    <t>160x40x5.5</t>
  </si>
  <si>
    <t>160x40x6</t>
  </si>
  <si>
    <t>160x40x6.5</t>
  </si>
  <si>
    <t>160x40x7</t>
  </si>
  <si>
    <t>160x80x4</t>
  </si>
  <si>
    <t>160x80x4.5</t>
  </si>
  <si>
    <t>160x80x5</t>
  </si>
  <si>
    <t>160x80x5.5</t>
  </si>
  <si>
    <t>160x80x6</t>
  </si>
  <si>
    <t>160x80x6.5</t>
  </si>
  <si>
    <t>160x80x7</t>
  </si>
  <si>
    <t>160x100x4</t>
  </si>
  <si>
    <t>160x100x4.5</t>
  </si>
  <si>
    <t>160x100x5</t>
  </si>
  <si>
    <t>160x100x5.5</t>
  </si>
  <si>
    <t>160x100x6.5</t>
  </si>
  <si>
    <t>160x100x7</t>
  </si>
  <si>
    <t>160x100x7.5</t>
  </si>
  <si>
    <t>160x100x8</t>
  </si>
  <si>
    <t>160x120x4</t>
  </si>
  <si>
    <t>160x120x4.5</t>
  </si>
  <si>
    <t>160x120x5</t>
  </si>
  <si>
    <t>160x120x5.5</t>
  </si>
  <si>
    <t>160x120x6</t>
  </si>
  <si>
    <t>160x120x6.5</t>
  </si>
  <si>
    <t>160x120x7</t>
  </si>
  <si>
    <t>160x120x7.5</t>
  </si>
  <si>
    <t>160x120x8</t>
  </si>
  <si>
    <t>160x140x5</t>
  </si>
  <si>
    <t>160x140x5.5</t>
  </si>
  <si>
    <t>160x140x6</t>
  </si>
  <si>
    <t>160x140x6.5</t>
  </si>
  <si>
    <t>160x140x7</t>
  </si>
  <si>
    <t>160x140x7.5</t>
  </si>
  <si>
    <t>160x140x8</t>
  </si>
  <si>
    <t>180x60x4</t>
  </si>
  <si>
    <t>180x60x4.5</t>
  </si>
  <si>
    <t>180x60x5</t>
  </si>
  <si>
    <t>180x60x5.5</t>
  </si>
  <si>
    <t>180x60x6</t>
  </si>
  <si>
    <t>180x60x6.5</t>
  </si>
  <si>
    <t>180x60x7</t>
  </si>
  <si>
    <t>180x60x7.5</t>
  </si>
  <si>
    <t>180x60x8</t>
  </si>
  <si>
    <t>180x80x4</t>
  </si>
  <si>
    <t>180x80x4.5</t>
  </si>
  <si>
    <t>180x80x5</t>
  </si>
  <si>
    <t>180x80x5.5</t>
  </si>
  <si>
    <t>180x80x6</t>
  </si>
  <si>
    <t>180x80x6.5</t>
  </si>
  <si>
    <t>180x80x7</t>
  </si>
  <si>
    <t>180x80x7.5</t>
  </si>
  <si>
    <t>180x80x8</t>
  </si>
  <si>
    <t>180x100x4</t>
  </si>
  <si>
    <t>180x100x4.5</t>
  </si>
  <si>
    <t>180x100x5</t>
  </si>
  <si>
    <t>180x100x5.5</t>
  </si>
  <si>
    <t>180x100x6.5</t>
  </si>
  <si>
    <t>180x100x7</t>
  </si>
  <si>
    <t>180x100x7.5</t>
  </si>
  <si>
    <t>180x100x8</t>
  </si>
  <si>
    <t>180x140x4</t>
  </si>
  <si>
    <t>180x140x4.5</t>
  </si>
  <si>
    <t>180x140x5</t>
  </si>
  <si>
    <t>180x140x5.5</t>
  </si>
  <si>
    <t>180x140x6</t>
  </si>
  <si>
    <t>180x140x6.5</t>
  </si>
  <si>
    <t>180x140x7</t>
  </si>
  <si>
    <t>180x140x7.5</t>
  </si>
  <si>
    <t>180x140x8</t>
  </si>
  <si>
    <t>200x40x4</t>
  </si>
  <si>
    <t>200x40x4.5</t>
  </si>
  <si>
    <t>200x40x5</t>
  </si>
  <si>
    <t>200x40x5.5</t>
  </si>
  <si>
    <t>200x40x6</t>
  </si>
  <si>
    <t>200x40x6.5</t>
  </si>
  <si>
    <t>200x40x7</t>
  </si>
  <si>
    <t>200x80x4</t>
  </si>
  <si>
    <t>200x80x4.5</t>
  </si>
  <si>
    <t>200x80x5</t>
  </si>
  <si>
    <t>200x80x5.5</t>
  </si>
  <si>
    <t>200x80x6</t>
  </si>
  <si>
    <t>200x80x6.5</t>
  </si>
  <si>
    <t>200x80x7</t>
  </si>
  <si>
    <t>200x80x7.5</t>
  </si>
  <si>
    <t>200x80x8</t>
  </si>
  <si>
    <t>200x100x4</t>
  </si>
  <si>
    <t>200x100x4.5</t>
  </si>
  <si>
    <t>200x100x5</t>
  </si>
  <si>
    <t>200x100x5.5</t>
  </si>
  <si>
    <t>200x100x6</t>
  </si>
  <si>
    <t>200x100x6.5</t>
  </si>
  <si>
    <t>200x100x7</t>
  </si>
  <si>
    <t>200x100x7.5</t>
  </si>
  <si>
    <t>200x100x8</t>
  </si>
  <si>
    <t>200x120x4</t>
  </si>
  <si>
    <t>200x120x4.5</t>
  </si>
  <si>
    <t>200x120x5</t>
  </si>
  <si>
    <t>200x120x5.5</t>
  </si>
  <si>
    <t>200x120x6</t>
  </si>
  <si>
    <t>200x120x6.5</t>
  </si>
  <si>
    <t>200x120x7</t>
  </si>
  <si>
    <t>200x120x7.5</t>
  </si>
  <si>
    <t>200x120x8</t>
  </si>
  <si>
    <t>200x160x5</t>
  </si>
  <si>
    <t>200x160x5.5</t>
  </si>
  <si>
    <t>200x160x6</t>
  </si>
  <si>
    <t>200x160x6.5</t>
  </si>
  <si>
    <t>200x160x7</t>
  </si>
  <si>
    <t>200x160x7.5</t>
  </si>
  <si>
    <t>200x160x8</t>
  </si>
  <si>
    <t>200x160x8.5</t>
  </si>
  <si>
    <t>200x160x9</t>
  </si>
  <si>
    <t>200x160x9.5</t>
  </si>
  <si>
    <t>200x160x10</t>
  </si>
  <si>
    <t>220x100x4</t>
  </si>
  <si>
    <t>220x100x4.5</t>
  </si>
  <si>
    <t>220x100x5</t>
  </si>
  <si>
    <t>220x100x5.5</t>
  </si>
  <si>
    <t>220x100x6</t>
  </si>
  <si>
    <t>220x100x6.5</t>
  </si>
  <si>
    <t>220x100x7</t>
  </si>
  <si>
    <t>220x100x7.5</t>
  </si>
  <si>
    <t>220x100x8</t>
  </si>
  <si>
    <t>220x140x5</t>
  </si>
  <si>
    <t>220x140x5.5</t>
  </si>
  <si>
    <t>220x140x6</t>
  </si>
  <si>
    <t>220x140x6.5</t>
  </si>
  <si>
    <t>220x140x7</t>
  </si>
  <si>
    <t>220x140x7.5</t>
  </si>
  <si>
    <t>220x140x8</t>
  </si>
  <si>
    <t>240x120x5</t>
  </si>
  <si>
    <t>240x120x5.5</t>
  </si>
  <si>
    <t>240x120x6</t>
  </si>
  <si>
    <t>240x120x6.5</t>
  </si>
  <si>
    <t>240x120x7</t>
  </si>
  <si>
    <t>240x120x7.5</t>
  </si>
  <si>
    <t>240x120x8</t>
  </si>
  <si>
    <t>240x160x6</t>
  </si>
  <si>
    <t>240x160x6.5</t>
  </si>
  <si>
    <t>240x160x7</t>
  </si>
  <si>
    <t>240x160x7.5</t>
  </si>
  <si>
    <t>240x160x8</t>
  </si>
  <si>
    <t>240x160x8.5</t>
  </si>
  <si>
    <t>240x160x9</t>
  </si>
  <si>
    <t>240x160x9.5</t>
  </si>
  <si>
    <t>240x160x10</t>
  </si>
  <si>
    <t>240x160x10.5</t>
  </si>
  <si>
    <t>240x160x11</t>
  </si>
  <si>
    <t>240x160x11.5</t>
  </si>
  <si>
    <t>240x160x12</t>
  </si>
  <si>
    <t>250x150x6</t>
  </si>
  <si>
    <t>250x150x6.5</t>
  </si>
  <si>
    <t>250x150x7</t>
  </si>
  <si>
    <t>250x150x7.5</t>
  </si>
  <si>
    <t>250x150x8</t>
  </si>
  <si>
    <t>260x130x6</t>
  </si>
  <si>
    <t>260x130x6.5</t>
  </si>
  <si>
    <t>260x130x7</t>
  </si>
  <si>
    <t>260x130x7.5</t>
  </si>
  <si>
    <t>260x130x8</t>
  </si>
  <si>
    <t>260x130x8.5</t>
  </si>
  <si>
    <t>260x130x9</t>
  </si>
  <si>
    <t>260x130x9.5</t>
  </si>
  <si>
    <t>260x130x10</t>
  </si>
  <si>
    <t>260x130x10.5</t>
  </si>
  <si>
    <t>260x130x11</t>
  </si>
  <si>
    <t>260x130x11.5</t>
  </si>
  <si>
    <t>260x130x12</t>
  </si>
  <si>
    <t>300x100x6</t>
  </si>
  <si>
    <t>300x100x6.5</t>
  </si>
  <si>
    <t>300x100x7</t>
  </si>
  <si>
    <t>300x100x7.5</t>
  </si>
  <si>
    <t>300x100x8</t>
  </si>
  <si>
    <t>300x100x8.5</t>
  </si>
  <si>
    <t>300x100x9</t>
  </si>
  <si>
    <t>300x100x9.5</t>
  </si>
  <si>
    <t>300x100x10</t>
  </si>
  <si>
    <t>300x200x6</t>
  </si>
  <si>
    <t>300x200x6.5</t>
  </si>
  <si>
    <t>300x200x7</t>
  </si>
  <si>
    <t>300x200x7.5</t>
  </si>
  <si>
    <t>300x200x8</t>
  </si>
  <si>
    <t>300x200x8.5</t>
  </si>
  <si>
    <t>300x200x9</t>
  </si>
  <si>
    <t>300x200x9.5</t>
  </si>
  <si>
    <t>300x200x10</t>
  </si>
  <si>
    <t>300x200x10.5</t>
  </si>
  <si>
    <t>300x200x11</t>
  </si>
  <si>
    <t>300x200x11.5</t>
  </si>
  <si>
    <t>300x200x12</t>
  </si>
  <si>
    <t>320x180x6</t>
  </si>
  <si>
    <t>320x180x6.5</t>
  </si>
  <si>
    <t>320x180x7</t>
  </si>
  <si>
    <t>320x180x7.5</t>
  </si>
  <si>
    <t>320x180x8</t>
  </si>
  <si>
    <t>320x180x8.5</t>
  </si>
  <si>
    <t>320x180x9</t>
  </si>
  <si>
    <t>320x180x9.5</t>
  </si>
  <si>
    <t>320x180x10</t>
  </si>
  <si>
    <t>320x180x10.5</t>
  </si>
  <si>
    <t>320x180x11</t>
  </si>
  <si>
    <t>320x180x11.5</t>
  </si>
  <si>
    <t>320x180x12</t>
  </si>
  <si>
    <t>350x250x6</t>
  </si>
  <si>
    <t>350x250x6.5</t>
  </si>
  <si>
    <t>350x250x7</t>
  </si>
  <si>
    <t>350x250x7.5</t>
  </si>
  <si>
    <t>350x250x8</t>
  </si>
  <si>
    <t>350x250x8.5</t>
  </si>
  <si>
    <t>350x250x9</t>
  </si>
  <si>
    <t>350x250x9.5</t>
  </si>
  <si>
    <t>350x250x10</t>
  </si>
  <si>
    <t>350x250x10.5</t>
  </si>
  <si>
    <t>350x250x11</t>
  </si>
  <si>
    <t>350x250x11.5</t>
  </si>
  <si>
    <t>350x250x12</t>
  </si>
  <si>
    <t>350x300x6</t>
  </si>
  <si>
    <t>350x300x6.5</t>
  </si>
  <si>
    <t>350x300x7</t>
  </si>
  <si>
    <t>350x300x7.5</t>
  </si>
  <si>
    <t>350x300x8</t>
  </si>
  <si>
    <t>350x300x8.5</t>
  </si>
  <si>
    <t>350x300x9</t>
  </si>
  <si>
    <t>350x300x9.5</t>
  </si>
  <si>
    <t>350x300x10</t>
  </si>
  <si>
    <t>350x300x10.5</t>
  </si>
  <si>
    <t>350x300x11</t>
  </si>
  <si>
    <t>350x300x11.5</t>
  </si>
  <si>
    <t>350x300x12</t>
  </si>
  <si>
    <t>380x220x6</t>
  </si>
  <si>
    <t>380x220x6.5</t>
  </si>
  <si>
    <t>380x220x7</t>
  </si>
  <si>
    <t>380x220x7.5</t>
  </si>
  <si>
    <t>380x220x8</t>
  </si>
  <si>
    <t>380x220x10</t>
  </si>
  <si>
    <t>380x220x10.5</t>
  </si>
  <si>
    <t>400x200x11</t>
  </si>
  <si>
    <t>400x200x11.5</t>
  </si>
  <si>
    <t>400x200x12</t>
  </si>
  <si>
    <t>180х120х4</t>
  </si>
  <si>
    <t>180х120х5</t>
  </si>
  <si>
    <t>180х120х6</t>
  </si>
  <si>
    <t>180х120х7</t>
  </si>
  <si>
    <t>180х120х8</t>
  </si>
  <si>
    <t>тр_Гнутые_кв_по_30245_2003</t>
  </si>
  <si>
    <t>40x3.5</t>
  </si>
  <si>
    <t>40x4</t>
  </si>
  <si>
    <t>50x2</t>
  </si>
  <si>
    <t>50x2.5</t>
  </si>
  <si>
    <t>50x3</t>
  </si>
  <si>
    <t>50x3.5</t>
  </si>
  <si>
    <t>50x4</t>
  </si>
  <si>
    <t>50x4.5</t>
  </si>
  <si>
    <t>50x5</t>
  </si>
  <si>
    <t>50x5.5</t>
  </si>
  <si>
    <t>50x6</t>
  </si>
  <si>
    <t>60x4.5</t>
  </si>
  <si>
    <t>60x5</t>
  </si>
  <si>
    <t>60x5.5</t>
  </si>
  <si>
    <t>60x6</t>
  </si>
  <si>
    <t>70x4.5</t>
  </si>
  <si>
    <t>70x5</t>
  </si>
  <si>
    <t>70x5.5</t>
  </si>
  <si>
    <t>70x6</t>
  </si>
  <si>
    <t>70x6.5</t>
  </si>
  <si>
    <t>70x7</t>
  </si>
  <si>
    <t>80x3.5</t>
  </si>
  <si>
    <t>80x4</t>
  </si>
  <si>
    <t>80x4.5</t>
  </si>
  <si>
    <t>80x5.5</t>
  </si>
  <si>
    <t>80x6</t>
  </si>
  <si>
    <t>80x6.5</t>
  </si>
  <si>
    <t>80x7</t>
  </si>
  <si>
    <t>80x7.5</t>
  </si>
  <si>
    <t>80x8</t>
  </si>
  <si>
    <t>90x3</t>
  </si>
  <si>
    <t>90x3.5</t>
  </si>
  <si>
    <t>90x4</t>
  </si>
  <si>
    <t>90x4.5</t>
  </si>
  <si>
    <t>90x5</t>
  </si>
  <si>
    <t>90x5.5</t>
  </si>
  <si>
    <t>90x6</t>
  </si>
  <si>
    <t>90x6.5</t>
  </si>
  <si>
    <t>90x7</t>
  </si>
  <si>
    <t>90x7.5</t>
  </si>
  <si>
    <t>90x8</t>
  </si>
  <si>
    <t>100x3</t>
  </si>
  <si>
    <t>100x3.5</t>
  </si>
  <si>
    <t>100x4</t>
  </si>
  <si>
    <t>100x4.5</t>
  </si>
  <si>
    <t>100x5</t>
  </si>
  <si>
    <t>100x5.5</t>
  </si>
  <si>
    <t>100x6</t>
  </si>
  <si>
    <t>100x6.5</t>
  </si>
  <si>
    <t>100x7.5</t>
  </si>
  <si>
    <t>100x8</t>
  </si>
  <si>
    <t>120x3</t>
  </si>
  <si>
    <t>120x3.5</t>
  </si>
  <si>
    <t>120x4</t>
  </si>
  <si>
    <t>120x4.5</t>
  </si>
  <si>
    <t>120x5.5</t>
  </si>
  <si>
    <t>120x6</t>
  </si>
  <si>
    <t>120x6.5</t>
  </si>
  <si>
    <t>120x7</t>
  </si>
  <si>
    <t>120x7.5</t>
  </si>
  <si>
    <t>120x8</t>
  </si>
  <si>
    <t>140x6</t>
  </si>
  <si>
    <t>140x6.5</t>
  </si>
  <si>
    <t>140x7</t>
  </si>
  <si>
    <t>140x7.5</t>
  </si>
  <si>
    <t>140x8</t>
  </si>
  <si>
    <t>150x4</t>
  </si>
  <si>
    <t>150x4.5</t>
  </si>
  <si>
    <t>150x5</t>
  </si>
  <si>
    <t>150x5.5</t>
  </si>
  <si>
    <t>150x6</t>
  </si>
  <si>
    <t>150x6.5</t>
  </si>
  <si>
    <t>150x7</t>
  </si>
  <si>
    <t>150x7.5</t>
  </si>
  <si>
    <t>150x8</t>
  </si>
  <si>
    <t>160x4</t>
  </si>
  <si>
    <t>160x4.5</t>
  </si>
  <si>
    <t>160x5</t>
  </si>
  <si>
    <t>160x5.5</t>
  </si>
  <si>
    <t>160x6</t>
  </si>
  <si>
    <t>160x6.5</t>
  </si>
  <si>
    <t>160x7</t>
  </si>
  <si>
    <t>160x7.5</t>
  </si>
  <si>
    <t>160x8</t>
  </si>
  <si>
    <t>180x5.5</t>
  </si>
  <si>
    <t>180x6</t>
  </si>
  <si>
    <t>180x6.5</t>
  </si>
  <si>
    <t>180x7</t>
  </si>
  <si>
    <t>180x7.5</t>
  </si>
  <si>
    <t>180x8</t>
  </si>
  <si>
    <t>180x8.5</t>
  </si>
  <si>
    <t>180x9</t>
  </si>
  <si>
    <t>180x9.5</t>
  </si>
  <si>
    <t>180x10</t>
  </si>
  <si>
    <t>200x6</t>
  </si>
  <si>
    <t>200x6.5</t>
  </si>
  <si>
    <t>200x7</t>
  </si>
  <si>
    <t>200x7.5</t>
  </si>
  <si>
    <t>200x8</t>
  </si>
  <si>
    <t>200x8.5</t>
  </si>
  <si>
    <t>200x9</t>
  </si>
  <si>
    <t>200x9.5</t>
  </si>
  <si>
    <t>200x10</t>
  </si>
  <si>
    <t>200x10.5</t>
  </si>
  <si>
    <t>200x11</t>
  </si>
  <si>
    <t>200x11.5</t>
  </si>
  <si>
    <t>200x12</t>
  </si>
  <si>
    <t>250x6</t>
  </si>
  <si>
    <t>250x6.5</t>
  </si>
  <si>
    <t>250x7</t>
  </si>
  <si>
    <t>250x7.5</t>
  </si>
  <si>
    <t>250x8</t>
  </si>
  <si>
    <t>250x8.5</t>
  </si>
  <si>
    <t>250x9</t>
  </si>
  <si>
    <t>250x9.5</t>
  </si>
  <si>
    <t>250x10</t>
  </si>
  <si>
    <t>250x10.5</t>
  </si>
  <si>
    <t>250x11</t>
  </si>
  <si>
    <t>250x11.5</t>
  </si>
  <si>
    <t>250x12</t>
  </si>
  <si>
    <t>300x6</t>
  </si>
  <si>
    <t>300x6.5</t>
  </si>
  <si>
    <t>300x7</t>
  </si>
  <si>
    <t>300x7.5</t>
  </si>
  <si>
    <t>300x8</t>
  </si>
  <si>
    <t>300x8.5</t>
  </si>
  <si>
    <t>300x9</t>
  </si>
  <si>
    <t>300x9.5</t>
  </si>
  <si>
    <t>300x10</t>
  </si>
  <si>
    <t>300x10.5</t>
  </si>
  <si>
    <t>300x11</t>
  </si>
  <si>
    <t>300x11.5</t>
  </si>
  <si>
    <t>300x12</t>
  </si>
  <si>
    <t>25x3</t>
  </si>
  <si>
    <t>30x3</t>
  </si>
  <si>
    <t>30x3.5</t>
  </si>
  <si>
    <t>30x4</t>
  </si>
  <si>
    <t>35x3.5</t>
  </si>
  <si>
    <t>35x4</t>
  </si>
  <si>
    <t>35x5</t>
  </si>
  <si>
    <t>40x5</t>
  </si>
  <si>
    <t>40x6</t>
  </si>
  <si>
    <t>42x3.5</t>
  </si>
  <si>
    <t>42x4</t>
  </si>
  <si>
    <t>42x5</t>
  </si>
  <si>
    <t>42x6</t>
  </si>
  <si>
    <t>45x3.5</t>
  </si>
  <si>
    <t>45x4</t>
  </si>
  <si>
    <t>45x5</t>
  </si>
  <si>
    <t>45x6</t>
  </si>
  <si>
    <t>45x7</t>
  </si>
  <si>
    <t>45x8</t>
  </si>
  <si>
    <t>50x7</t>
  </si>
  <si>
    <t>50x8</t>
  </si>
  <si>
    <t>60x7</t>
  </si>
  <si>
    <t>60x8</t>
  </si>
  <si>
    <t>70x8</t>
  </si>
  <si>
    <t>100x9</t>
  </si>
  <si>
    <t>110x6</t>
  </si>
  <si>
    <t>110x7</t>
  </si>
  <si>
    <t>110x8</t>
  </si>
  <si>
    <t>110x9</t>
  </si>
  <si>
    <t>120x9</t>
  </si>
  <si>
    <t>140x9</t>
  </si>
  <si>
    <t>150x9</t>
  </si>
  <si>
    <t>150x10</t>
  </si>
  <si>
    <t>180x12</t>
  </si>
  <si>
    <t>180x14</t>
  </si>
  <si>
    <t>32x4</t>
  </si>
  <si>
    <t>36x4</t>
  </si>
  <si>
    <t>65x6</t>
  </si>
  <si>
    <t>тр_прям.труба_по_ГОСТ_8645_68</t>
  </si>
  <si>
    <t>P</t>
  </si>
  <si>
    <t>15x10x1</t>
  </si>
  <si>
    <t>15x10x1.5</t>
  </si>
  <si>
    <t>15x10x2</t>
  </si>
  <si>
    <t>20x10x1</t>
  </si>
  <si>
    <t>20x10x1.5</t>
  </si>
  <si>
    <t>20x10x2</t>
  </si>
  <si>
    <t>20x15x1</t>
  </si>
  <si>
    <t>20x15x1.5</t>
  </si>
  <si>
    <t>20x15x2</t>
  </si>
  <si>
    <t>20x15x2.5</t>
  </si>
  <si>
    <t>25x10x1</t>
  </si>
  <si>
    <t>25x10x1.5</t>
  </si>
  <si>
    <t>25x10x2</t>
  </si>
  <si>
    <t>25x10x2.5</t>
  </si>
  <si>
    <t>25x15x1</t>
  </si>
  <si>
    <t>25x15x1.5</t>
  </si>
  <si>
    <t>25x15x2</t>
  </si>
  <si>
    <t>25x15x2.5</t>
  </si>
  <si>
    <t>30x10x1</t>
  </si>
  <si>
    <t>30x10x1.5</t>
  </si>
  <si>
    <t>30x10x2</t>
  </si>
  <si>
    <t>30x10x2.5</t>
  </si>
  <si>
    <t>30x10x3</t>
  </si>
  <si>
    <t>30x15x1</t>
  </si>
  <si>
    <t>30x15x1.5</t>
  </si>
  <si>
    <t>30x15x2</t>
  </si>
  <si>
    <t>30x15x2.5</t>
  </si>
  <si>
    <t>30x15x3</t>
  </si>
  <si>
    <t>30x20x1</t>
  </si>
  <si>
    <t>30x20x1.5</t>
  </si>
  <si>
    <t>30x20x2</t>
  </si>
  <si>
    <t>30x20x2.5</t>
  </si>
  <si>
    <t>30x20x3</t>
  </si>
  <si>
    <t>35x15x1.5</t>
  </si>
  <si>
    <t>35x15x2</t>
  </si>
  <si>
    <t>35x15x2.5</t>
  </si>
  <si>
    <t>35x15x3</t>
  </si>
  <si>
    <t>35x15x3.5</t>
  </si>
  <si>
    <t>35x20x1.5</t>
  </si>
  <si>
    <t>35x20x2</t>
  </si>
  <si>
    <t>35x20x2.5</t>
  </si>
  <si>
    <t>35x20x3</t>
  </si>
  <si>
    <t>35x20x3.5</t>
  </si>
  <si>
    <t>35x25x1.5</t>
  </si>
  <si>
    <t>35x25x2</t>
  </si>
  <si>
    <t>35x25x2.5</t>
  </si>
  <si>
    <t>35x25x3</t>
  </si>
  <si>
    <t>35x25x3.5</t>
  </si>
  <si>
    <t>40x15x2</t>
  </si>
  <si>
    <t>40x15x2.5</t>
  </si>
  <si>
    <t>40x15x3</t>
  </si>
  <si>
    <t>40x15x3.5</t>
  </si>
  <si>
    <t>40x15x4</t>
  </si>
  <si>
    <t>40x20x2</t>
  </si>
  <si>
    <t>40x20x2.5</t>
  </si>
  <si>
    <t>40x20x3</t>
  </si>
  <si>
    <t>40x20x3.5</t>
  </si>
  <si>
    <t>40x20x4</t>
  </si>
  <si>
    <t>40x25x2</t>
  </si>
  <si>
    <t>40x25x2.5</t>
  </si>
  <si>
    <t>40x25x3</t>
  </si>
  <si>
    <t>40x25x3.5</t>
  </si>
  <si>
    <t>40x25x4</t>
  </si>
  <si>
    <t>40x30x2</t>
  </si>
  <si>
    <t>40x30x2.5</t>
  </si>
  <si>
    <t>40x30x3</t>
  </si>
  <si>
    <t>40x30x3.5</t>
  </si>
  <si>
    <t>40x30x4</t>
  </si>
  <si>
    <t>42x20x2</t>
  </si>
  <si>
    <t>42x20x2.5</t>
  </si>
  <si>
    <t>42x20x3</t>
  </si>
  <si>
    <t>42x20x3.5</t>
  </si>
  <si>
    <t>42x20x4</t>
  </si>
  <si>
    <t>42x30x2</t>
  </si>
  <si>
    <t>42x30x2.5</t>
  </si>
  <si>
    <t>42x30x3</t>
  </si>
  <si>
    <t>42x30x3.5</t>
  </si>
  <si>
    <t>42x30x4</t>
  </si>
  <si>
    <t>45x20x2</t>
  </si>
  <si>
    <t>45x20x2.5</t>
  </si>
  <si>
    <t>45x20x3</t>
  </si>
  <si>
    <t>45x20x3.5</t>
  </si>
  <si>
    <t>45x20x4</t>
  </si>
  <si>
    <t>45x30x2</t>
  </si>
  <si>
    <t>45x30x2.5</t>
  </si>
  <si>
    <t>45x30x3</t>
  </si>
  <si>
    <t>45x30x3.5</t>
  </si>
  <si>
    <t>45x30x4</t>
  </si>
  <si>
    <t>50x35x2</t>
  </si>
  <si>
    <t>50x35x2.5</t>
  </si>
  <si>
    <t>50x35x3</t>
  </si>
  <si>
    <t>50x35x3.5</t>
  </si>
  <si>
    <t>50x35x4</t>
  </si>
  <si>
    <t>60x25x2.5</t>
  </si>
  <si>
    <t>60x25x3</t>
  </si>
  <si>
    <t>60x25x3.5</t>
  </si>
  <si>
    <t>60x25x4</t>
  </si>
  <si>
    <t>60x25x5</t>
  </si>
  <si>
    <t>70x30x3</t>
  </si>
  <si>
    <t>70x30x3.5</t>
  </si>
  <si>
    <t>70x30x4</t>
  </si>
  <si>
    <t>70x30x5</t>
  </si>
  <si>
    <t>70x30x6</t>
  </si>
  <si>
    <t>70x40x3</t>
  </si>
  <si>
    <t>70x40x3.5</t>
  </si>
  <si>
    <t>70x40x4</t>
  </si>
  <si>
    <t>70x40x5</t>
  </si>
  <si>
    <t>70x40x6</t>
  </si>
  <si>
    <t>80x40x7</t>
  </si>
  <si>
    <t>80x50x3</t>
  </si>
  <si>
    <t>80x50x3.5</t>
  </si>
  <si>
    <t>80x50x4</t>
  </si>
  <si>
    <t>90x40x3.5</t>
  </si>
  <si>
    <t>90x40x4</t>
  </si>
  <si>
    <t>90x40x5</t>
  </si>
  <si>
    <t>90x40x6</t>
  </si>
  <si>
    <t>90x40x7</t>
  </si>
  <si>
    <t>100x70x4</t>
  </si>
  <si>
    <t>100x70x5</t>
  </si>
  <si>
    <t>100x70x6</t>
  </si>
  <si>
    <t>100x70x7</t>
  </si>
  <si>
    <t>110x40x4</t>
  </si>
  <si>
    <t>110x40x5</t>
  </si>
  <si>
    <t>110x40x6</t>
  </si>
  <si>
    <t>110x40x7</t>
  </si>
  <si>
    <t>110x50x4</t>
  </si>
  <si>
    <t>110x50x5</t>
  </si>
  <si>
    <t>110x50x6</t>
  </si>
  <si>
    <t>110x50x7</t>
  </si>
  <si>
    <t>110x60x4</t>
  </si>
  <si>
    <t>110x60x5</t>
  </si>
  <si>
    <t>110x60x6</t>
  </si>
  <si>
    <t>110x60x7</t>
  </si>
  <si>
    <t>120x40x8</t>
  </si>
  <si>
    <t>120x60x8</t>
  </si>
  <si>
    <t>120x80x8</t>
  </si>
  <si>
    <t>140x60x8</t>
  </si>
  <si>
    <t>140x80x5</t>
  </si>
  <si>
    <t>140x80x6</t>
  </si>
  <si>
    <t>140x80x7</t>
  </si>
  <si>
    <t>140x80x8</t>
  </si>
  <si>
    <t>140x120x9</t>
  </si>
  <si>
    <t>150x80x6</t>
  </si>
  <si>
    <t>150x80x7</t>
  </si>
  <si>
    <t>150x80x8</t>
  </si>
  <si>
    <t>150x80x9</t>
  </si>
  <si>
    <t>150x80x10</t>
  </si>
  <si>
    <t>150x100x8</t>
  </si>
  <si>
    <t>150x100x9</t>
  </si>
  <si>
    <t>150x100x10</t>
  </si>
  <si>
    <t>180x80x9</t>
  </si>
  <si>
    <t>180x80x10</t>
  </si>
  <si>
    <t>180x80x12</t>
  </si>
  <si>
    <t>180x100x9</t>
  </si>
  <si>
    <t>180x100x10</t>
  </si>
  <si>
    <t>180x100x12</t>
  </si>
  <si>
    <t>180x150x8</t>
  </si>
  <si>
    <t>180x150x9</t>
  </si>
  <si>
    <t>180x150x10</t>
  </si>
  <si>
    <t>180x150x12</t>
  </si>
  <si>
    <t>шв_Швеллер_с_пар_гран_ГОСТ</t>
  </si>
  <si>
    <t>5П</t>
  </si>
  <si>
    <t>6.5П</t>
  </si>
  <si>
    <t>8П</t>
  </si>
  <si>
    <t>10П</t>
  </si>
  <si>
    <t>12П</t>
  </si>
  <si>
    <t>14П</t>
  </si>
  <si>
    <t>16aП</t>
  </si>
  <si>
    <t>18П</t>
  </si>
  <si>
    <t>18aП</t>
  </si>
  <si>
    <t>20П</t>
  </si>
  <si>
    <t>22П</t>
  </si>
  <si>
    <t>24П</t>
  </si>
  <si>
    <t>27П</t>
  </si>
  <si>
    <t>30П</t>
  </si>
  <si>
    <t>33П</t>
  </si>
  <si>
    <t>36П</t>
  </si>
  <si>
    <t>40П</t>
  </si>
  <si>
    <t>дв_Двутавр_СТО_Б</t>
  </si>
  <si>
    <t>10Б1</t>
  </si>
  <si>
    <t>12Б1</t>
  </si>
  <si>
    <t>12Б2</t>
  </si>
  <si>
    <t>14Б1</t>
  </si>
  <si>
    <t>14Б2</t>
  </si>
  <si>
    <t>16Б1</t>
  </si>
  <si>
    <t>16Б2</t>
  </si>
  <si>
    <t>18Б1</t>
  </si>
  <si>
    <t>18Б2</t>
  </si>
  <si>
    <t>20Б1</t>
  </si>
  <si>
    <t>25Б1</t>
  </si>
  <si>
    <t>25Б2</t>
  </si>
  <si>
    <t>30Б1</t>
  </si>
  <si>
    <t>30Б2</t>
  </si>
  <si>
    <t>35Б1</t>
  </si>
  <si>
    <t>35Б2</t>
  </si>
  <si>
    <t>40Б1</t>
  </si>
  <si>
    <t>40Б2</t>
  </si>
  <si>
    <t>45Б1</t>
  </si>
  <si>
    <t>45Б2</t>
  </si>
  <si>
    <t>50Б1</t>
  </si>
  <si>
    <t>50Б2</t>
  </si>
  <si>
    <t>50Б3</t>
  </si>
  <si>
    <t>55Б1</t>
  </si>
  <si>
    <t>55Б2</t>
  </si>
  <si>
    <t>60Б1</t>
  </si>
  <si>
    <t>60Б2</t>
  </si>
  <si>
    <t>70Б0</t>
  </si>
  <si>
    <t>70Б1</t>
  </si>
  <si>
    <t>70Б2</t>
  </si>
  <si>
    <t>дв_Двутавр_СТО_Ш</t>
  </si>
  <si>
    <t>20Ш1</t>
  </si>
  <si>
    <t>25Ш1</t>
  </si>
  <si>
    <t>30Ш1</t>
  </si>
  <si>
    <t>35Ш1</t>
  </si>
  <si>
    <t>35Ш2</t>
  </si>
  <si>
    <t>40Ш1</t>
  </si>
  <si>
    <t>40Ш2</t>
  </si>
  <si>
    <t>45Ш1</t>
  </si>
  <si>
    <t>50Ш1</t>
  </si>
  <si>
    <t>50Ш2</t>
  </si>
  <si>
    <t>50Ш3</t>
  </si>
  <si>
    <t>50Ш4</t>
  </si>
  <si>
    <t>60Ш1</t>
  </si>
  <si>
    <t>60Ш2</t>
  </si>
  <si>
    <t>60Ш3</t>
  </si>
  <si>
    <t>60Ш4</t>
  </si>
  <si>
    <t>70Ш1</t>
  </si>
  <si>
    <t>70Ш2</t>
  </si>
  <si>
    <t>70Ш3</t>
  </si>
  <si>
    <t>70Ш4</t>
  </si>
  <si>
    <t>70Ш5</t>
  </si>
  <si>
    <t>80Ш1</t>
  </si>
  <si>
    <t>80Ш2</t>
  </si>
  <si>
    <t>90Ш1</t>
  </si>
  <si>
    <t>90Ш2</t>
  </si>
  <si>
    <t>100Ш1</t>
  </si>
  <si>
    <t>100Ш2</t>
  </si>
  <si>
    <t>100Ш3</t>
  </si>
  <si>
    <t>100Ш4</t>
  </si>
  <si>
    <t>дв_Двутавр_СТО_К</t>
  </si>
  <si>
    <t>20К1</t>
  </si>
  <si>
    <t>20К2</t>
  </si>
  <si>
    <t>25К1</t>
  </si>
  <si>
    <t>25К2</t>
  </si>
  <si>
    <t>25К3</t>
  </si>
  <si>
    <t>30К1</t>
  </si>
  <si>
    <t>30К2</t>
  </si>
  <si>
    <t>30К3</t>
  </si>
  <si>
    <t>30К4</t>
  </si>
  <si>
    <t>35К1</t>
  </si>
  <si>
    <t>35К2</t>
  </si>
  <si>
    <t>40К1</t>
  </si>
  <si>
    <t>40К2</t>
  </si>
  <si>
    <t>40К3</t>
  </si>
  <si>
    <t>40К4</t>
  </si>
  <si>
    <t>40К5</t>
  </si>
  <si>
    <t>дв_Двутавр_СТО_М</t>
  </si>
  <si>
    <t>24М</t>
  </si>
  <si>
    <t>30М</t>
  </si>
  <si>
    <t>36М</t>
  </si>
  <si>
    <t>40ЕС</t>
  </si>
  <si>
    <t>45М</t>
  </si>
  <si>
    <t>КХБ-515</t>
  </si>
  <si>
    <t>КХБ-526</t>
  </si>
  <si>
    <t>уг_Равнополочный_8509_93</t>
  </si>
  <si>
    <t>L20x3</t>
  </si>
  <si>
    <t>L20x4</t>
  </si>
  <si>
    <t>L25x3</t>
  </si>
  <si>
    <t>L25x4</t>
  </si>
  <si>
    <t>L25x5</t>
  </si>
  <si>
    <t>L28x3</t>
  </si>
  <si>
    <t>L30x3</t>
  </si>
  <si>
    <t>L30x4</t>
  </si>
  <si>
    <t>L30x5</t>
  </si>
  <si>
    <t>L32x3</t>
  </si>
  <si>
    <t>L32x4</t>
  </si>
  <si>
    <t>L35x3</t>
  </si>
  <si>
    <t>L35x4</t>
  </si>
  <si>
    <t>L35x5</t>
  </si>
  <si>
    <t>L40x3</t>
  </si>
  <si>
    <t>L40x4</t>
  </si>
  <si>
    <t>L40x5</t>
  </si>
  <si>
    <t>L40x6</t>
  </si>
  <si>
    <t>L45x3</t>
  </si>
  <si>
    <t>L45x4</t>
  </si>
  <si>
    <t>L45x5</t>
  </si>
  <si>
    <t>L45x6</t>
  </si>
  <si>
    <t>L50x3</t>
  </si>
  <si>
    <t>L50x4</t>
  </si>
  <si>
    <t>L50x5</t>
  </si>
  <si>
    <t>L50x6</t>
  </si>
  <si>
    <t>L50x7</t>
  </si>
  <si>
    <t>L50x8</t>
  </si>
  <si>
    <t>L56x4</t>
  </si>
  <si>
    <t>L56x5</t>
  </si>
  <si>
    <t>L60x4</t>
  </si>
  <si>
    <t>L60x5</t>
  </si>
  <si>
    <t>L60x6</t>
  </si>
  <si>
    <t>L60x8</t>
  </si>
  <si>
    <t>L60x10</t>
  </si>
  <si>
    <t>L63x4</t>
  </si>
  <si>
    <t>L63x5</t>
  </si>
  <si>
    <t>L63x6</t>
  </si>
  <si>
    <t>L65x6</t>
  </si>
  <si>
    <t>L65x8</t>
  </si>
  <si>
    <t>L70x4</t>
  </si>
  <si>
    <t>L70x5</t>
  </si>
  <si>
    <t>L70x6</t>
  </si>
  <si>
    <t>L70x7</t>
  </si>
  <si>
    <t>L70x8</t>
  </si>
  <si>
    <t>L70x10</t>
  </si>
  <si>
    <t>L75x5</t>
  </si>
  <si>
    <t>L75x6</t>
  </si>
  <si>
    <t>L75x7</t>
  </si>
  <si>
    <t>L75x8</t>
  </si>
  <si>
    <t>L75x9</t>
  </si>
  <si>
    <t>L80x5</t>
  </si>
  <si>
    <t>L80x6</t>
  </si>
  <si>
    <t>L80x7</t>
  </si>
  <si>
    <t>L80x8</t>
  </si>
  <si>
    <t>L80x10</t>
  </si>
  <si>
    <t>L80x12</t>
  </si>
  <si>
    <t>L90x6</t>
  </si>
  <si>
    <t>L90x7</t>
  </si>
  <si>
    <t>L90x8</t>
  </si>
  <si>
    <t>L90x9</t>
  </si>
  <si>
    <t>L90x10</t>
  </si>
  <si>
    <t>L90x12</t>
  </si>
  <si>
    <t>L100x6.5</t>
  </si>
  <si>
    <t>L100x7</t>
  </si>
  <si>
    <t>L100x8</t>
  </si>
  <si>
    <t>L100x10</t>
  </si>
  <si>
    <t>L100x12</t>
  </si>
  <si>
    <t>L100x14</t>
  </si>
  <si>
    <t>L100x15</t>
  </si>
  <si>
    <t>L100x16</t>
  </si>
  <si>
    <t>L110x7</t>
  </si>
  <si>
    <t>L110x8</t>
  </si>
  <si>
    <t>L120x8</t>
  </si>
  <si>
    <t>L120x10</t>
  </si>
  <si>
    <t>L120x12</t>
  </si>
  <si>
    <t>L120x15</t>
  </si>
  <si>
    <t>L125x8</t>
  </si>
  <si>
    <t>L125x9</t>
  </si>
  <si>
    <t>L125x10</t>
  </si>
  <si>
    <t>L125x12</t>
  </si>
  <si>
    <t>L125x14</t>
  </si>
  <si>
    <t>L125x16</t>
  </si>
  <si>
    <t>L140x9</t>
  </si>
  <si>
    <t>L140x10</t>
  </si>
  <si>
    <t>L140x12</t>
  </si>
  <si>
    <t>L150x10</t>
  </si>
  <si>
    <t>L150x12</t>
  </si>
  <si>
    <t>L150x15</t>
  </si>
  <si>
    <t>L150x18</t>
  </si>
  <si>
    <t>L160x10</t>
  </si>
  <si>
    <t>L160x11</t>
  </si>
  <si>
    <t>L160x12</t>
  </si>
  <si>
    <t>L160x14</t>
  </si>
  <si>
    <t>L160x16</t>
  </si>
  <si>
    <t>L160x18</t>
  </si>
  <si>
    <t>L160x20</t>
  </si>
  <si>
    <t>L180x11</t>
  </si>
  <si>
    <t>L180x12</t>
  </si>
  <si>
    <t>L180x15</t>
  </si>
  <si>
    <t>L180x18</t>
  </si>
  <si>
    <t>L180x20</t>
  </si>
  <si>
    <t>L200x12</t>
  </si>
  <si>
    <t>L200x13</t>
  </si>
  <si>
    <t>L200x14</t>
  </si>
  <si>
    <t>L200x16</t>
  </si>
  <si>
    <t>L200x18</t>
  </si>
  <si>
    <t>L200x20</t>
  </si>
  <si>
    <t>L200x24</t>
  </si>
  <si>
    <t>L200x25</t>
  </si>
  <si>
    <t>L200x30</t>
  </si>
  <si>
    <t>L220x14</t>
  </si>
  <si>
    <t>L220x16</t>
  </si>
  <si>
    <t>L250x16</t>
  </si>
  <si>
    <t>L250x18</t>
  </si>
  <si>
    <t>L250x20</t>
  </si>
  <si>
    <t>L250x22</t>
  </si>
  <si>
    <t>L250x25</t>
  </si>
  <si>
    <t>L250x28</t>
  </si>
  <si>
    <t>L250x30</t>
  </si>
  <si>
    <t>L250x35</t>
  </si>
  <si>
    <t>уг_Неравнополочный_8510_86</t>
  </si>
  <si>
    <t>L25x16x3</t>
  </si>
  <si>
    <t>L30x20x3</t>
  </si>
  <si>
    <t>L30x20x4</t>
  </si>
  <si>
    <t>L32x20x3</t>
  </si>
  <si>
    <t>L32x20x4</t>
  </si>
  <si>
    <t>L40x25x3</t>
  </si>
  <si>
    <t>L40x25x4</t>
  </si>
  <si>
    <t>L40x25x5</t>
  </si>
  <si>
    <t>L40x30x4</t>
  </si>
  <si>
    <t>L40x30x5</t>
  </si>
  <si>
    <t>L45x28x3</t>
  </si>
  <si>
    <t>L45x28x4</t>
  </si>
  <si>
    <t>L50x32x3</t>
  </si>
  <si>
    <t>L50x32x4</t>
  </si>
  <si>
    <t>L56x36x4</t>
  </si>
  <si>
    <t>L56x36x5</t>
  </si>
  <si>
    <t>L63x40x4</t>
  </si>
  <si>
    <t>L63x40x5</t>
  </si>
  <si>
    <t>L63x40x6</t>
  </si>
  <si>
    <t>L63x40x8</t>
  </si>
  <si>
    <t>L65x50x5</t>
  </si>
  <si>
    <t>L65x50x6</t>
  </si>
  <si>
    <t>L65x50x7</t>
  </si>
  <si>
    <t>L65x50x8</t>
  </si>
  <si>
    <t>L70x45x5</t>
  </si>
  <si>
    <t>L75x50x5</t>
  </si>
  <si>
    <t>L75x50x6</t>
  </si>
  <si>
    <t>L75x50x7</t>
  </si>
  <si>
    <t>L75x50x8</t>
  </si>
  <si>
    <t>L80x50x5</t>
  </si>
  <si>
    <t>L80x50x6</t>
  </si>
  <si>
    <t>L80x60x6</t>
  </si>
  <si>
    <t>L80x60x7</t>
  </si>
  <si>
    <t>L80x60x8</t>
  </si>
  <si>
    <t>L90x56x5</t>
  </si>
  <si>
    <t>L90x56x6</t>
  </si>
  <si>
    <t>L90x56x8</t>
  </si>
  <si>
    <t>L100x63x6</t>
  </si>
  <si>
    <t>L100x63x7</t>
  </si>
  <si>
    <t>L100x63x8</t>
  </si>
  <si>
    <t>L100x63x10</t>
  </si>
  <si>
    <t>L100x65x7</t>
  </si>
  <si>
    <t>L100x65x8</t>
  </si>
  <si>
    <t>L100x65x10</t>
  </si>
  <si>
    <t>L110x70x6</t>
  </si>
  <si>
    <t>L110x70x8</t>
  </si>
  <si>
    <t>L125x80x7</t>
  </si>
  <si>
    <t>L125x80x8</t>
  </si>
  <si>
    <t>L125x80x10</t>
  </si>
  <si>
    <t>L125x80x12</t>
  </si>
  <si>
    <t>L140x90x8</t>
  </si>
  <si>
    <t>L140x90x10</t>
  </si>
  <si>
    <t>L160x100x9</t>
  </si>
  <si>
    <t>L160x100x10</t>
  </si>
  <si>
    <t>L160x100x12</t>
  </si>
  <si>
    <t>L160x100x14</t>
  </si>
  <si>
    <t>L180x110x10</t>
  </si>
  <si>
    <t>L180x110x12</t>
  </si>
  <si>
    <t>L200x125x11</t>
  </si>
  <si>
    <t>L200x125x12</t>
  </si>
  <si>
    <t>L200x125x14</t>
  </si>
  <si>
    <t>L200x125x16</t>
  </si>
  <si>
    <t>шв_гн_Швеллер_гнут_ГОСТ</t>
  </si>
  <si>
    <t>25x26x2</t>
  </si>
  <si>
    <t>25x30x2</t>
  </si>
  <si>
    <t>28x27x2.5</t>
  </si>
  <si>
    <t>30x25x3</t>
  </si>
  <si>
    <t>30x30x2</t>
  </si>
  <si>
    <t>32x25x3</t>
  </si>
  <si>
    <t>32x32x2</t>
  </si>
  <si>
    <t>38x95x2.5</t>
  </si>
  <si>
    <t>40x40x2</t>
  </si>
  <si>
    <t>40x40x2.5</t>
  </si>
  <si>
    <t>40x40x3</t>
  </si>
  <si>
    <t>42x42x4</t>
  </si>
  <si>
    <t>43x45x2</t>
  </si>
  <si>
    <t>45x25x3</t>
  </si>
  <si>
    <t>45x31x2</t>
  </si>
  <si>
    <t>48x70x5</t>
  </si>
  <si>
    <t>50x32x2.5</t>
  </si>
  <si>
    <t>50x47x6</t>
  </si>
  <si>
    <t>50x50x2.5</t>
  </si>
  <si>
    <t>50x50x3</t>
  </si>
  <si>
    <t>50x50x4</t>
  </si>
  <si>
    <t>60x26x2.5</t>
  </si>
  <si>
    <t>60x32x2.5</t>
  </si>
  <si>
    <t>60x32x3</t>
  </si>
  <si>
    <t>60x32x4</t>
  </si>
  <si>
    <t>60x50x3</t>
  </si>
  <si>
    <t>60x60x3</t>
  </si>
  <si>
    <t>60x60x4</t>
  </si>
  <si>
    <t>60x80x3</t>
  </si>
  <si>
    <t>60x90x5</t>
  </si>
  <si>
    <t>63x21x2.2</t>
  </si>
  <si>
    <t>65x75x4</t>
  </si>
  <si>
    <t>68x27x1</t>
  </si>
  <si>
    <t>70x30x2</t>
  </si>
  <si>
    <t>70x60x4</t>
  </si>
  <si>
    <t>78x46x6</t>
  </si>
  <si>
    <t>80x25x4</t>
  </si>
  <si>
    <t>80x32x4</t>
  </si>
  <si>
    <t>80x35x4</t>
  </si>
  <si>
    <t>80x80x3</t>
  </si>
  <si>
    <t>80x80x4</t>
  </si>
  <si>
    <t>80x85x4</t>
  </si>
  <si>
    <t>80x100x6</t>
  </si>
  <si>
    <t>900x50x3.5</t>
  </si>
  <si>
    <t>90x54x5</t>
  </si>
  <si>
    <t>90x100x2.5</t>
  </si>
  <si>
    <t>100x40x2.5</t>
  </si>
  <si>
    <t>100x80x3</t>
  </si>
  <si>
    <t>100x80x4</t>
  </si>
  <si>
    <t>100x80x5</t>
  </si>
  <si>
    <t>100x100x3</t>
  </si>
  <si>
    <t>100x100x6</t>
  </si>
  <si>
    <t>100x160x4</t>
  </si>
  <si>
    <t>104x20x2</t>
  </si>
  <si>
    <t>106x50x4</t>
  </si>
  <si>
    <t>108x70x6</t>
  </si>
  <si>
    <t>110x26x2.5</t>
  </si>
  <si>
    <t>110x100x4</t>
  </si>
  <si>
    <t>120x25x4</t>
  </si>
  <si>
    <t>120x50x3</t>
  </si>
  <si>
    <t>120x50x4</t>
  </si>
  <si>
    <t>120x50x6</t>
  </si>
  <si>
    <t>120x70x5</t>
  </si>
  <si>
    <t>140x40x2.5</t>
  </si>
  <si>
    <t>140x40x3</t>
  </si>
  <si>
    <t>140x70x5</t>
  </si>
  <si>
    <t>140x80x4</t>
  </si>
  <si>
    <t>145x65x3</t>
  </si>
  <si>
    <t>148x25x4</t>
  </si>
  <si>
    <t>160x40x2</t>
  </si>
  <si>
    <t>160x50x2.5</t>
  </si>
  <si>
    <t>160x50x4</t>
  </si>
  <si>
    <t>160x50x5</t>
  </si>
  <si>
    <t>160x50x6</t>
  </si>
  <si>
    <t>160x60x2.5</t>
  </si>
  <si>
    <t>160x60x3</t>
  </si>
  <si>
    <t>160x60x4</t>
  </si>
  <si>
    <t>160x60x5</t>
  </si>
  <si>
    <t>160x60x6</t>
  </si>
  <si>
    <t>160x70x4</t>
  </si>
  <si>
    <t>160x80x2.5</t>
  </si>
  <si>
    <t>160x80x3</t>
  </si>
  <si>
    <t>160x100x3</t>
  </si>
  <si>
    <t>160x160x6</t>
  </si>
  <si>
    <t>170x60x4</t>
  </si>
  <si>
    <t>170x70x5</t>
  </si>
  <si>
    <t>170x70x6</t>
  </si>
  <si>
    <t>180x40x3</t>
  </si>
  <si>
    <t>180x40x4</t>
  </si>
  <si>
    <t>180x50x4</t>
  </si>
  <si>
    <t>180x70x6</t>
  </si>
  <si>
    <t>180x130x8</t>
  </si>
  <si>
    <t>185x100x3</t>
  </si>
  <si>
    <t>200x50x3</t>
  </si>
  <si>
    <t>200x50x4</t>
  </si>
  <si>
    <t>200x100x3</t>
  </si>
  <si>
    <t>200x180x6</t>
  </si>
  <si>
    <t>205x38x2.5</t>
  </si>
  <si>
    <t>206x75x6</t>
  </si>
  <si>
    <t>210x57x4</t>
  </si>
  <si>
    <t>250x35x3</t>
  </si>
  <si>
    <t>250x60x3</t>
  </si>
  <si>
    <t>250x60x4</t>
  </si>
  <si>
    <t>250x60x5</t>
  </si>
  <si>
    <t>250x60x6</t>
  </si>
  <si>
    <t>250x125x6</t>
  </si>
  <si>
    <t>270x100x7</t>
  </si>
  <si>
    <t>280x60x3.9</t>
  </si>
  <si>
    <t>280x140x5</t>
  </si>
  <si>
    <t>300x80x6</t>
  </si>
  <si>
    <t>310x100x6</t>
  </si>
  <si>
    <t>380x65x6</t>
  </si>
  <si>
    <t>400x95x8</t>
  </si>
  <si>
    <t>410x65x6</t>
  </si>
  <si>
    <t>уг_гн_Равнополочный_19771_93</t>
  </si>
  <si>
    <t>L36x3</t>
  </si>
  <si>
    <t>L60x3</t>
  </si>
  <si>
    <t>L80x3</t>
  </si>
  <si>
    <t>L80x4</t>
  </si>
  <si>
    <t>L100x4</t>
  </si>
  <si>
    <t>L100x5</t>
  </si>
  <si>
    <t>L100x6</t>
  </si>
  <si>
    <t>L120x5</t>
  </si>
  <si>
    <t>L120x6</t>
  </si>
  <si>
    <t>Лист_19903</t>
  </si>
  <si>
    <t>--10</t>
  </si>
  <si>
    <t>--16</t>
  </si>
  <si>
    <t>A-II(A300)</t>
  </si>
  <si>
    <t>A-III(A400)</t>
  </si>
  <si>
    <t>A-IV</t>
  </si>
  <si>
    <t>A-V</t>
  </si>
  <si>
    <t>Вр-I</t>
  </si>
  <si>
    <t>Вр-II</t>
  </si>
  <si>
    <t>ГОСТ 27772-2015</t>
  </si>
  <si>
    <t>С285</t>
  </si>
  <si>
    <t>С375</t>
  </si>
  <si>
    <t>12Х18Н10Т</t>
  </si>
  <si>
    <t>ГОСТ 5632-72</t>
  </si>
  <si>
    <t>ОН-КР-1</t>
  </si>
  <si>
    <t>ГОСТ 14918-80</t>
  </si>
  <si>
    <t>кв.м.</t>
  </si>
  <si>
    <t>кг.</t>
  </si>
  <si>
    <t>л.</t>
  </si>
  <si>
    <t>Тип 4</t>
  </si>
  <si>
    <t>!System</t>
  </si>
  <si>
    <t>тр_квадрат_по_ГОСТ_8639_82</t>
  </si>
  <si>
    <t>---</t>
  </si>
  <si>
    <t>Изделия_спец.И</t>
  </si>
  <si>
    <t>Лист_спл</t>
  </si>
  <si>
    <t>Лист1</t>
  </si>
  <si>
    <t>Лист2</t>
  </si>
  <si>
    <t>Лист3</t>
  </si>
  <si>
    <t>Лист4</t>
  </si>
  <si>
    <t>Лист5</t>
  </si>
  <si>
    <t>Лист6</t>
  </si>
  <si>
    <t>Лист7</t>
  </si>
  <si>
    <t>Лист8</t>
  </si>
  <si>
    <t>Лист_рифл</t>
  </si>
  <si>
    <t>Чечевичный</t>
  </si>
  <si>
    <t>Ромбический</t>
  </si>
  <si>
    <t>тр_к_кругляк_2590</t>
  </si>
  <si>
    <t>d5.0</t>
  </si>
  <si>
    <t>d5.5</t>
  </si>
  <si>
    <t>d6.0</t>
  </si>
  <si>
    <t>d6.3</t>
  </si>
  <si>
    <t>d6.5</t>
  </si>
  <si>
    <t>d7.0</t>
  </si>
  <si>
    <t>d8.0</t>
  </si>
  <si>
    <t>d9.0</t>
  </si>
  <si>
    <t>d10.0</t>
  </si>
  <si>
    <t>d11.0</t>
  </si>
  <si>
    <t>d12.0</t>
  </si>
  <si>
    <t>d13.0</t>
  </si>
  <si>
    <t>d14.0</t>
  </si>
  <si>
    <t>d15.0</t>
  </si>
  <si>
    <t>d16.0</t>
  </si>
  <si>
    <t>d17.0</t>
  </si>
  <si>
    <t>d18.0</t>
  </si>
  <si>
    <t>d19.0</t>
  </si>
  <si>
    <t>d20.0</t>
  </si>
  <si>
    <t>d21.0</t>
  </si>
  <si>
    <t>d22.0</t>
  </si>
  <si>
    <t>d23.0</t>
  </si>
  <si>
    <t>d24.0</t>
  </si>
  <si>
    <t>d25.0</t>
  </si>
  <si>
    <t>d26.0</t>
  </si>
  <si>
    <t>d27.0</t>
  </si>
  <si>
    <t>d28.0</t>
  </si>
  <si>
    <t>d29.0</t>
  </si>
  <si>
    <t>d30.0</t>
  </si>
  <si>
    <t>d31.0</t>
  </si>
  <si>
    <t>d32.0</t>
  </si>
  <si>
    <t>d33.0</t>
  </si>
  <si>
    <t>d34.0</t>
  </si>
  <si>
    <t>d35.0</t>
  </si>
  <si>
    <t>d36.0</t>
  </si>
  <si>
    <t>d37.0</t>
  </si>
  <si>
    <t>d38.0</t>
  </si>
  <si>
    <t>d39.0</t>
  </si>
  <si>
    <t>d40.0</t>
  </si>
  <si>
    <t>d41.0</t>
  </si>
  <si>
    <t>d42.0</t>
  </si>
  <si>
    <t>d43.0</t>
  </si>
  <si>
    <t>d44.0</t>
  </si>
  <si>
    <t>d45.0</t>
  </si>
  <si>
    <t>d46.0</t>
  </si>
  <si>
    <t>d47.0</t>
  </si>
  <si>
    <t>d48.0</t>
  </si>
  <si>
    <t>d50.0</t>
  </si>
  <si>
    <t>d52.0</t>
  </si>
  <si>
    <t>d53.0</t>
  </si>
  <si>
    <t>d54.0</t>
  </si>
  <si>
    <t>d55.0</t>
  </si>
  <si>
    <t>d56.0</t>
  </si>
  <si>
    <t>d58.0</t>
  </si>
  <si>
    <t>d60.0</t>
  </si>
  <si>
    <t>d62.0</t>
  </si>
  <si>
    <t>d63.0</t>
  </si>
  <si>
    <t>d65.0</t>
  </si>
  <si>
    <t>d67.0</t>
  </si>
  <si>
    <t>d68.0</t>
  </si>
  <si>
    <t>d70.0</t>
  </si>
  <si>
    <t>d72.0</t>
  </si>
  <si>
    <t>d75.0</t>
  </si>
  <si>
    <t>d78.0</t>
  </si>
  <si>
    <t>d80.0</t>
  </si>
  <si>
    <t>d82.0</t>
  </si>
  <si>
    <t>d85.0</t>
  </si>
  <si>
    <t>d87.0</t>
  </si>
  <si>
    <t>d90.0</t>
  </si>
  <si>
    <t>d92.0</t>
  </si>
  <si>
    <t>d95.0</t>
  </si>
  <si>
    <t>d97.0</t>
  </si>
  <si>
    <t>d100.0</t>
  </si>
  <si>
    <t>d105.0</t>
  </si>
  <si>
    <t>d110.0</t>
  </si>
  <si>
    <t>d115.0</t>
  </si>
  <si>
    <t>d120.0</t>
  </si>
  <si>
    <t>d125.0</t>
  </si>
  <si>
    <t>d130.0</t>
  </si>
  <si>
    <t>d135.0</t>
  </si>
  <si>
    <t>d140.0</t>
  </si>
  <si>
    <t>d145.0</t>
  </si>
  <si>
    <t>d150.0</t>
  </si>
  <si>
    <t>d155.0</t>
  </si>
  <si>
    <t>d160.0</t>
  </si>
  <si>
    <t>d165.0</t>
  </si>
  <si>
    <t>d170.0</t>
  </si>
  <si>
    <t>d175.0</t>
  </si>
  <si>
    <t>d180.0</t>
  </si>
  <si>
    <t>d185.0</t>
  </si>
  <si>
    <t>d190.0</t>
  </si>
  <si>
    <t>d195.0</t>
  </si>
  <si>
    <t>d200.0</t>
  </si>
  <si>
    <t>d210.0</t>
  </si>
  <si>
    <t>d220.0</t>
  </si>
  <si>
    <t>d230.0</t>
  </si>
  <si>
    <t>d240.0</t>
  </si>
  <si>
    <t>d250.0</t>
  </si>
  <si>
    <t>d260.0</t>
  </si>
  <si>
    <t>d270.0</t>
  </si>
  <si>
    <t>тр_к_квадрат_2591</t>
  </si>
  <si>
    <t>6x6</t>
  </si>
  <si>
    <t>7x7</t>
  </si>
  <si>
    <t>8x8</t>
  </si>
  <si>
    <t>9x9</t>
  </si>
  <si>
    <t>10x10</t>
  </si>
  <si>
    <t>11x11</t>
  </si>
  <si>
    <t>12x12</t>
  </si>
  <si>
    <t>13x13</t>
  </si>
  <si>
    <t>14x14</t>
  </si>
  <si>
    <t>15x15</t>
  </si>
  <si>
    <t>16x16</t>
  </si>
  <si>
    <t>17x17</t>
  </si>
  <si>
    <t>18x18</t>
  </si>
  <si>
    <t>19x19</t>
  </si>
  <si>
    <t>20x20</t>
  </si>
  <si>
    <t>21x21</t>
  </si>
  <si>
    <t>22x22</t>
  </si>
  <si>
    <t>23x23</t>
  </si>
  <si>
    <t>24x24</t>
  </si>
  <si>
    <t>25x25</t>
  </si>
  <si>
    <t>26x26</t>
  </si>
  <si>
    <t>27x27</t>
  </si>
  <si>
    <t>28x28</t>
  </si>
  <si>
    <t>29x29</t>
  </si>
  <si>
    <t>30x30</t>
  </si>
  <si>
    <t>32x32</t>
  </si>
  <si>
    <t>34x34</t>
  </si>
  <si>
    <t>35x35</t>
  </si>
  <si>
    <t>36x36</t>
  </si>
  <si>
    <t>38x38</t>
  </si>
  <si>
    <t>40x40</t>
  </si>
  <si>
    <t>42x42</t>
  </si>
  <si>
    <t>45x45</t>
  </si>
  <si>
    <t>46x46</t>
  </si>
  <si>
    <t>48x48</t>
  </si>
  <si>
    <t>50x50</t>
  </si>
  <si>
    <t>52x52</t>
  </si>
  <si>
    <t>55x55</t>
  </si>
  <si>
    <t>58x58</t>
  </si>
  <si>
    <t>60x60</t>
  </si>
  <si>
    <t>63x63</t>
  </si>
  <si>
    <t>65x65</t>
  </si>
  <si>
    <t>70x70</t>
  </si>
  <si>
    <t>75x75</t>
  </si>
  <si>
    <t>80x80</t>
  </si>
  <si>
    <t>85x85</t>
  </si>
  <si>
    <t>90x90</t>
  </si>
  <si>
    <t>93x93</t>
  </si>
  <si>
    <t>95x95</t>
  </si>
  <si>
    <t>100x100</t>
  </si>
  <si>
    <t>тр_полоса_103</t>
  </si>
  <si>
    <t>10x4</t>
  </si>
  <si>
    <t>12x4</t>
  </si>
  <si>
    <t>14x4</t>
  </si>
  <si>
    <t>15x4</t>
  </si>
  <si>
    <t>16x4</t>
  </si>
  <si>
    <t>18x4</t>
  </si>
  <si>
    <t>20x4</t>
  </si>
  <si>
    <t>22x4</t>
  </si>
  <si>
    <t>25x4</t>
  </si>
  <si>
    <t>28x4</t>
  </si>
  <si>
    <t>55x4</t>
  </si>
  <si>
    <t>63x4</t>
  </si>
  <si>
    <t>65x4</t>
  </si>
  <si>
    <t>75x4</t>
  </si>
  <si>
    <t>85x4</t>
  </si>
  <si>
    <t>95x4</t>
  </si>
  <si>
    <t>105x4</t>
  </si>
  <si>
    <t>110x4</t>
  </si>
  <si>
    <t>125x4</t>
  </si>
  <si>
    <t>130x4</t>
  </si>
  <si>
    <t>170x4</t>
  </si>
  <si>
    <t>190x4</t>
  </si>
  <si>
    <t>200x4</t>
  </si>
  <si>
    <t>уг_гн_НеРавнополочный_19772_93</t>
  </si>
  <si>
    <t>L32x25x2</t>
  </si>
  <si>
    <t>L32x25x2.5</t>
  </si>
  <si>
    <t>L50x35x3.2</t>
  </si>
  <si>
    <t>L60x40x3</t>
  </si>
  <si>
    <t>L70x50x4</t>
  </si>
  <si>
    <t>L80x63x4</t>
  </si>
  <si>
    <t>L85x35x4</t>
  </si>
  <si>
    <t>L90x70x4</t>
  </si>
  <si>
    <t>L100x65x4</t>
  </si>
  <si>
    <t>L105x100x3</t>
  </si>
  <si>
    <t>L115x65x5</t>
  </si>
  <si>
    <t>L120x100x8</t>
  </si>
  <si>
    <t>L180x140x6</t>
  </si>
  <si>
    <t>--1</t>
  </si>
  <si>
    <t>--2</t>
  </si>
  <si>
    <t>--3</t>
  </si>
  <si>
    <t>--4</t>
  </si>
  <si>
    <t>--5</t>
  </si>
  <si>
    <t>--6</t>
  </si>
  <si>
    <t>--7</t>
  </si>
  <si>
    <t>--8</t>
  </si>
  <si>
    <t>--9</t>
  </si>
  <si>
    <t>--11</t>
  </si>
  <si>
    <t>--12</t>
  </si>
  <si>
    <t>--13</t>
  </si>
  <si>
    <t>--14</t>
  </si>
  <si>
    <t>--15</t>
  </si>
  <si>
    <t>--17</t>
  </si>
  <si>
    <t>--18</t>
  </si>
  <si>
    <t>--19</t>
  </si>
  <si>
    <t>--20</t>
  </si>
  <si>
    <t>--21</t>
  </si>
  <si>
    <t>--22</t>
  </si>
  <si>
    <t>--23</t>
  </si>
  <si>
    <t>--24</t>
  </si>
  <si>
    <t>--25</t>
  </si>
  <si>
    <t>--26</t>
  </si>
  <si>
    <t>--27</t>
  </si>
  <si>
    <t>--28</t>
  </si>
  <si>
    <t>--29</t>
  </si>
  <si>
    <t>--30</t>
  </si>
  <si>
    <t>--31</t>
  </si>
  <si>
    <t>--32</t>
  </si>
  <si>
    <t>--33</t>
  </si>
  <si>
    <t>--34</t>
  </si>
  <si>
    <t>--36</t>
  </si>
  <si>
    <t>--38</t>
  </si>
  <si>
    <t>--40</t>
  </si>
  <si>
    <t>--42</t>
  </si>
  <si>
    <t>--45</t>
  </si>
  <si>
    <t>--48</t>
  </si>
  <si>
    <t>--50</t>
  </si>
  <si>
    <t>Лист_черн</t>
  </si>
  <si>
    <t>-- 4</t>
  </si>
  <si>
    <t>-- 5</t>
  </si>
  <si>
    <t>-- 6</t>
  </si>
  <si>
    <t>-- 7</t>
  </si>
  <si>
    <t>-- 8</t>
  </si>
  <si>
    <t>-- 9</t>
  </si>
  <si>
    <t>-- 10</t>
  </si>
  <si>
    <t>-- 11</t>
  </si>
  <si>
    <t>-- 12</t>
  </si>
  <si>
    <t>-- 14</t>
  </si>
  <si>
    <t>-- 15</t>
  </si>
  <si>
    <t>-- 16</t>
  </si>
  <si>
    <t>-- 18</t>
  </si>
  <si>
    <t>Марка
элемента</t>
  </si>
  <si>
    <t>Поз.</t>
  </si>
  <si>
    <t>Обозначение</t>
  </si>
  <si>
    <t>Наименование</t>
  </si>
  <si>
    <t>Кол-во
на один элемент</t>
  </si>
  <si>
    <t>Масса, кг</t>
  </si>
  <si>
    <t>Примечание
(на лист)</t>
  </si>
  <si>
    <t>Комментарий</t>
  </si>
  <si>
    <t>Арматура</t>
  </si>
  <si>
    <t>Длина, мм</t>
  </si>
  <si>
    <t>Диаметр</t>
  </si>
  <si>
    <t>Класс</t>
  </si>
  <si>
    <t>Прокат</t>
  </si>
  <si>
    <t>Длина
(площадь кв.мм для пластин), мм</t>
  </si>
  <si>
    <t>ГОСТ профиля</t>
  </si>
  <si>
    <t>Профиль</t>
  </si>
  <si>
    <t>Тип конструкции</t>
  </si>
  <si>
    <t>Сталь</t>
  </si>
  <si>
    <t>Окраска</t>
  </si>
  <si>
    <t>Огнезащита</t>
  </si>
  <si>
    <t>Всё в мм</t>
  </si>
  <si>
    <t>Анкеровка</t>
  </si>
  <si>
    <t>Нахлёст</t>
  </si>
  <si>
    <t>Радиус оправки</t>
  </si>
  <si>
    <t>НЕТ БЕТОНА</t>
  </si>
  <si>
    <t>ГОСТ 34028-2016</t>
  </si>
  <si>
    <t>ГОСТ 8509-93</t>
  </si>
  <si>
    <t>ГОСТ 25192-2012</t>
  </si>
  <si>
    <t>!!!</t>
  </si>
  <si>
    <t>Площадь, кв.м</t>
  </si>
  <si>
    <t>Основной</t>
  </si>
  <si>
    <t>Стержень</t>
  </si>
  <si>
    <t>ГОСТ Р 52544—2006</t>
  </si>
  <si>
    <t>100*200</t>
  </si>
  <si>
    <t>ГОСТ 19903-2005</t>
  </si>
  <si>
    <t>Закладная МН401-2</t>
  </si>
  <si>
    <t>Серия 1.400-15 В.1</t>
  </si>
  <si>
    <t>Зд2</t>
  </si>
  <si>
    <t>Уголок 50х5</t>
  </si>
  <si>
    <t>Закладная МН553</t>
  </si>
  <si>
    <t>Зд1</t>
  </si>
  <si>
    <t>Горизонтальный стержень</t>
  </si>
  <si>
    <t>Вертикальный стержень</t>
  </si>
  <si>
    <t>данный лист</t>
  </si>
  <si>
    <t>С3</t>
  </si>
  <si>
    <t>ГОСТ 5781-82*</t>
  </si>
  <si>
    <t>С2</t>
  </si>
  <si>
    <t>С1</t>
  </si>
  <si>
    <t>Кр3</t>
  </si>
  <si>
    <t>Кр2</t>
  </si>
  <si>
    <t>Кр1</t>
  </si>
  <si>
    <t>данный лист111</t>
  </si>
  <si>
    <t>Сальник ТМ 89.00-04, Ду150</t>
  </si>
  <si>
    <t>Серия 5.900-2</t>
  </si>
  <si>
    <t xml:space="preserve">Выпуски </t>
  </si>
  <si>
    <t xml:space="preserve"> П-шка по отверстиям</t>
  </si>
  <si>
    <t xml:space="preserve"> П-шка по торцам</t>
  </si>
  <si>
    <t xml:space="preserve"> Фон верхняя сетка</t>
  </si>
  <si>
    <t xml:space="preserve"> Фон нижняя сетка</t>
  </si>
  <si>
    <t>Плита перекрытия монолитная</t>
  </si>
  <si>
    <t>Пфм1</t>
  </si>
  <si>
    <t>Площадь отверстий, кв.м.</t>
  </si>
  <si>
    <t>Периметр отверстий, мм.</t>
  </si>
  <si>
    <t>Толщина, мм</t>
  </si>
  <si>
    <t>Периметр, мм</t>
  </si>
  <si>
    <t>сейсмика</t>
  </si>
  <si>
    <t>Пфм1_спец</t>
  </si>
  <si>
    <t>Бетон В30</t>
  </si>
  <si>
    <t>Колонны</t>
  </si>
  <si>
    <t>PC0002-da-rogojin</t>
  </si>
  <si>
    <t>Ведомость отделки</t>
  </si>
  <si>
    <t>_вед</t>
  </si>
  <si>
    <t>Данные отсутвуют</t>
  </si>
  <si>
    <t>Ведомость отделки_вед</t>
  </si>
  <si>
    <t>ИТОГ</t>
  </si>
  <si>
    <t>====</t>
  </si>
  <si>
    <t>Потолки</t>
  </si>
  <si>
    <t>43,3</t>
  </si>
  <si>
    <t>Стены</t>
  </si>
  <si>
    <t>927,9</t>
  </si>
  <si>
    <t>27,3</t>
  </si>
  <si>
    <t>Панели</t>
  </si>
  <si>
    <t>106,9</t>
  </si>
  <si>
    <t>КОНЕЦ</t>
  </si>
  <si>
    <t>Примечание</t>
  </si>
  <si>
    <t xml:space="preserve"> </t>
  </si>
  <si>
    <t>ОК</t>
  </si>
  <si>
    <t>962,4</t>
  </si>
  <si>
    <t>30,5</t>
  </si>
  <si>
    <t>883,6</t>
  </si>
  <si>
    <t>41,8</t>
  </si>
  <si>
    <t>107,4</t>
  </si>
  <si>
    <t>3,2</t>
  </si>
  <si>
    <t>241,8</t>
  </si>
  <si>
    <t>11,6</t>
  </si>
  <si>
    <t>34,9</t>
  </si>
  <si>
    <t>Ведомость отделки-0_вед</t>
  </si>
  <si>
    <t>6,4</t>
  </si>
  <si>
    <t>346,2</t>
  </si>
  <si>
    <t>16,8</t>
  </si>
  <si>
    <t>36,1</t>
  </si>
  <si>
    <t>Ведомость отделки-4,8_вед</t>
  </si>
  <si>
    <t>Ведомость отделки-9,6_вед</t>
  </si>
  <si>
    <t>Ведомость отделки-0</t>
  </si>
  <si>
    <t>Ведомость отделки-4,8</t>
  </si>
  <si>
    <t>Ведомость отделки-9,6</t>
  </si>
  <si>
    <t>check</t>
  </si>
  <si>
    <t>Неверный формат файла</t>
  </si>
  <si>
    <t>_кж</t>
  </si>
  <si>
    <t>НИЖЕ ЭТИХ СТРОК НИЧЕГО ВРУЧНУЮ НЕ ВВОДИТЬ</t>
  </si>
  <si>
    <t>АВТОКАД_Извлечение данных</t>
  </si>
  <si>
    <t>27.09.2019 21:03:31</t>
  </si>
  <si>
    <t>АВТОКАД_Пфм1</t>
  </si>
  <si>
    <t>АВТОКАД_'A8AC90_*U111</t>
  </si>
  <si>
    <t>АВТОКАД_'A8AC15_*U110</t>
  </si>
  <si>
    <t>АВТОКАД_'A8A543_*U118</t>
  </si>
  <si>
    <t>АВТОКАД_'A897A5_*U154</t>
  </si>
  <si>
    <t>АВТОКАД_'A895B7_*U153</t>
  </si>
  <si>
    <t>АВТОКАД_'A8946A_*U150</t>
  </si>
  <si>
    <t>АВТОКАД_'A893EF_*U152</t>
  </si>
  <si>
    <t>АВТОКАД_'A89362_*U151</t>
  </si>
  <si>
    <t>АВТОКАД_'A89232_*U155</t>
  </si>
  <si>
    <t>АВТОКАД_'A89123_*U156</t>
  </si>
  <si>
    <t>АВТОКАД_'A88FAA_*U149</t>
  </si>
  <si>
    <t>АВТОКАД_'A88C92_*U148</t>
  </si>
  <si>
    <t>АВТОКАД_'A88B27_*U147</t>
  </si>
  <si>
    <t>АВТОКАД_'A8896F_*U146</t>
  </si>
  <si>
    <t>АВТОКАД_'A88827_*U145</t>
  </si>
  <si>
    <t>АВТОКАД_'A8870E_*U144</t>
  </si>
  <si>
    <t>АВТОКАД_'A87FC8_*U140</t>
  </si>
  <si>
    <t>АВТОКАД_'A87E21_*U139</t>
  </si>
  <si>
    <t>АВТОКАД_'A87D08_*U138</t>
  </si>
  <si>
    <t>АВТОКАД_'A87B70_*U136</t>
  </si>
  <si>
    <t>АВТОКАД_'A87AF5_*U135</t>
  </si>
  <si>
    <t>АВТОКАД_'A87A7A_*U137</t>
  </si>
  <si>
    <t>АВТОКАД_'A8791A_*U143</t>
  </si>
  <si>
    <t>АВТОКАД_'A8788A_*U134</t>
  </si>
  <si>
    <t>АВТОКАД_'A8780F_*U105</t>
  </si>
  <si>
    <t>АВТОКАД_'A876DE_*U142</t>
  </si>
  <si>
    <t>АВТОКАД_'A8756F_*U141</t>
  </si>
  <si>
    <t>АВТОКАД_'A8559C_*U132</t>
  </si>
  <si>
    <t>АВТОКАД_'A853EA_*U130</t>
  </si>
  <si>
    <t>АВТОКАД_'A8523B_*U131</t>
  </si>
  <si>
    <t>АВТОКАД_'A850B8_*U129</t>
  </si>
  <si>
    <t>АВТОКАД_'A84E04_*U124</t>
  </si>
  <si>
    <t>АВТОКАД_'A84D89_*U126</t>
  </si>
  <si>
    <t>АВТОКАД_'A84D0E_*U125</t>
  </si>
  <si>
    <t>АВТОКАД_'A84C93_*U120</t>
  </si>
  <si>
    <t>АВТОКАД_'A84C18_*U119</t>
  </si>
  <si>
    <t>АВТОКАД_'A84B02_*U123</t>
  </si>
  <si>
    <t>АВТОКАД_'A849E3_*U122</t>
  </si>
  <si>
    <t>АВТОКАД_'A848DD_*U121</t>
  </si>
  <si>
    <t>АВТОКАД_'A847EE_*U128</t>
  </si>
  <si>
    <t>АВТОКАД_'A84689_*U127</t>
  </si>
  <si>
    <t>АВТОКАД_'A8435D_*U158</t>
  </si>
  <si>
    <t>АВТОКАД_'A83C43_*U160</t>
  </si>
  <si>
    <t>АВТОКАД_'A83BC8_*U159</t>
  </si>
  <si>
    <t>АВТОКАД_'A837A8_*U116</t>
  </si>
  <si>
    <t>АВТОКАД_'A83640_*U115</t>
  </si>
  <si>
    <t>АВТОКАД_'A83520_*U114</t>
  </si>
  <si>
    <t>АВТОКАД_'A831F9_*U113</t>
  </si>
  <si>
    <t>АВТОКАД_'A830A8_*U117</t>
  </si>
  <si>
    <t>АВТОКАД_'A82F36_*U106</t>
  </si>
  <si>
    <t>АВТОКАД_'A8293B_*U109</t>
  </si>
  <si>
    <t>АВТОКАД_'A827F9_*U108</t>
  </si>
  <si>
    <t>АВТОКАД_'A826EF_*U107</t>
  </si>
  <si>
    <t>АВТОКАД_'A8259C_*U112</t>
  </si>
  <si>
    <t>АВТОКАД_'A8243C_*U133</t>
  </si>
  <si>
    <t>АВТОКАД_'A822ED_*U104</t>
  </si>
  <si>
    <t>АВТОКАД_'A81FAB_*U99</t>
  </si>
  <si>
    <t>АВТОКАД_'A81B30_*U102</t>
  </si>
  <si>
    <t>АВТОКАД_'A808F1_*U98</t>
  </si>
  <si>
    <t>АВТОКАД_'A7D897_*U100</t>
  </si>
  <si>
    <t>АВТОКАД_'A77A0D_*U97</t>
  </si>
  <si>
    <t>АВТОКАД_'A777FC_*U101</t>
  </si>
  <si>
    <t>АВТОКАД_'A776AD_*U96</t>
  </si>
  <si>
    <t>АВТОКАД_'A774FB_*U103</t>
  </si>
  <si>
    <t>Пфм1_кж</t>
  </si>
  <si>
    <t>Ведомость отделки-0_экспл</t>
  </si>
  <si>
    <t>_экспл</t>
  </si>
  <si>
    <t>Ведомость отделки-4,8_экспл</t>
  </si>
  <si>
    <t>Ведомость отделки-9,6_экспл</t>
  </si>
  <si>
    <t>Ведомость отделки_экспл</t>
  </si>
  <si>
    <t>Пфм1_об</t>
  </si>
  <si>
    <t>_об</t>
  </si>
  <si>
    <t>Перенумеровано по сборкам</t>
  </si>
  <si>
    <t>Разница площади помещения и потолка в помещении 101</t>
  </si>
  <si>
    <t>Ошибка</t>
  </si>
  <si>
    <t>-41,6</t>
  </si>
  <si>
    <t>109,8</t>
  </si>
  <si>
    <t>30,6</t>
  </si>
  <si>
    <t>Пример_4</t>
  </si>
  <si>
    <t>_зап</t>
  </si>
  <si>
    <t>Ошибка имени листа или файла</t>
  </si>
  <si>
    <t>Позиция</t>
  </si>
  <si>
    <t>Кол-во</t>
  </si>
  <si>
    <t>Масса ед., кг</t>
  </si>
  <si>
    <t>ОК-2</t>
  </si>
  <si>
    <t>ГОСТ 30674-99</t>
  </si>
  <si>
    <t>ОП  Г1 1500-2000 (4M1-10-4M1-10-4M1)</t>
  </si>
  <si>
    <t>Пример 4_зап</t>
  </si>
  <si>
    <t>Всего</t>
  </si>
  <si>
    <t>Масса ед., кг.</t>
  </si>
  <si>
    <t>⌀18 A-III(A400) L= п.м.</t>
  </si>
  <si>
    <t>571,63 кг.</t>
  </si>
  <si>
    <t>⌀18 A-III(A400) L=3800мм.</t>
  </si>
  <si>
    <t>547,2 кг.</t>
  </si>
  <si>
    <t>Конструктивная огнезащита</t>
  </si>
  <si>
    <t>см. примечания</t>
  </si>
  <si>
    <t>Покрытие тип 1</t>
  </si>
  <si>
    <t>Об10-10</t>
  </si>
  <si>
    <t>см. лист</t>
  </si>
  <si>
    <t>Обрамление Об10-10 A=1000 B=1000</t>
  </si>
  <si>
    <t>111,84 кг.</t>
  </si>
  <si>
    <t>Об15-15</t>
  </si>
  <si>
    <t>Обрамление Об15-15 A=1505 B=1505</t>
  </si>
  <si>
    <t>161,28 кг.</t>
  </si>
  <si>
    <t>Обрамление проёмов tст=250мм</t>
  </si>
  <si>
    <t>25,66 кг.</t>
  </si>
  <si>
    <t>ОГ-Ш 120.1313</t>
  </si>
  <si>
    <t>Ограждение ОГ-Ш 120.1313</t>
  </si>
  <si>
    <t>642,19 кг.</t>
  </si>
  <si>
    <t>ОГ-Ш 120.545</t>
  </si>
  <si>
    <t>Ограждение ОГ-Ш 120.545</t>
  </si>
  <si>
    <t>279,24 кг.</t>
  </si>
  <si>
    <t>ОГ-Ш 120.728</t>
  </si>
  <si>
    <t>Ограждение ОГ-Ш 120.728</t>
  </si>
  <si>
    <t>244,94 кг.</t>
  </si>
  <si>
    <t>Сборка1</t>
  </si>
  <si>
    <t>1597,14 кг.</t>
  </si>
  <si>
    <t>Сг</t>
  </si>
  <si>
    <t>ГОСТ 30245-2012</t>
  </si>
  <si>
    <t xml:space="preserve"> Гн. труба 200x100x4 L=1650мм.</t>
  </si>
  <si>
    <t>120,09 кг.</t>
  </si>
  <si>
    <t xml:space="preserve"> Гн. труба 200x100x4 L=1900мм.</t>
  </si>
  <si>
    <t>414,85 кг.</t>
  </si>
  <si>
    <t xml:space="preserve"> Гн. труба 200x100x4 L=2680мм.</t>
  </si>
  <si>
    <t>195 кг.</t>
  </si>
  <si>
    <t xml:space="preserve"> Гн. труба 200x100x4 L=3360мм.</t>
  </si>
  <si>
    <t>244,48 кг.</t>
  </si>
  <si>
    <t>Сг.1</t>
  </si>
  <si>
    <t>ГОСТ 19903-74</t>
  </si>
  <si>
    <t xml:space="preserve"> Лист  --3x120x220</t>
  </si>
  <si>
    <t>30,25 кг.</t>
  </si>
  <si>
    <t>Сг.2</t>
  </si>
  <si>
    <t xml:space="preserve"> Лист  --6x100x220</t>
  </si>
  <si>
    <t>49,92 кг.</t>
  </si>
  <si>
    <t>Сг.3</t>
  </si>
  <si>
    <t xml:space="preserve"> Лист  --6x50x104</t>
  </si>
  <si>
    <t>12 кг.</t>
  </si>
  <si>
    <t>Щ10-10</t>
  </si>
  <si>
    <t>Щит Щ10-10 A=1000 B=1000</t>
  </si>
  <si>
    <t>144,52 кг.</t>
  </si>
  <si>
    <t>Щ15-15</t>
  </si>
  <si>
    <t>Щит Щ15-15 A=1505 B=1505</t>
  </si>
  <si>
    <t>298,88 кг.</t>
  </si>
  <si>
    <t>Пример 4</t>
  </si>
  <si>
    <t>Обрамление Об10-10 A=1000 B=1000, на все</t>
  </si>
  <si>
    <t xml:space="preserve"> Гн. труба 90х50х3 L=1100мм.</t>
  </si>
  <si>
    <t>54 кг.</t>
  </si>
  <si>
    <t xml:space="preserve"> Уголок L50x3 L=100мм.</t>
  </si>
  <si>
    <t>3,68 кг.</t>
  </si>
  <si>
    <t>ТУ 14-4-1731-92</t>
  </si>
  <si>
    <t>Дюбель-гвоздь 4,5х60</t>
  </si>
  <si>
    <t>0,16 кг.</t>
  </si>
  <si>
    <t>Обрамление Об15-15 A=1505 B=1505, на все</t>
  </si>
  <si>
    <t xml:space="preserve"> Гн. труба 90х50х3 L=1610мм.</t>
  </si>
  <si>
    <t>78,96 кг.</t>
  </si>
  <si>
    <t>Обрамление проёмов tст=250мм, на все</t>
  </si>
  <si>
    <t>3*</t>
  </si>
  <si>
    <t>⌀8 A-I(A240) L=960мм.</t>
  </si>
  <si>
    <t>10,26 кг.</t>
  </si>
  <si>
    <t>⌀10 A500C L= п.м.</t>
  </si>
  <si>
    <t>15,4 кг.</t>
  </si>
  <si>
    <t>HILTI</t>
  </si>
  <si>
    <t>Вклейка арматуры hвкл=150мм.</t>
  </si>
  <si>
    <t>ГОСТ 26633-2012</t>
  </si>
  <si>
    <t>Бетон В25</t>
  </si>
  <si>
    <t>Ограждение ОГ-Ш 120.1313, на все</t>
  </si>
  <si>
    <t xml:space="preserve"> Гн. труба 60x40x3 L=13130мм.</t>
  </si>
  <si>
    <t>167,43 кг.</t>
  </si>
  <si>
    <t xml:space="preserve"> Гн. труба 50x3 L=1290мм.</t>
  </si>
  <si>
    <t>247,05 кг.</t>
  </si>
  <si>
    <t xml:space="preserve"> Гн. труба 40x2 L=13080мм.</t>
  </si>
  <si>
    <t>90,67 кг.</t>
  </si>
  <si>
    <t xml:space="preserve"> Лист  --3x140x13080</t>
  </si>
  <si>
    <t>129,39 кг.</t>
  </si>
  <si>
    <t xml:space="preserve"> Лист  --3x44x44</t>
  </si>
  <si>
    <t>2,25 кг.</t>
  </si>
  <si>
    <t xml:space="preserve"> Лист  --3x50x100</t>
  </si>
  <si>
    <t>5,4 кг.</t>
  </si>
  <si>
    <t>Ограждение ОГ-Ш 120.545, на все</t>
  </si>
  <si>
    <t xml:space="preserve"> Гн. труба 60x40x3 L=5450мм.</t>
  </si>
  <si>
    <t>69,51 кг.</t>
  </si>
  <si>
    <t>115,29 кг.</t>
  </si>
  <si>
    <t xml:space="preserve"> Гн. труба 40x2 L=5400мм.</t>
  </si>
  <si>
    <t>37,44 кг.</t>
  </si>
  <si>
    <t xml:space="preserve"> Лист  --3x140x5399</t>
  </si>
  <si>
    <t>53,44 кг.</t>
  </si>
  <si>
    <t>1,05 кг.</t>
  </si>
  <si>
    <t>2,52 кг.</t>
  </si>
  <si>
    <t>Ограждение ОГ-Ш 120.728, на все</t>
  </si>
  <si>
    <t xml:space="preserve"> Гн. труба 60x40x3 L=7290мм.</t>
  </si>
  <si>
    <t>61,99 кг.</t>
  </si>
  <si>
    <t>98,83 кг.</t>
  </si>
  <si>
    <t xml:space="preserve"> Гн. труба 40x2 L=7240мм.</t>
  </si>
  <si>
    <t>33,46 кг.</t>
  </si>
  <si>
    <t xml:space="preserve"> Лист  --3x140x7233</t>
  </si>
  <si>
    <t>47,7 кг.</t>
  </si>
  <si>
    <t>0,9 кг.</t>
  </si>
  <si>
    <t>2,16 кг.</t>
  </si>
  <si>
    <t>Сборка1, на все</t>
  </si>
  <si>
    <t>180,12 кг.</t>
  </si>
  <si>
    <t>622,26 кг.</t>
  </si>
  <si>
    <t>292,5 кг.</t>
  </si>
  <si>
    <t>366,72 кг.</t>
  </si>
  <si>
    <t>45,36 кг.</t>
  </si>
  <si>
    <t>74,88 кг.</t>
  </si>
  <si>
    <t>18 кг.</t>
  </si>
  <si>
    <t>Щит Щ10-10 A=1000 B=1000, на все</t>
  </si>
  <si>
    <t xml:space="preserve"> Уголок L40x3 L=1060мм.</t>
  </si>
  <si>
    <t>15,76 кг.</t>
  </si>
  <si>
    <t xml:space="preserve"> Уголок L40x3 L=980мм.</t>
  </si>
  <si>
    <t>14,56 кг.</t>
  </si>
  <si>
    <t>Ручка из арматуры 10-A-I(A240) L=350</t>
  </si>
  <si>
    <t>0,4 кг.</t>
  </si>
  <si>
    <t>ГОСТ 8568-77</t>
  </si>
  <si>
    <t xml:space="preserve"> Лист  --3x1020x1020</t>
  </si>
  <si>
    <t>98,04 кг.</t>
  </si>
  <si>
    <t>Щит Щ15-15 A=1505 B=1505, на все</t>
  </si>
  <si>
    <t xml:space="preserve"> Уголок L40x3 L=1570мм.</t>
  </si>
  <si>
    <t>23,28 кг.</t>
  </si>
  <si>
    <t xml:space="preserve"> Уголок L40x3 L=1490мм.</t>
  </si>
  <si>
    <t>33,12 кг.</t>
  </si>
  <si>
    <t xml:space="preserve"> Лист  --3x1525x1525</t>
  </si>
  <si>
    <t>219,08 кг.</t>
  </si>
  <si>
    <t xml:space="preserve"> Прочие элементы </t>
  </si>
  <si>
    <t>Пример 4_об</t>
  </si>
  <si>
    <t xml:space="preserve"> Доска подоконная шириной 440 мм.</t>
  </si>
  <si>
    <t>NOUT-kuvbur</t>
  </si>
  <si>
    <t>19 9 29/ 22 13 29</t>
  </si>
  <si>
    <t>19 9 29/ 22 16 5</t>
  </si>
  <si>
    <t>Стены из газобетона толщиной 120мм, на все</t>
  </si>
  <si>
    <t>⌀6 A500C L= п.м.</t>
  </si>
  <si>
    <t>393,39 кг.</t>
  </si>
  <si>
    <t>2*</t>
  </si>
  <si>
    <t>⌀6 A-I(A240) L=270мм.</t>
  </si>
  <si>
    <t>31,44 кг.</t>
  </si>
  <si>
    <t>ГОСТ 21520-89</t>
  </si>
  <si>
    <t>Устройство стен  t=120мм. из газобетона</t>
  </si>
  <si>
    <t>Штукатурка ц/п раствором М100 t=30мм.</t>
  </si>
  <si>
    <t>МД-1</t>
  </si>
  <si>
    <t>Деталь МД-1</t>
  </si>
  <si>
    <t>197,6 кг.</t>
  </si>
  <si>
    <t>МД-2(12)</t>
  </si>
  <si>
    <t>Деталь МД-2(12)</t>
  </si>
  <si>
    <t>8 кг.</t>
  </si>
  <si>
    <t>Сг-12</t>
  </si>
  <si>
    <t>Сетка кладочная Сг-12</t>
  </si>
  <si>
    <t>140 кг.</t>
  </si>
  <si>
    <t>19 9 29/ 22 38 54</t>
  </si>
  <si>
    <t xml:space="preserve"> Гн. труба  90х50х3 L = п.м.</t>
  </si>
  <si>
    <t xml:space="preserve"> Уголок  L50x3 L = п.м.</t>
  </si>
  <si>
    <t xml:space="preserve"> Гн. труба  40x2 L = п.м.</t>
  </si>
  <si>
    <t xml:space="preserve"> Гн. труба  50x3 L = п.м.</t>
  </si>
  <si>
    <t xml:space="preserve"> Гн. труба  60x40x3 L = п.м.</t>
  </si>
  <si>
    <t xml:space="preserve"> Гн. труба  200x100x4 L = п.м.</t>
  </si>
  <si>
    <t xml:space="preserve"> Уголок  L40x3 L = п.м.</t>
  </si>
  <si>
    <t>1118,29 кг.</t>
  </si>
  <si>
    <t>_грс</t>
  </si>
  <si>
    <t>Кол-во на 1 шт.</t>
  </si>
  <si>
    <t>Всего на отм.</t>
  </si>
  <si>
    <t>Об10-10
(4шт)</t>
  </si>
  <si>
    <t>Об15-15
(4шт)</t>
  </si>
  <si>
    <t>ОГ-Ш 120.1313
(3шт)</t>
  </si>
  <si>
    <t>ОГ-Ш 120.545
(3шт)</t>
  </si>
  <si>
    <t>ОГ-Ш 120.728
(2шт)</t>
  </si>
  <si>
    <t>Сборка1
(6шт)</t>
  </si>
  <si>
    <t>Щ10-10
(4шт)</t>
  </si>
  <si>
    <t>Щ15-15
(4шт)</t>
  </si>
  <si>
    <t>Прочее</t>
  </si>
  <si>
    <t>Элементы на отм. 0.000</t>
  </si>
  <si>
    <t>1,84 кг.</t>
  </si>
  <si>
    <t>0,08 кг.</t>
  </si>
  <si>
    <t>0,2 кг.</t>
  </si>
  <si>
    <t>54,77 кг.</t>
  </si>
  <si>
    <t>Элементы на отм. +3.000</t>
  </si>
  <si>
    <t>7,57 кг.</t>
  </si>
  <si>
    <t>Элементы на отм. +6.000</t>
  </si>
  <si>
    <t>15,13 кг.</t>
  </si>
  <si>
    <t>Элементы на отм. +9.000</t>
  </si>
  <si>
    <t>Элементы на отм. +15.000</t>
  </si>
  <si>
    <t>Пример 4_грс</t>
  </si>
  <si>
    <t>19 9 29/ 22 57 17</t>
  </si>
  <si>
    <t>66,52 кг.</t>
  </si>
  <si>
    <t>90,68 кг.</t>
  </si>
  <si>
    <t>59,44 кг.</t>
  </si>
  <si>
    <t>170,5 кг.</t>
  </si>
  <si>
    <t>109,97 кг.</t>
  </si>
  <si>
    <t>974,41 кг.</t>
  </si>
  <si>
    <t>62,41 кг.</t>
  </si>
  <si>
    <t>24,53 кг.</t>
  </si>
  <si>
    <t>31,5 кг.</t>
  </si>
  <si>
    <t>243,61 кг.</t>
  </si>
  <si>
    <t>15,61 кг.</t>
  </si>
  <si>
    <t>487,21 кг.</t>
  </si>
  <si>
    <t>31,21 кг.</t>
  </si>
  <si>
    <t>65,12 кг.</t>
  </si>
  <si>
    <t>42,7 кг.</t>
  </si>
  <si>
    <t>121 кг.</t>
  </si>
  <si>
    <t>78,98 кг.</t>
  </si>
  <si>
    <t>Марка элемента</t>
  </si>
  <si>
    <t>Изделия арматурные</t>
  </si>
  <si>
    <t>Арматура класса</t>
  </si>
  <si>
    <t>С235
ГОСТ 27772-2015</t>
  </si>
  <si>
    <t>С245
ГОСТ 27772-2015</t>
  </si>
  <si>
    <t>⌀18</t>
  </si>
  <si>
    <t>-- 3</t>
  </si>
  <si>
    <t>90х50х3</t>
  </si>
  <si>
    <t>Об10-10 (4 шт.)</t>
  </si>
  <si>
    <t>Об15-15 (4 шт.)</t>
  </si>
  <si>
    <t>ОГ-Ш 120.1313 (3 шт.)</t>
  </si>
  <si>
    <t>ОГ-Ш 120.545 (3 шт.)</t>
  </si>
  <si>
    <t>ОГ-Ш 120.728 (2 шт.)</t>
  </si>
  <si>
    <t>Сборка1 (6 шт.)</t>
  </si>
  <si>
    <t>Щ10-10 (4 шт.)</t>
  </si>
  <si>
    <t>Щ15-15 (4 шт.)</t>
  </si>
  <si>
    <t>Прочие</t>
  </si>
  <si>
    <t>Итого</t>
  </si>
  <si>
    <t>Пример 4_кж</t>
  </si>
  <si>
    <t>19 9 29/ 22 58 28</t>
  </si>
  <si>
    <t xml:space="preserve"> Прокат </t>
  </si>
  <si>
    <t xml:space="preserve"> Изделия арматурные </t>
  </si>
  <si>
    <t xml:space="preserve"> Материалы </t>
  </si>
  <si>
    <t xml:space="preserve"> Сборочные единицы </t>
  </si>
  <si>
    <t>Стены из газобетона толщиной 120мм</t>
  </si>
  <si>
    <t>770,44 кг.</t>
  </si>
  <si>
    <t>Объём бетона, куб.м.</t>
  </si>
  <si>
    <t>ГОСТ 8727-80*</t>
  </si>
  <si>
    <t>ГОСТ 19771-93</t>
  </si>
  <si>
    <t>⌀6</t>
  </si>
  <si>
    <t>⌀10</t>
  </si>
  <si>
    <t>⌀8</t>
  </si>
  <si>
    <t>⌀4</t>
  </si>
  <si>
    <t>Обрамление проёмов tст=250мм (1 шт.)</t>
  </si>
  <si>
    <t>Стены из газобетона толщиной 120мм (4 шт.)</t>
  </si>
  <si>
    <t>Небивка массы на -.359999999999999 груп= 7.64, общая= 8</t>
  </si>
  <si>
    <t>Марка
изделия.</t>
  </si>
  <si>
    <t>Поз.
дет.</t>
  </si>
  <si>
    <t>Кол-во*</t>
  </si>
  <si>
    <t>Масса, кг.</t>
  </si>
  <si>
    <t>Масса изделий, кг.</t>
  </si>
  <si>
    <t>МД-1,
на все</t>
  </si>
  <si>
    <t>БСР M10x100 ВСт3пс2 по ГОСТ 28778-90</t>
  </si>
  <si>
    <t>0,06 кг.</t>
  </si>
  <si>
    <t xml:space="preserve"> Гн. уголок ГОСТ 19771-93 L80x4 L=140мм.</t>
  </si>
  <si>
    <t>0,59 кг.</t>
  </si>
  <si>
    <t xml:space="preserve">                                                            * расход на все изделия</t>
  </si>
  <si>
    <t>МД-2(12),
на все</t>
  </si>
  <si>
    <t xml:space="preserve"> Лист ГОСТ 19903-74 ОШИБКА ТИПА ПРОФИЛЯ ЛИСТА</t>
  </si>
  <si>
    <t>0,001 кг.</t>
  </si>
  <si>
    <t>⌀6 A-I(A240) L=580мм.*</t>
  </si>
  <si>
    <t>0,13 кг.</t>
  </si>
  <si>
    <t>Сг-12,
на все</t>
  </si>
  <si>
    <t>⌀4 Вр-I L=6000мм.</t>
  </si>
  <si>
    <t>0,56 кг.</t>
  </si>
  <si>
    <t>⌀4 Вр-I L=130мм.</t>
  </si>
  <si>
    <t>0,02 кг.</t>
  </si>
  <si>
    <t>Пример 4_гр</t>
  </si>
  <si>
    <t>_гр</t>
  </si>
  <si>
    <t>19 9 29/ 23 18 56</t>
  </si>
  <si>
    <t>Имя многослойной конструкции (целиком или часть имени, строки с !! не учитываются)</t>
  </si>
  <si>
    <t>Слой</t>
  </si>
  <si>
    <t>Черновая отделка (разделитель ';')</t>
  </si>
  <si>
    <t>!!Исключить</t>
  </si>
  <si>
    <t>Облицовка керам. плиткой</t>
  </si>
  <si>
    <t>Шпатлёвка</t>
  </si>
  <si>
    <t>!!Добавить</t>
  </si>
  <si>
    <t>Обработка бетоноконтактом</t>
  </si>
  <si>
    <t>Стены-разделители зон</t>
  </si>
  <si>
    <t>Зоны.АР</t>
  </si>
  <si>
    <t>!</t>
  </si>
  <si>
    <t>ЖБ</t>
  </si>
  <si>
    <t>Затирка; Шпатлёвка</t>
  </si>
  <si>
    <t>!!П1</t>
  </si>
  <si>
    <t>Потолок</t>
  </si>
  <si>
    <t>Армстронг; Без отделки</t>
  </si>
  <si>
    <t>Тип 2: Стена из газоблоков</t>
  </si>
  <si>
    <t>Перегородки газоблок.АР</t>
  </si>
  <si>
    <t>Тип 1: Наружная кирпичная стена</t>
  </si>
  <si>
    <t>Стены наружные кирпич.АР</t>
  </si>
  <si>
    <t>П1</t>
  </si>
  <si>
    <t>П2</t>
  </si>
  <si>
    <t>Тип 4: ГКЛ перегородка тип С112</t>
  </si>
  <si>
    <t>Перегородки ГКЛ.АР</t>
  </si>
  <si>
    <t>Тип 3: Стена наружная железобетонная</t>
  </si>
  <si>
    <t>Стены.КЖ</t>
  </si>
  <si>
    <t>Низ ж/б лестниц</t>
  </si>
  <si>
    <t>Тип</t>
  </si>
  <si>
    <t>Номера помещений</t>
  </si>
  <si>
    <t>Ведомость отделки элементов интерьера</t>
  </si>
  <si>
    <t>Потолка</t>
  </si>
  <si>
    <t>Площадь, кв.м.</t>
  </si>
  <si>
    <t>Стены и перегородки</t>
  </si>
  <si>
    <t>Колонн</t>
  </si>
  <si>
    <t>Низа стен/колонн</t>
  </si>
  <si>
    <t>Высота, м.</t>
  </si>
  <si>
    <t>Тип А</t>
  </si>
  <si>
    <t>3; 4; 103; 104; 203; 204</t>
  </si>
  <si>
    <t>Окраска водостойкими в/э составами</t>
  </si>
  <si>
    <t>До 2,5м.:Облицовка керам. плиткой</t>
  </si>
  <si>
    <t>Lперим=44,4п.м.
Hmax=4,4м.</t>
  </si>
  <si>
    <t>Выше 2,5м.:Окраска в/э составами</t>
  </si>
  <si>
    <t>Затирка</t>
  </si>
  <si>
    <t>Тип Б</t>
  </si>
  <si>
    <t>2; 5; 102; 105; 202; 205</t>
  </si>
  <si>
    <t>Окраска в/э составами</t>
  </si>
  <si>
    <t>До 2,8м.:Окраска в/э составами</t>
  </si>
  <si>
    <t>1,2</t>
  </si>
  <si>
    <t>Lперим=99,1п.м.
Hmax=4,4м.</t>
  </si>
  <si>
    <t>Тип В</t>
  </si>
  <si>
    <t>1; 101; 201</t>
  </si>
  <si>
    <t>До 2,5м.:Окраска в/э составами</t>
  </si>
  <si>
    <t>Lперим=125,7п.м.
Hmax=4,4м.</t>
  </si>
  <si>
    <t>До 4,4м.:Окраска в/э составами</t>
  </si>
  <si>
    <t>Тип Э</t>
  </si>
  <si>
    <t>Lперим=21,8п.м.
Hmax=4,4м.</t>
  </si>
  <si>
    <t>6; 106</t>
  </si>
  <si>
    <t>Низ лестничных маршей: Низ ж/б лестниц</t>
  </si>
  <si>
    <t>Низ лестничных маршей: Окраска в/э составами</t>
  </si>
  <si>
    <t>Общяя площадь отделки, кв.м.</t>
  </si>
  <si>
    <t>Общяя площадь поверхности, кв.м.</t>
  </si>
  <si>
    <t>Потолок: Окраска водостойкими в/э составами</t>
  </si>
  <si>
    <t>Потолок: Окраска в/э составами</t>
  </si>
  <si>
    <t>Стены(за вычетом панелей)</t>
  </si>
  <si>
    <t>Потолок: П2</t>
  </si>
  <si>
    <t>Потолок: П1</t>
  </si>
  <si>
    <t>Низ стен/колонн</t>
  </si>
  <si>
    <t>19 9 30/ 11 13 9</t>
  </si>
  <si>
    <t>Ведомость отделки_правила</t>
  </si>
  <si>
    <t>D:\Рогожин ДА\prog\YandexDisk\Работа\material-specification\list\Спец_Весь металл_км_10.pdf</t>
  </si>
  <si>
    <t>PDF</t>
  </si>
  <si>
    <t>D:\Рогожин ДА\prog\YandexDisk\Работа\material-specification\list\Спец_Пример 4_кж_10.pdf</t>
  </si>
  <si>
    <t>D:\Рогожин ДА\prog\YandexDisk\Работа\material-specification\list\Спец_Пример 4_гр_10.pdf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</si>
</sst>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6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8"/>
      <color theme="3"/>
      <name val="Cambria"/>
      <family val="2"/>
      <charset val="204"/>
      <scheme val="major"/>
    </font>
    <font>
      <b/>
      <sz val="15"/>
      <color theme="3"/>
      <name val="Calibri"/>
      <family val="2"/>
      <charset val="204"/>
      <scheme val="minor"/>
    </font>
    <font>
      <b/>
      <sz val="13"/>
      <color theme="3"/>
      <name val="Calibri"/>
      <family val="2"/>
      <charset val="204"/>
      <scheme val="minor"/>
    </font>
    <font>
      <b/>
      <sz val="11"/>
      <color theme="3"/>
      <name val="Calibri"/>
      <family val="2"/>
      <charset val="204"/>
      <scheme val="minor"/>
    </font>
    <font>
      <sz val="11"/>
      <color rgb="FF006100"/>
      <name val="Calibri"/>
      <family val="2"/>
      <charset val="204"/>
      <scheme val="minor"/>
    </font>
    <font>
      <sz val="11"/>
      <color rgb="FF9C0006"/>
      <name val="Calibri"/>
      <family val="2"/>
      <charset val="204"/>
      <scheme val="minor"/>
    </font>
    <font>
      <sz val="11"/>
      <color rgb="FF9C6500"/>
      <name val="Calibri"/>
      <family val="2"/>
      <charset val="204"/>
      <scheme val="minor"/>
    </font>
    <font>
      <sz val="11"/>
      <color rgb="FF3F3F76"/>
      <name val="Calibri"/>
      <family val="2"/>
      <charset val="204"/>
      <scheme val="minor"/>
    </font>
    <font>
      <b/>
      <sz val="11"/>
      <color rgb="FF3F3F3F"/>
      <name val="Calibri"/>
      <family val="2"/>
      <charset val="204"/>
      <scheme val="minor"/>
    </font>
    <font>
      <b/>
      <sz val="11"/>
      <color rgb="FFFA7D00"/>
      <name val="Calibri"/>
      <family val="2"/>
      <charset val="204"/>
      <scheme val="minor"/>
    </font>
    <font>
      <sz val="11"/>
      <color rgb="FFFA7D00"/>
      <name val="Calibri"/>
      <family val="2"/>
      <charset val="204"/>
      <scheme val="minor"/>
    </font>
    <font>
      <b/>
      <sz val="11"/>
      <color theme="0"/>
      <name val="Calibri"/>
      <family val="2"/>
      <charset val="204"/>
      <scheme val="minor"/>
    </font>
    <font>
      <sz val="11"/>
      <color rgb="FFFF0000"/>
      <name val="Calibri"/>
      <family val="2"/>
      <charset val="204"/>
      <scheme val="minor"/>
    </font>
    <font>
      <i/>
      <sz val="11"/>
      <color rgb="FF7F7F7F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theme="0"/>
      <name val="Calibri"/>
      <family val="2"/>
      <charset val="204"/>
      <scheme val="minor"/>
    </font>
    <font>
      <sz val="10"/>
      <name val="Arial"/>
      <family val="2"/>
      <charset val="204"/>
    </font>
    <font>
      <u/>
      <sz val="11"/>
      <color theme="10"/>
      <name val="Calibri"/>
      <family val="2"/>
      <charset val="204"/>
    </font>
    <font>
      <b/>
      <sz val="12"/>
      <color theme="1"/>
      <name val="Calibri"/>
      <family val="2"/>
      <charset val="204"/>
      <scheme val="minor"/>
    </font>
    <font>
      <sz val="12"/>
      <color theme="1"/>
      <name val="ISOCPEUR"/>
      <family val="2"/>
      <charset val="204"/>
    </font>
    <font>
      <b/>
      <sz val="12"/>
      <color theme="1"/>
      <name val="ISOCPEUR"/>
      <family val="2"/>
      <charset val="204"/>
    </font>
    <font>
      <sz val="11"/>
      <color theme="1"/>
      <name val="ISOCPEUR"/>
      <family val="2"/>
      <charset val="204"/>
    </font>
    <font>
      <b/>
      <sz val="11"/>
      <color theme="1"/>
      <name val="ISOCPEUR"/>
      <family val="2"/>
      <charset val="204"/>
    </font>
    <font>
      <sz val="10"/>
      <color theme="1"/>
      <name val="ISOCPEUR"/>
      <family val="2"/>
      <charset val="204"/>
    </font>
  </fonts>
  <fills count="4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 tint="-7.9989013336588644E-2"/>
        <bgColor indexed="64"/>
      </patternFill>
    </fill>
    <fill>
      <patternFill patternType="solid">
        <fgColor rgb="FFD3D3D3"/>
        <bgColor indexed="64"/>
      </patternFill>
    </fill>
    <fill>
      <patternFill patternType="solid">
        <fgColor rgb="FFADD8E6"/>
        <bgColor indexed="64"/>
      </patternFill>
    </fill>
    <fill>
      <patternFill patternType="solid">
        <fgColor rgb="FFDEB887"/>
        <bgColor indexed="64"/>
      </patternFill>
    </fill>
    <fill>
      <patternFill patternType="solid">
        <fgColor rgb="FFFAFAD2"/>
        <bgColor indexed="64"/>
      </patternFill>
    </fill>
    <fill>
      <patternFill patternType="solid">
        <fgColor rgb="FFF08080"/>
        <bgColor indexed="64"/>
      </patternFill>
    </fill>
    <fill>
      <patternFill patternType="solid">
        <fgColor rgb="FF90EE90"/>
        <bgColor indexed="64"/>
      </patternFill>
    </fill>
    <fill>
      <patternFill patternType="solid">
        <fgColor theme="5" tint="0.79995117038483843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5" tint="0.59999389629810485"/>
        <bgColor indexed="64"/>
      </patternFill>
    </fill>
  </fills>
  <borders count="4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</borders>
  <cellStyleXfs count="44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18" fillId="0" borderId="0"/>
    <xf numFmtId="0" fontId="19" fillId="0" borderId="0" applyNumberFormat="0" applyFill="0" applyBorder="0" applyAlignment="0" applyProtection="0">
      <alignment vertical="top"/>
      <protection locked="0"/>
    </xf>
  </cellStyleXfs>
  <cellXfs count="145">
    <xf numFmtId="0" fontId="0" fillId="0" borderId="0" xfId="0"/>
    <xf numFmtId="0" fontId="0" fillId="0" borderId="0" xfId="0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16" fillId="0" borderId="0" xfId="0" applyFont="1" applyAlignment="1">
      <alignment horizontal="center" vertical="center" textRotation="90"/>
    </xf>
    <xf numFmtId="22" fontId="0" fillId="0" borderId="0" xfId="0" applyNumberFormat="1" applyAlignment="1">
      <alignment horizontal="center" vertical="center"/>
    </xf>
    <xf numFmtId="0" fontId="20" fillId="0" borderId="0" xfId="0" applyFont="1" applyBorder="1"/>
    <xf numFmtId="0" fontId="20" fillId="0" borderId="0" xfId="0" applyFont="1" applyBorder="1" applyAlignment="1">
      <alignment horizontal="center" vertical="center" wrapText="1"/>
    </xf>
    <xf numFmtId="0" fontId="0" fillId="0" borderId="0" xfId="0" applyBorder="1" applyAlignment="1">
      <alignment horizontal="center" vertical="center" wrapText="1"/>
    </xf>
    <xf numFmtId="0" fontId="19" fillId="0" borderId="0" xfId="43" quotePrefix="1" applyBorder="1" applyAlignment="1" applyProtection="1">
      <alignment horizontal="center" vertical="center" wrapText="1"/>
    </xf>
    <xf numFmtId="0" fontId="0" fillId="0" borderId="0" xfId="0" applyBorder="1"/>
    <xf numFmtId="0" fontId="0" fillId="0" borderId="0" xfId="0" quotePrefix="1" applyAlignment="1">
      <alignment horizontal="center" vertical="center"/>
    </xf>
    <xf numFmtId="0" fontId="21" fillId="33" borderId="19" xfId="0" applyFont="1" applyFill="1" applyBorder="1" applyAlignment="1">
      <alignment horizontal="center" vertical="center" wrapText="1"/>
    </xf>
    <xf numFmtId="0" fontId="21" fillId="34" borderId="11" xfId="0" applyFont="1" applyFill="1" applyBorder="1" applyAlignment="1">
      <alignment horizontal="center" vertical="center" wrapText="1"/>
    </xf>
    <xf numFmtId="0" fontId="21" fillId="0" borderId="15" xfId="0" applyFont="1" applyFill="1" applyBorder="1" applyAlignment="1">
      <alignment horizontal="center" vertical="center" wrapText="1"/>
    </xf>
    <xf numFmtId="0" fontId="21" fillId="0" borderId="13" xfId="0" applyFont="1" applyFill="1" applyBorder="1" applyAlignment="1">
      <alignment horizontal="center" vertical="center" wrapText="1"/>
    </xf>
    <xf numFmtId="0" fontId="21" fillId="0" borderId="14" xfId="0" applyFont="1" applyFill="1" applyBorder="1" applyAlignment="1">
      <alignment horizontal="center" vertical="center" wrapText="1"/>
    </xf>
    <xf numFmtId="0" fontId="21" fillId="0" borderId="12" xfId="0" applyFont="1" applyFill="1" applyBorder="1" applyAlignment="1">
      <alignment horizontal="center" vertical="center" wrapText="1"/>
    </xf>
    <xf numFmtId="0" fontId="21" fillId="0" borderId="11" xfId="0" applyFont="1" applyFill="1" applyBorder="1" applyAlignment="1">
      <alignment horizontal="center" vertical="center" wrapText="1"/>
    </xf>
    <xf numFmtId="0" fontId="21" fillId="0" borderId="10" xfId="0" applyFont="1" applyFill="1" applyBorder="1" applyAlignment="1">
      <alignment horizontal="center" vertical="center" wrapText="1"/>
    </xf>
    <xf numFmtId="0" fontId="21" fillId="34" borderId="14" xfId="0" applyFont="1" applyFill="1" applyBorder="1" applyAlignment="1">
      <alignment horizontal="center" vertical="center" wrapText="1"/>
    </xf>
    <xf numFmtId="0" fontId="21" fillId="35" borderId="14" xfId="0" applyFont="1" applyFill="1" applyBorder="1" applyAlignment="1">
      <alignment horizontal="center" vertical="center" wrapText="1"/>
    </xf>
    <xf numFmtId="0" fontId="21" fillId="36" borderId="14" xfId="0" applyFont="1" applyFill="1" applyBorder="1" applyAlignment="1">
      <alignment horizontal="center" vertical="center" wrapText="1"/>
    </xf>
    <xf numFmtId="0" fontId="21" fillId="37" borderId="14" xfId="0" applyFont="1" applyFill="1" applyBorder="1" applyAlignment="1">
      <alignment horizontal="center" vertical="center" wrapText="1"/>
    </xf>
    <xf numFmtId="0" fontId="21" fillId="38" borderId="13" xfId="0" applyFont="1" applyFill="1" applyBorder="1" applyAlignment="1">
      <alignment horizontal="center" vertical="center" wrapText="1"/>
    </xf>
    <xf numFmtId="0" fontId="21" fillId="38" borderId="14" xfId="0" applyFont="1" applyFill="1" applyBorder="1" applyAlignment="1">
      <alignment horizontal="center" vertical="center" wrapText="1"/>
    </xf>
    <xf numFmtId="0" fontId="21" fillId="38" borderId="15" xfId="0" applyFont="1" applyFill="1" applyBorder="1" applyAlignment="1">
      <alignment horizontal="center" vertical="center" wrapText="1"/>
    </xf>
    <xf numFmtId="0" fontId="21" fillId="34" borderId="13" xfId="0" applyFont="1" applyFill="1" applyBorder="1" applyAlignment="1">
      <alignment horizontal="center" vertical="center" wrapText="1"/>
    </xf>
    <xf numFmtId="0" fontId="21" fillId="34" borderId="15" xfId="0" applyFont="1" applyFill="1" applyBorder="1" applyAlignment="1">
      <alignment horizontal="center" vertical="center" wrapText="1"/>
    </xf>
    <xf numFmtId="0" fontId="21" fillId="39" borderId="13" xfId="0" applyFont="1" applyFill="1" applyBorder="1" applyAlignment="1">
      <alignment horizontal="center" vertical="center" wrapText="1"/>
    </xf>
    <xf numFmtId="0" fontId="21" fillId="39" borderId="14" xfId="0" applyFont="1" applyFill="1" applyBorder="1" applyAlignment="1">
      <alignment horizontal="center" vertical="center" wrapText="1"/>
    </xf>
    <xf numFmtId="0" fontId="21" fillId="39" borderId="15" xfId="0" applyFont="1" applyFill="1" applyBorder="1" applyAlignment="1">
      <alignment horizontal="center" vertical="center" wrapText="1"/>
    </xf>
    <xf numFmtId="0" fontId="21" fillId="40" borderId="15" xfId="0" applyFont="1" applyFill="1" applyBorder="1" applyAlignment="1">
      <alignment horizontal="center" vertical="center" wrapText="1"/>
    </xf>
    <xf numFmtId="0" fontId="21" fillId="40" borderId="14" xfId="0" applyFont="1" applyFill="1" applyBorder="1" applyAlignment="1">
      <alignment horizontal="center" vertical="center" wrapText="1"/>
    </xf>
    <xf numFmtId="0" fontId="21" fillId="40" borderId="13" xfId="0" applyFont="1" applyFill="1" applyBorder="1" applyAlignment="1">
      <alignment horizontal="center" vertical="center" wrapText="1"/>
    </xf>
    <xf numFmtId="0" fontId="21" fillId="34" borderId="12" xfId="0" applyFont="1" applyFill="1" applyBorder="1" applyAlignment="1">
      <alignment horizontal="center" vertical="center" wrapText="1"/>
    </xf>
    <xf numFmtId="0" fontId="21" fillId="34" borderId="10" xfId="0" applyFont="1" applyFill="1" applyBorder="1" applyAlignment="1">
      <alignment horizontal="center" vertical="center" wrapText="1"/>
    </xf>
    <xf numFmtId="49" fontId="21" fillId="0" borderId="29" xfId="0" applyNumberFormat="1" applyFont="1" applyFill="1" applyBorder="1" applyAlignment="1">
      <alignment horizontal="center" vertical="center" wrapText="1"/>
    </xf>
    <xf numFmtId="49" fontId="21" fillId="0" borderId="11" xfId="0" applyNumberFormat="1" applyFont="1" applyFill="1" applyBorder="1" applyAlignment="1">
      <alignment horizontal="center" vertical="center" wrapText="1"/>
    </xf>
    <xf numFmtId="49" fontId="21" fillId="0" borderId="30" xfId="0" applyNumberFormat="1" applyFont="1" applyFill="1" applyBorder="1" applyAlignment="1">
      <alignment horizontal="center" vertical="center" wrapText="1"/>
    </xf>
    <xf numFmtId="49" fontId="21" fillId="0" borderId="10" xfId="0" applyNumberFormat="1" applyFont="1" applyFill="1" applyBorder="1" applyAlignment="1">
      <alignment horizontal="center" vertical="center" wrapText="1"/>
    </xf>
    <xf numFmtId="49" fontId="21" fillId="0" borderId="14" xfId="0" applyNumberFormat="1" applyFont="1" applyFill="1" applyBorder="1" applyAlignment="1">
      <alignment horizontal="center" vertical="center" wrapText="1"/>
    </xf>
    <xf numFmtId="49" fontId="21" fillId="0" borderId="28" xfId="0" applyNumberFormat="1" applyFont="1" applyFill="1" applyBorder="1" applyAlignment="1">
      <alignment horizontal="center" vertical="center" wrapText="1"/>
    </xf>
    <xf numFmtId="49" fontId="21" fillId="0" borderId="13" xfId="0" applyNumberFormat="1" applyFont="1" applyFill="1" applyBorder="1" applyAlignment="1">
      <alignment horizontal="center" vertical="center" wrapText="1"/>
    </xf>
    <xf numFmtId="0" fontId="21" fillId="0" borderId="28" xfId="0" applyFont="1" applyFill="1" applyBorder="1" applyAlignment="1">
      <alignment horizontal="center" vertical="center" wrapText="1"/>
    </xf>
    <xf numFmtId="0" fontId="21" fillId="0" borderId="29" xfId="0" applyFont="1" applyFill="1" applyBorder="1" applyAlignment="1">
      <alignment horizontal="center" vertical="center" wrapText="1"/>
    </xf>
    <xf numFmtId="0" fontId="21" fillId="0" borderId="30" xfId="0" applyFont="1" applyFill="1" applyBorder="1" applyAlignment="1">
      <alignment horizontal="center" vertical="center" wrapText="1"/>
    </xf>
    <xf numFmtId="0" fontId="21" fillId="0" borderId="14" xfId="0" applyFont="1" applyFill="1" applyBorder="1" applyAlignment="1">
      <alignment horizontal="center" vertical="center" wrapText="1"/>
    </xf>
    <xf numFmtId="0" fontId="21" fillId="0" borderId="11" xfId="0" applyFont="1" applyFill="1" applyBorder="1" applyAlignment="1">
      <alignment horizontal="center" vertical="center" wrapText="1"/>
    </xf>
    <xf numFmtId="0" fontId="21" fillId="0" borderId="15" xfId="0" applyFont="1" applyFill="1" applyBorder="1" applyAlignment="1">
      <alignment horizontal="center" vertical="center" wrapText="1"/>
    </xf>
    <xf numFmtId="0" fontId="21" fillId="0" borderId="13" xfId="0" applyFont="1" applyFill="1" applyBorder="1" applyAlignment="1">
      <alignment horizontal="center" vertical="center" wrapText="1"/>
    </xf>
    <xf numFmtId="49" fontId="21" fillId="0" borderId="11" xfId="0" applyNumberFormat="1" applyFont="1" applyFill="1" applyBorder="1" applyAlignment="1">
      <alignment horizontal="center" vertical="center" wrapText="1"/>
    </xf>
    <xf numFmtId="0" fontId="21" fillId="0" borderId="26" xfId="0" applyFont="1" applyFill="1" applyBorder="1" applyAlignment="1">
      <alignment horizontal="center" vertical="center" wrapText="1"/>
    </xf>
    <xf numFmtId="0" fontId="21" fillId="0" borderId="29" xfId="0" applyFont="1" applyFill="1" applyBorder="1" applyAlignment="1">
      <alignment horizontal="center" vertical="center" shrinkToFit="1"/>
    </xf>
    <xf numFmtId="0" fontId="21" fillId="0" borderId="14" xfId="0" applyFont="1" applyFill="1" applyBorder="1" applyAlignment="1">
      <alignment horizontal="center" vertical="center" shrinkToFit="1"/>
    </xf>
    <xf numFmtId="0" fontId="22" fillId="0" borderId="12" xfId="0" applyFont="1" applyFill="1" applyBorder="1" applyAlignment="1">
      <alignment horizontal="center" vertical="center" wrapText="1"/>
    </xf>
    <xf numFmtId="0" fontId="22" fillId="0" borderId="11" xfId="0" applyFont="1" applyFill="1" applyBorder="1" applyAlignment="1">
      <alignment horizontal="center" vertical="center" shrinkToFit="1"/>
    </xf>
    <xf numFmtId="0" fontId="21" fillId="0" borderId="22" xfId="0" applyFont="1" applyFill="1" applyBorder="1" applyAlignment="1">
      <alignment horizontal="center" vertical="center" shrinkToFit="1"/>
    </xf>
    <xf numFmtId="0" fontId="21" fillId="0" borderId="33" xfId="0" applyFont="1" applyFill="1" applyBorder="1" applyAlignment="1">
      <alignment horizontal="center" vertical="center" shrinkToFit="1"/>
    </xf>
    <xf numFmtId="0" fontId="22" fillId="41" borderId="37" xfId="0" applyFont="1" applyFill="1" applyBorder="1" applyAlignment="1">
      <alignment horizontal="center" vertical="center" shrinkToFit="1"/>
    </xf>
    <xf numFmtId="0" fontId="21" fillId="42" borderId="10" xfId="0" applyFont="1" applyFill="1" applyBorder="1" applyAlignment="1">
      <alignment horizontal="center" vertical="center" wrapText="1"/>
    </xf>
    <xf numFmtId="0" fontId="21" fillId="0" borderId="14" xfId="0" applyFont="1" applyFill="1" applyBorder="1" applyAlignment="1">
      <alignment horizontal="center" vertical="center" wrapText="1"/>
    </xf>
    <xf numFmtId="0" fontId="21" fillId="0" borderId="13" xfId="0" applyFont="1" applyFill="1" applyBorder="1" applyAlignment="1">
      <alignment horizontal="center" vertical="center" wrapText="1"/>
    </xf>
    <xf numFmtId="0" fontId="21" fillId="0" borderId="15" xfId="0" applyFont="1" applyFill="1" applyBorder="1" applyAlignment="1">
      <alignment horizontal="center" vertical="center" wrapText="1"/>
    </xf>
    <xf numFmtId="0" fontId="23" fillId="0" borderId="14" xfId="0" applyFont="1" applyBorder="1" applyAlignment="1">
      <alignment horizontal="center" vertical="center" wrapText="1"/>
    </xf>
    <xf numFmtId="0" fontId="23" fillId="0" borderId="15" xfId="0" applyFont="1" applyBorder="1" applyAlignment="1">
      <alignment horizontal="center" vertical="center" wrapText="1"/>
    </xf>
    <xf numFmtId="0" fontId="23" fillId="0" borderId="12" xfId="0" applyFont="1" applyBorder="1" applyAlignment="1">
      <alignment horizontal="center" vertical="center" wrapText="1"/>
    </xf>
    <xf numFmtId="0" fontId="23" fillId="0" borderId="11" xfId="0" applyFont="1" applyBorder="1" applyAlignment="1">
      <alignment horizontal="center" vertical="center" wrapText="1"/>
    </xf>
    <xf numFmtId="0" fontId="23" fillId="0" borderId="13" xfId="0" applyFont="1" applyBorder="1" applyAlignment="1">
      <alignment horizontal="center" vertical="center" wrapText="1"/>
    </xf>
    <xf numFmtId="0" fontId="23" fillId="0" borderId="10" xfId="0" applyFont="1" applyBorder="1" applyAlignment="1">
      <alignment horizontal="center" vertical="center" wrapText="1"/>
    </xf>
    <xf numFmtId="0" fontId="24" fillId="0" borderId="28" xfId="0" applyFont="1" applyBorder="1" applyAlignment="1">
      <alignment horizontal="center" vertical="center" wrapText="1"/>
    </xf>
    <xf numFmtId="0" fontId="24" fillId="0" borderId="29" xfId="0" applyFont="1" applyBorder="1" applyAlignment="1">
      <alignment horizontal="center" vertical="center" wrapText="1"/>
    </xf>
    <xf numFmtId="0" fontId="24" fillId="0" borderId="30" xfId="0" applyFont="1" applyBorder="1" applyAlignment="1">
      <alignment horizontal="center" vertical="center" wrapText="1"/>
    </xf>
    <xf numFmtId="49" fontId="0" fillId="0" borderId="0" xfId="0" applyNumberFormat="1" applyBorder="1"/>
    <xf numFmtId="49" fontId="25" fillId="0" borderId="16" xfId="0" applyNumberFormat="1" applyFont="1" applyFill="1" applyBorder="1" applyAlignment="1">
      <alignment horizontal="center" vertical="center" wrapText="1"/>
    </xf>
    <xf numFmtId="49" fontId="25" fillId="0" borderId="14" xfId="0" applyNumberFormat="1" applyFont="1" applyFill="1" applyBorder="1" applyAlignment="1">
      <alignment horizontal="center" vertical="center" wrapText="1"/>
    </xf>
    <xf numFmtId="49" fontId="25" fillId="0" borderId="26" xfId="0" applyNumberFormat="1" applyFont="1" applyFill="1" applyBorder="1" applyAlignment="1">
      <alignment horizontal="center" vertical="center" wrapText="1"/>
    </xf>
    <xf numFmtId="49" fontId="25" fillId="0" borderId="29" xfId="0" applyNumberFormat="1" applyFont="1" applyFill="1" applyBorder="1" applyAlignment="1">
      <alignment horizontal="center" vertical="center" wrapText="1"/>
    </xf>
    <xf numFmtId="49" fontId="25" fillId="0" borderId="0" xfId="0" applyNumberFormat="1" applyFont="1" applyBorder="1" applyAlignment="1">
      <alignment horizontal="center" vertical="center" wrapText="1"/>
    </xf>
    <xf numFmtId="49" fontId="25" fillId="0" borderId="13" xfId="0" applyNumberFormat="1" applyFont="1" applyFill="1" applyBorder="1" applyAlignment="1">
      <alignment horizontal="center" vertical="center" wrapText="1"/>
    </xf>
    <xf numFmtId="49" fontId="25" fillId="0" borderId="10" xfId="0" applyNumberFormat="1" applyFont="1" applyFill="1" applyBorder="1" applyAlignment="1">
      <alignment horizontal="center" vertical="center" wrapText="1"/>
    </xf>
    <xf numFmtId="49" fontId="21" fillId="0" borderId="11" xfId="0" applyNumberFormat="1" applyFont="1" applyFill="1" applyBorder="1" applyAlignment="1">
      <alignment horizontal="center" vertical="center" textRotation="90" wrapText="1"/>
    </xf>
    <xf numFmtId="49" fontId="23" fillId="0" borderId="16" xfId="0" applyNumberFormat="1" applyFont="1" applyFill="1" applyBorder="1" applyAlignment="1">
      <alignment horizontal="center" vertical="center" wrapText="1" shrinkToFit="1"/>
    </xf>
    <xf numFmtId="49" fontId="23" fillId="0" borderId="29" xfId="0" applyNumberFormat="1" applyFont="1" applyFill="1" applyBorder="1" applyAlignment="1">
      <alignment horizontal="center" vertical="center" wrapText="1" shrinkToFit="1"/>
    </xf>
    <xf numFmtId="49" fontId="23" fillId="0" borderId="14" xfId="0" applyNumberFormat="1" applyFont="1" applyFill="1" applyBorder="1" applyAlignment="1">
      <alignment horizontal="center" vertical="center" wrapText="1" shrinkToFit="1"/>
    </xf>
    <xf numFmtId="49" fontId="23" fillId="0" borderId="26" xfId="0" applyNumberFormat="1" applyFont="1" applyFill="1" applyBorder="1" applyAlignment="1">
      <alignment horizontal="center" vertical="center" wrapText="1" shrinkToFit="1"/>
    </xf>
    <xf numFmtId="0" fontId="21" fillId="0" borderId="21" xfId="0" applyFont="1" applyFill="1" applyBorder="1" applyAlignment="1">
      <alignment horizontal="center" vertical="center" wrapText="1"/>
    </xf>
    <xf numFmtId="0" fontId="21" fillId="0" borderId="16" xfId="0" applyFont="1" applyFill="1" applyBorder="1" applyAlignment="1">
      <alignment horizontal="center" vertical="center" wrapText="1"/>
    </xf>
    <xf numFmtId="0" fontId="21" fillId="0" borderId="18" xfId="0" applyFont="1" applyFill="1" applyBorder="1" applyAlignment="1">
      <alignment horizontal="center" vertical="center" wrapText="1"/>
    </xf>
    <xf numFmtId="0" fontId="21" fillId="0" borderId="17" xfId="0" applyFont="1" applyFill="1" applyBorder="1" applyAlignment="1">
      <alignment horizontal="center" vertical="center" wrapText="1"/>
    </xf>
    <xf numFmtId="0" fontId="21" fillId="0" borderId="22" xfId="0" applyFont="1" applyFill="1" applyBorder="1" applyAlignment="1">
      <alignment horizontal="center" vertical="center" wrapText="1"/>
    </xf>
    <xf numFmtId="0" fontId="21" fillId="0" borderId="23" xfId="0" applyFont="1" applyFill="1" applyBorder="1" applyAlignment="1">
      <alignment horizontal="center" vertical="center" wrapText="1"/>
    </xf>
    <xf numFmtId="0" fontId="21" fillId="0" borderId="20" xfId="0" applyFont="1" applyFill="1" applyBorder="1" applyAlignment="1">
      <alignment horizontal="center" vertical="center" wrapText="1"/>
    </xf>
    <xf numFmtId="0" fontId="21" fillId="0" borderId="24" xfId="0" applyFont="1" applyFill="1" applyBorder="1" applyAlignment="1">
      <alignment horizontal="center" vertical="center" wrapText="1"/>
    </xf>
    <xf numFmtId="49" fontId="25" fillId="0" borderId="15" xfId="0" applyNumberFormat="1" applyFont="1" applyFill="1" applyBorder="1" applyAlignment="1">
      <alignment horizontal="center" vertical="center" wrapText="1"/>
    </xf>
    <xf numFmtId="49" fontId="25" fillId="0" borderId="14" xfId="0" applyNumberFormat="1" applyFont="1" applyFill="1" applyBorder="1" applyAlignment="1">
      <alignment horizontal="center" vertical="center" wrapText="1"/>
    </xf>
    <xf numFmtId="49" fontId="25" fillId="0" borderId="0" xfId="0" applyNumberFormat="1" applyFont="1" applyBorder="1" applyAlignment="1">
      <alignment horizontal="center" vertical="center" wrapText="1"/>
    </xf>
    <xf numFmtId="49" fontId="25" fillId="0" borderId="12" xfId="0" applyNumberFormat="1" applyFont="1" applyFill="1" applyBorder="1" applyAlignment="1">
      <alignment horizontal="center" vertical="center" wrapText="1"/>
    </xf>
    <xf numFmtId="49" fontId="25" fillId="0" borderId="11" xfId="0" applyNumberFormat="1" applyFont="1" applyFill="1" applyBorder="1" applyAlignment="1">
      <alignment horizontal="center" vertical="center" wrapText="1"/>
    </xf>
    <xf numFmtId="49" fontId="25" fillId="0" borderId="28" xfId="0" applyNumberFormat="1" applyFont="1" applyFill="1" applyBorder="1" applyAlignment="1">
      <alignment horizontal="center" vertical="center" wrapText="1"/>
    </xf>
    <xf numFmtId="49" fontId="25" fillId="0" borderId="29" xfId="0" applyNumberFormat="1" applyFont="1" applyFill="1" applyBorder="1" applyAlignment="1">
      <alignment horizontal="center" vertical="center" wrapText="1"/>
    </xf>
    <xf numFmtId="49" fontId="25" fillId="0" borderId="30" xfId="0" applyNumberFormat="1" applyFont="1" applyFill="1" applyBorder="1" applyAlignment="1">
      <alignment horizontal="center" vertical="center" wrapText="1"/>
    </xf>
    <xf numFmtId="49" fontId="23" fillId="0" borderId="21" xfId="0" applyNumberFormat="1" applyFont="1" applyFill="1" applyBorder="1" applyAlignment="1">
      <alignment horizontal="center" vertical="center" wrapText="1" shrinkToFit="1"/>
    </xf>
    <xf numFmtId="49" fontId="23" fillId="0" borderId="25" xfId="0" applyNumberFormat="1" applyFont="1" applyFill="1" applyBorder="1" applyAlignment="1">
      <alignment horizontal="center" vertical="center" wrapText="1" shrinkToFit="1"/>
    </xf>
    <xf numFmtId="49" fontId="23" fillId="0" borderId="39" xfId="0" applyNumberFormat="1" applyFont="1" applyFill="1" applyBorder="1" applyAlignment="1">
      <alignment horizontal="center" vertical="center" wrapText="1" shrinkToFit="1"/>
    </xf>
    <xf numFmtId="49" fontId="23" fillId="0" borderId="26" xfId="0" applyNumberFormat="1" applyFont="1" applyFill="1" applyBorder="1" applyAlignment="1">
      <alignment horizontal="center" vertical="center" wrapText="1" shrinkToFit="1"/>
    </xf>
    <xf numFmtId="49" fontId="25" fillId="0" borderId="25" xfId="0" applyNumberFormat="1" applyFont="1" applyFill="1" applyBorder="1" applyAlignment="1">
      <alignment horizontal="center" vertical="center" wrapText="1"/>
    </xf>
    <xf numFmtId="49" fontId="25" fillId="0" borderId="39" xfId="0" applyNumberFormat="1" applyFont="1" applyFill="1" applyBorder="1" applyAlignment="1">
      <alignment horizontal="center" vertical="center" wrapText="1"/>
    </xf>
    <xf numFmtId="49" fontId="25" fillId="0" borderId="21" xfId="0" applyNumberFormat="1" applyFont="1" applyFill="1" applyBorder="1" applyAlignment="1">
      <alignment horizontal="center" vertical="center" wrapText="1"/>
    </xf>
    <xf numFmtId="49" fontId="25" fillId="0" borderId="26" xfId="0" applyNumberFormat="1" applyFont="1" applyFill="1" applyBorder="1" applyAlignment="1">
      <alignment horizontal="center" vertical="center" wrapText="1"/>
    </xf>
    <xf numFmtId="49" fontId="25" fillId="0" borderId="27" xfId="0" applyNumberFormat="1" applyFont="1" applyFill="1" applyBorder="1" applyAlignment="1">
      <alignment horizontal="center" vertical="center" wrapText="1"/>
    </xf>
    <xf numFmtId="49" fontId="25" fillId="0" borderId="13" xfId="0" applyNumberFormat="1" applyFont="1" applyFill="1" applyBorder="1" applyAlignment="1">
      <alignment horizontal="center" vertical="center" wrapText="1"/>
    </xf>
    <xf numFmtId="49" fontId="25" fillId="0" borderId="40" xfId="0" applyNumberFormat="1" applyFont="1" applyFill="1" applyBorder="1" applyAlignment="1">
      <alignment horizontal="center" vertical="center" wrapText="1"/>
    </xf>
    <xf numFmtId="49" fontId="25" fillId="0" borderId="10" xfId="0" applyNumberFormat="1" applyFont="1" applyFill="1" applyBorder="1" applyAlignment="1">
      <alignment horizontal="center" vertical="center" wrapText="1"/>
    </xf>
    <xf numFmtId="49" fontId="21" fillId="0" borderId="18" xfId="0" applyNumberFormat="1" applyFont="1" applyFill="1" applyBorder="1" applyAlignment="1">
      <alignment horizontal="center" vertical="center" textRotation="90" wrapText="1"/>
    </xf>
    <xf numFmtId="49" fontId="21" fillId="0" borderId="38" xfId="0" applyNumberFormat="1" applyFont="1" applyFill="1" applyBorder="1" applyAlignment="1">
      <alignment horizontal="center" vertical="center" textRotation="90" wrapText="1"/>
    </xf>
    <xf numFmtId="49" fontId="21" fillId="0" borderId="29" xfId="0" applyNumberFormat="1" applyFont="1" applyFill="1" applyBorder="1" applyAlignment="1">
      <alignment horizontal="center" vertical="center" wrapText="1"/>
    </xf>
    <xf numFmtId="49" fontId="21" fillId="0" borderId="11" xfId="0" applyNumberFormat="1" applyFont="1" applyFill="1" applyBorder="1" applyAlignment="1">
      <alignment horizontal="center" vertical="center" wrapText="1"/>
    </xf>
    <xf numFmtId="49" fontId="21" fillId="0" borderId="30" xfId="0" applyNumberFormat="1" applyFont="1" applyFill="1" applyBorder="1" applyAlignment="1">
      <alignment horizontal="center" vertical="center" wrapText="1"/>
    </xf>
    <xf numFmtId="49" fontId="21" fillId="0" borderId="10" xfId="0" applyNumberFormat="1" applyFont="1" applyFill="1" applyBorder="1" applyAlignment="1">
      <alignment horizontal="center" vertical="center" wrapText="1"/>
    </xf>
    <xf numFmtId="49" fontId="25" fillId="0" borderId="17" xfId="0" applyNumberFormat="1" applyFont="1" applyFill="1" applyBorder="1" applyAlignment="1">
      <alignment horizontal="center" vertical="center" wrapText="1"/>
    </xf>
    <xf numFmtId="49" fontId="25" fillId="0" borderId="31" xfId="0" applyNumberFormat="1" applyFont="1" applyFill="1" applyBorder="1" applyAlignment="1">
      <alignment horizontal="center" vertical="center" wrapText="1"/>
    </xf>
    <xf numFmtId="0" fontId="21" fillId="0" borderId="35" xfId="0" applyFont="1" applyFill="1" applyBorder="1" applyAlignment="1">
      <alignment horizontal="center" vertical="center" wrapText="1"/>
    </xf>
    <xf numFmtId="0" fontId="21" fillId="0" borderId="31" xfId="0" applyFont="1" applyFill="1" applyBorder="1" applyAlignment="1">
      <alignment horizontal="center" vertical="center" wrapText="1"/>
    </xf>
    <xf numFmtId="0" fontId="22" fillId="0" borderId="36" xfId="0" applyFont="1" applyFill="1" applyBorder="1" applyAlignment="1">
      <alignment horizontal="center" vertical="center" wrapText="1"/>
    </xf>
    <xf numFmtId="0" fontId="22" fillId="0" borderId="19" xfId="0" applyFont="1" applyFill="1" applyBorder="1" applyAlignment="1">
      <alignment horizontal="center" vertical="center" wrapText="1"/>
    </xf>
    <xf numFmtId="0" fontId="22" fillId="0" borderId="34" xfId="0" applyFont="1" applyFill="1" applyBorder="1" applyAlignment="1">
      <alignment horizontal="center" vertical="center" wrapText="1"/>
    </xf>
    <xf numFmtId="0" fontId="21" fillId="0" borderId="26" xfId="0" applyFont="1" applyFill="1" applyBorder="1" applyAlignment="1">
      <alignment horizontal="center" vertical="center" wrapText="1"/>
    </xf>
    <xf numFmtId="0" fontId="21" fillId="0" borderId="25" xfId="0" applyFont="1" applyFill="1" applyBorder="1" applyAlignment="1">
      <alignment horizontal="center" vertical="center" wrapText="1"/>
    </xf>
    <xf numFmtId="0" fontId="21" fillId="0" borderId="14" xfId="0" applyFont="1" applyFill="1" applyBorder="1" applyAlignment="1">
      <alignment horizontal="center" vertical="center" wrapText="1"/>
    </xf>
    <xf numFmtId="0" fontId="21" fillId="0" borderId="29" xfId="0" applyFont="1" applyFill="1" applyBorder="1" applyAlignment="1">
      <alignment horizontal="center" vertical="center" wrapText="1"/>
    </xf>
    <xf numFmtId="0" fontId="21" fillId="0" borderId="28" xfId="0" applyFont="1" applyFill="1" applyBorder="1" applyAlignment="1">
      <alignment horizontal="center" vertical="center" wrapText="1"/>
    </xf>
    <xf numFmtId="0" fontId="21" fillId="0" borderId="15" xfId="0" applyFont="1" applyFill="1" applyBorder="1" applyAlignment="1">
      <alignment horizontal="center" vertical="center" wrapText="1"/>
    </xf>
    <xf numFmtId="0" fontId="21" fillId="0" borderId="27" xfId="0" applyFont="1" applyFill="1" applyBorder="1" applyAlignment="1">
      <alignment horizontal="center" vertical="center" wrapText="1"/>
    </xf>
    <xf numFmtId="0" fontId="21" fillId="0" borderId="30" xfId="0" applyFont="1" applyFill="1" applyBorder="1" applyAlignment="1">
      <alignment horizontal="center" vertical="center" wrapText="1"/>
    </xf>
    <xf numFmtId="0" fontId="21" fillId="0" borderId="13" xfId="0" applyFont="1" applyFill="1" applyBorder="1" applyAlignment="1">
      <alignment horizontal="center" vertical="center" wrapText="1"/>
    </xf>
    <xf numFmtId="0" fontId="21" fillId="0" borderId="15" xfId="0" applyFont="1" applyFill="1" applyBorder="1" applyAlignment="1">
      <alignment horizontal="center" vertical="center" textRotation="90" wrapText="1"/>
    </xf>
    <xf numFmtId="0" fontId="21" fillId="0" borderId="14" xfId="0" applyFont="1" applyFill="1" applyBorder="1" applyAlignment="1">
      <alignment horizontal="center" vertical="center" textRotation="90" wrapText="1"/>
    </xf>
    <xf numFmtId="0" fontId="21" fillId="0" borderId="33" xfId="0" applyFont="1" applyFill="1" applyBorder="1" applyAlignment="1">
      <alignment horizontal="center" vertical="center" wrapText="1"/>
    </xf>
    <xf numFmtId="0" fontId="21" fillId="0" borderId="32" xfId="0" applyFont="1" applyFill="1" applyBorder="1" applyAlignment="1">
      <alignment horizontal="center" vertical="center" wrapText="1"/>
    </xf>
    <xf numFmtId="0" fontId="21" fillId="0" borderId="11" xfId="0" applyFont="1" applyFill="1" applyBorder="1" applyAlignment="1">
      <alignment horizontal="center" vertical="center" wrapText="1"/>
    </xf>
    <xf numFmtId="0" fontId="21" fillId="0" borderId="12" xfId="0" applyFont="1" applyFill="1" applyBorder="1" applyAlignment="1">
      <alignment horizontal="center" vertical="center" wrapText="1"/>
    </xf>
    <xf numFmtId="0" fontId="21" fillId="0" borderId="10" xfId="0" applyFont="1" applyFill="1" applyBorder="1" applyAlignment="1">
      <alignment horizontal="center" vertical="center" wrapText="1"/>
    </xf>
    <xf numFmtId="49" fontId="21" fillId="0" borderId="15" xfId="0" applyNumberFormat="1" applyFont="1" applyFill="1" applyBorder="1" applyAlignment="1">
      <alignment horizontal="center" vertical="center" wrapText="1"/>
    </xf>
    <xf numFmtId="49" fontId="21" fillId="0" borderId="12" xfId="0" applyNumberFormat="1" applyFont="1" applyFill="1" applyBorder="1" applyAlignment="1">
      <alignment horizontal="center" vertical="center" wrapText="1"/>
    </xf>
    <xf numFmtId="49" fontId="21" fillId="0" borderId="14" xfId="0" applyNumberFormat="1" applyFont="1" applyFill="1" applyBorder="1" applyAlignment="1">
      <alignment horizontal="center" vertical="center" wrapText="1"/>
    </xf>
  </cellXfs>
  <cellStyles count="44">
    <cellStyle name="20% — акцент1" xfId="19" builtinId="30" customBuiltin="1"/>
    <cellStyle name="20% — акцент2" xfId="23" builtinId="34" customBuiltin="1"/>
    <cellStyle name="20% — акцент3" xfId="27" builtinId="38" customBuiltin="1"/>
    <cellStyle name="20% — акцент4" xfId="31" builtinId="42" customBuiltin="1"/>
    <cellStyle name="20% — акцент5" xfId="35" builtinId="46" customBuiltin="1"/>
    <cellStyle name="20% — акцент6" xfId="39" builtinId="50" customBuiltin="1"/>
    <cellStyle name="40% — акцент1" xfId="20" builtinId="31" customBuiltin="1"/>
    <cellStyle name="40% — акцент2" xfId="24" builtinId="35" customBuiltin="1"/>
    <cellStyle name="40% — акцент3" xfId="28" builtinId="39" customBuiltin="1"/>
    <cellStyle name="40% — акцент4" xfId="32" builtinId="43" customBuiltin="1"/>
    <cellStyle name="40% — акцент5" xfId="36" builtinId="47" customBuiltin="1"/>
    <cellStyle name="40% — акцент6" xfId="40" builtinId="51" customBuiltin="1"/>
    <cellStyle name="60% — акцент1" xfId="21" builtinId="32" customBuiltin="1"/>
    <cellStyle name="60% — акцент2" xfId="25" builtinId="36" customBuiltin="1"/>
    <cellStyle name="60% — акцент3" xfId="29" builtinId="40" customBuiltin="1"/>
    <cellStyle name="60% — акцент4" xfId="33" builtinId="44" customBuiltin="1"/>
    <cellStyle name="60% — акцент5" xfId="37" builtinId="48" customBuiltin="1"/>
    <cellStyle name="60% — акцент6" xfId="41" builtinId="52" customBuiltin="1"/>
    <cellStyle name="Акцент1" xfId="18" builtinId="29" customBuiltin="1"/>
    <cellStyle name="Акцент2" xfId="22" builtinId="33" customBuiltin="1"/>
    <cellStyle name="Акцент3" xfId="26" builtinId="37" customBuiltin="1"/>
    <cellStyle name="Акцент4" xfId="30" builtinId="41" customBuiltin="1"/>
    <cellStyle name="Акцент5" xfId="34" builtinId="45" customBuiltin="1"/>
    <cellStyle name="Акцент6" xfId="38" builtinId="49" customBuiltin="1"/>
    <cellStyle name="Ввод " xfId="9" builtinId="20" customBuiltin="1"/>
    <cellStyle name="Вывод" xfId="10" builtinId="21" customBuiltin="1"/>
    <cellStyle name="Вычисление" xfId="11" builtinId="22" customBuiltin="1"/>
    <cellStyle name="Гиперссылка" xfId="43" builtinId="8"/>
    <cellStyle name="Заголовок 1" xfId="2" builtinId="16" customBuiltin="1"/>
    <cellStyle name="Заголовок 2" xfId="3" builtinId="17" customBuiltin="1"/>
    <cellStyle name="Заголовок 3" xfId="4" builtinId="18" customBuiltin="1"/>
    <cellStyle name="Заголовок 4" xfId="5" builtinId="19" customBuiltin="1"/>
    <cellStyle name="Итог" xfId="17" builtinId="25" customBuiltin="1"/>
    <cellStyle name="Контрольная ячейка" xfId="13" builtinId="23" customBuiltin="1"/>
    <cellStyle name="Название" xfId="1" builtinId="15" customBuiltin="1"/>
    <cellStyle name="Нейтральный" xfId="8" builtinId="28" customBuiltin="1"/>
    <cellStyle name="Обычный" xfId="0" builtinId="0"/>
    <cellStyle name="Обычный 2" xfId="42"/>
    <cellStyle name="Плохой" xfId="7" builtinId="27" customBuiltin="1"/>
    <cellStyle name="Пояснение" xfId="16" builtinId="53" customBuiltin="1"/>
    <cellStyle name="Примечание" xfId="15" builtinId="10" customBuiltin="1"/>
    <cellStyle name="Связанная ячейка" xfId="12" builtinId="24" customBuiltin="1"/>
    <cellStyle name="Текст предупреждения" xfId="14" builtinId="11" customBuiltin="1"/>
    <cellStyle name="Хороший" xfId="6" builtinId="26" customBuiltin="1"/>
  </cellStyles>
  <dxfs count="131">
    <dxf>
      <fill>
        <patternFill>
          <fgColor indexed="64"/>
          <bgColor theme="9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3" tint="0.79995117038483843"/>
        </patternFill>
      </fill>
    </dxf>
    <dxf>
      <fill>
        <patternFill>
          <fgColor indexed="64"/>
          <bgColor theme="6" tint="0.59996337778862885"/>
        </patternFill>
      </fill>
    </dxf>
    <dxf>
      <font>
        <color theme="0" tint="-0.34998626667073579"/>
      </font>
      <fill>
        <patternFill>
          <fgColor indexed="64"/>
          <bgColor theme="0" tint="-0.34998626667073579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9" tint="0.39991454817346722"/>
        </patternFill>
      </fill>
    </dxf>
    <dxf>
      <fill>
        <patternFill>
          <fgColor indexed="64"/>
          <bgColor rgb="FFFF3399"/>
        </patternFill>
      </fill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</dxf>
    <dxf>
      <font>
        <color rgb="FF9C650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color rgb="FF9C6500"/>
      </font>
    </dxf>
    <dxf>
      <font>
        <color rgb="FF9C650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color rgb="FF9C6500"/>
      </font>
    </dxf>
    <dxf>
      <font>
        <color rgb="FF9C650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color rgb="FF9C6500"/>
      </font>
    </dxf>
    <dxf>
      <font>
        <color rgb="FF9C650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color rgb="FF9C6500"/>
      </font>
    </dxf>
    <dxf>
      <font>
        <color rgb="FF9C650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color rgb="FF9C6500"/>
      </font>
    </dxf>
    <dxf>
      <font>
        <color rgb="FF9C650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color rgb="FF9C6500"/>
      </font>
    </dxf>
    <dxf>
      <font>
        <color rgb="FF9C650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color rgb="FF9C6500"/>
      </font>
    </dxf>
    <dxf>
      <font>
        <color rgb="FF9C650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color rgb="FF9C6500"/>
      </font>
    </dxf>
    <dxf>
      <font>
        <color rgb="FF9C650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ill>
        <patternFill>
          <fgColor indexed="64"/>
          <bgColor theme="9" tint="0.39991454817346722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3399"/>
        </patternFill>
      </fill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color rgb="FF9C6500"/>
      </font>
    </dxf>
    <dxf>
      <font>
        <color rgb="FF9C6500"/>
      </font>
    </dxf>
    <dxf>
      <font>
        <color rgb="FF9C6500"/>
      </font>
      <fill>
        <patternFill>
          <fgColor indexed="64"/>
          <bgColor rgb="FFFFEB9C"/>
        </patternFill>
      </fill>
    </dxf>
    <dxf>
      <fill>
        <patternFill>
          <fgColor indexed="64"/>
          <bgColor rgb="FFFF3399"/>
        </patternFill>
      </fill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color rgb="FF9C6500"/>
      </font>
    </dxf>
    <dxf>
      <font>
        <color rgb="FF9C6500"/>
      </font>
    </dxf>
    <dxf>
      <font>
        <color rgb="FF9C6500"/>
      </font>
      <fill>
        <patternFill>
          <fgColor indexed="64"/>
          <bgColor rgb="FFFFEB9C"/>
        </patternFill>
      </fill>
    </dxf>
    <dxf>
      <fill>
        <patternFill>
          <fgColor indexed="64"/>
          <bgColor theme="9" tint="0.39991454817346722"/>
        </patternFill>
      </fill>
    </dxf>
    <dxf>
      <fill>
        <patternFill>
          <fgColor indexed="64"/>
          <bgColor theme="0" tint="-0.14993743705557422"/>
        </patternFill>
      </fill>
    </dxf>
    <dxf>
      <font>
        <color theme="0" tint="-0.34998626667073579"/>
      </font>
      <fill>
        <patternFill>
          <fgColor indexed="64"/>
          <bgColor theme="0" tint="-0.34998626667073579"/>
        </patternFill>
      </fill>
    </dxf>
    <dxf>
      <fill>
        <patternFill>
          <fgColor indexed="64"/>
          <bgColor theme="6" tint="0.59996337778862885"/>
        </patternFill>
      </fill>
    </dxf>
    <dxf>
      <fill>
        <patternFill>
          <fgColor indexed="64"/>
          <bgColor theme="3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9" tint="0.59996337778862885"/>
        </patternFill>
      </fill>
    </dxf>
  </dxfs>
  <tableStyles count="0" defaultTableStyle="TableStyleMedium9" defaultPivotStyle="PivotStyleLight16"/>
  <colors>
    <mruColors>
      <color rgb="FF66FF99"/>
      <color rgb="FF99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&#1057;&#1087;&#1077;&#1094;%20&#1042;&#1086;&#1079;&#1076;&#1091;&#1093;&#1086;&#1076;&#1091;&#1074;&#1082;&#1072;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|Содержание|"/>
      <sheetName val="|Лог|"/>
      <sheetName val="КЖ_спец"/>
      <sheetName val="Изделия_спец.И"/>
      <sheetName val="Анкер_спец"/>
      <sheetName val="Из архикада плиты"/>
      <sheetName val="КЖ_об"/>
      <sheetName val="КЖ_кж"/>
      <sheetName val="Анкер_кж"/>
      <sheetName val="Анкер"/>
      <sheetName val="Анкер_об"/>
      <sheetName val="!System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/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>
    <tabColor rgb="FF00B050"/>
  </sheetPr>
  <dimension ref="A1:V14"/>
  <sheetViews>
    <sheetView tabSelected="1" workbookViewId="0">
      <selection activeCell="C17" sqref="C17"/>
    </sheetView>
  </sheetViews>
  <sheetFormatPr defaultRowHeight="15" x14ac:dyDescent="0.25"/>
  <cols>
    <col min="1" max="5" width="36.7109375" style="7" customWidth="1"/>
    <col min="6" max="6" width="9.140625" style="7"/>
    <col min="7" max="7" width="8.7109375" style="7" customWidth="1"/>
    <col min="8" max="8" width="15.7109375" style="7" customWidth="1"/>
    <col min="9" max="22" width="10.7109375" style="7" customWidth="1"/>
    <col min="23" max="16384" width="9.140625" style="9"/>
  </cols>
  <sheetData>
    <row r="1" spans="1:22" s="5" customFormat="1" ht="27.95" customHeight="1" x14ac:dyDescent="0.25">
      <c r="A1" s="6" t="s">
        <v>26</v>
      </c>
      <c r="B1" s="6" t="s">
        <v>27</v>
      </c>
      <c r="C1" s="6" t="s">
        <v>21</v>
      </c>
      <c r="D1" s="6" t="s">
        <v>22</v>
      </c>
      <c r="E1" s="6" t="s">
        <v>23</v>
      </c>
      <c r="F1" s="6"/>
      <c r="G1" s="6" t="s">
        <v>28</v>
      </c>
      <c r="H1" s="6" t="s">
        <v>29</v>
      </c>
      <c r="I1" s="6" t="s">
        <v>30</v>
      </c>
      <c r="J1" s="6" t="s">
        <v>31</v>
      </c>
      <c r="K1" s="6" t="s">
        <v>32</v>
      </c>
      <c r="L1" s="6" t="s">
        <v>33</v>
      </c>
      <c r="M1" s="6" t="s">
        <v>34</v>
      </c>
      <c r="N1" s="6" t="s">
        <v>35</v>
      </c>
      <c r="O1" s="6" t="s">
        <v>36</v>
      </c>
      <c r="P1" s="6" t="s">
        <v>37</v>
      </c>
      <c r="Q1" s="6" t="s">
        <v>38</v>
      </c>
      <c r="R1" s="6" t="s">
        <v>39</v>
      </c>
      <c r="S1" s="6" t="s">
        <v>40</v>
      </c>
      <c r="T1" s="6" t="s">
        <v>41</v>
      </c>
      <c r="U1" s="6" t="s">
        <v>42</v>
      </c>
      <c r="V1" s="6" t="s">
        <v>43</v>
      </c>
    </row>
    <row r="2" spans="1:22" x14ac:dyDescent="0.25">
      <c r="E2" s="8" t="s">
        <v>3174</v>
      </c>
      <c r="G2" s="7">
        <v>1</v>
      </c>
      <c r="H2" s="7" t="s">
        <v>2378</v>
      </c>
      <c r="I2" s="7" t="b">
        <v>0</v>
      </c>
      <c r="J2" s="7" t="b">
        <v>0</v>
      </c>
      <c r="K2" s="7" t="b">
        <v>0</v>
      </c>
      <c r="L2" s="7" t="b">
        <v>0</v>
      </c>
      <c r="M2" s="7" t="b">
        <v>1</v>
      </c>
      <c r="N2" s="7" t="b">
        <v>0</v>
      </c>
      <c r="O2" s="7" t="b">
        <v>1</v>
      </c>
      <c r="P2" s="7" t="b">
        <v>1</v>
      </c>
      <c r="Q2" s="7" t="b">
        <v>0</v>
      </c>
      <c r="R2" s="7" t="b">
        <v>0</v>
      </c>
      <c r="S2" s="7" t="b">
        <v>1</v>
      </c>
      <c r="T2" s="7" t="b">
        <v>0</v>
      </c>
      <c r="U2" s="7" t="b">
        <v>0</v>
      </c>
      <c r="V2" s="7" t="b">
        <v>0</v>
      </c>
    </row>
    <row r="3" spans="1:22" x14ac:dyDescent="0.25">
      <c r="C3" s="8" t="s">
        <v>2379</v>
      </c>
      <c r="G3" s="7">
        <v>1</v>
      </c>
      <c r="H3" s="7" t="s">
        <v>2378</v>
      </c>
      <c r="I3" s="7" t="b">
        <v>0</v>
      </c>
      <c r="J3" s="7" t="b">
        <v>0</v>
      </c>
      <c r="K3" s="7" t="b">
        <v>0</v>
      </c>
      <c r="L3" s="7" t="b">
        <v>0</v>
      </c>
      <c r="M3" s="7" t="b">
        <v>1</v>
      </c>
      <c r="N3" s="7" t="b">
        <v>0</v>
      </c>
      <c r="O3" s="7" t="b">
        <v>1</v>
      </c>
      <c r="P3" s="7" t="b">
        <v>1</v>
      </c>
      <c r="Q3" s="7" t="b">
        <v>0</v>
      </c>
      <c r="R3" s="7" t="b">
        <v>0</v>
      </c>
      <c r="S3" s="7" t="b">
        <v>1</v>
      </c>
      <c r="T3" s="7" t="b">
        <v>0</v>
      </c>
      <c r="U3" s="7" t="b">
        <v>0</v>
      </c>
      <c r="V3" s="7" t="b">
        <v>0</v>
      </c>
    </row>
    <row r="4" spans="1:22" x14ac:dyDescent="0.25">
      <c r="E4" s="8" t="s">
        <v>2701</v>
      </c>
      <c r="G4" s="7">
        <v>1</v>
      </c>
      <c r="H4" s="7" t="s">
        <v>2378</v>
      </c>
      <c r="I4" s="7" t="b">
        <v>0</v>
      </c>
      <c r="J4" s="7" t="b">
        <v>0</v>
      </c>
      <c r="K4" s="7" t="b">
        <v>0</v>
      </c>
      <c r="L4" s="7" t="b">
        <v>0</v>
      </c>
      <c r="M4" s="7" t="b">
        <v>1</v>
      </c>
      <c r="N4" s="7" t="b">
        <v>0</v>
      </c>
      <c r="O4" s="7" t="b">
        <v>1</v>
      </c>
      <c r="P4" s="7" t="b">
        <v>1</v>
      </c>
      <c r="Q4" s="7" t="b">
        <v>0</v>
      </c>
      <c r="R4" s="7" t="b">
        <v>0</v>
      </c>
      <c r="S4" s="7" t="b">
        <v>1</v>
      </c>
      <c r="T4" s="7" t="b">
        <v>0</v>
      </c>
      <c r="U4" s="7" t="b">
        <v>0</v>
      </c>
      <c r="V4" s="7" t="b">
        <v>0</v>
      </c>
    </row>
    <row r="5" spans="1:22" x14ac:dyDescent="0.25">
      <c r="D5" s="8" t="s">
        <v>2835</v>
      </c>
      <c r="G5" s="7">
        <v>1</v>
      </c>
      <c r="H5" s="7" t="s">
        <v>2975</v>
      </c>
      <c r="I5" s="7" t="b">
        <v>0</v>
      </c>
      <c r="J5" s="7" t="b">
        <v>0</v>
      </c>
      <c r="K5" s="7" t="b">
        <v>0</v>
      </c>
      <c r="L5" s="7" t="b">
        <v>0</v>
      </c>
      <c r="M5" s="7" t="b">
        <v>1</v>
      </c>
      <c r="N5" s="7" t="b">
        <v>0</v>
      </c>
      <c r="O5" s="7" t="b">
        <v>1</v>
      </c>
      <c r="P5" s="7" t="b">
        <v>1</v>
      </c>
      <c r="Q5" s="7" t="b">
        <v>0</v>
      </c>
      <c r="R5" s="7" t="b">
        <v>0</v>
      </c>
      <c r="S5" s="7" t="b">
        <v>1</v>
      </c>
      <c r="T5" s="7" t="b">
        <v>0</v>
      </c>
      <c r="U5" s="7" t="b">
        <v>0</v>
      </c>
      <c r="V5" s="7" t="b">
        <v>0</v>
      </c>
    </row>
    <row r="6" spans="1:22" x14ac:dyDescent="0.25">
      <c r="D6" s="8" t="s">
        <v>2972</v>
      </c>
      <c r="G6" s="7">
        <v>1</v>
      </c>
      <c r="H6" s="7" t="s">
        <v>2976</v>
      </c>
      <c r="I6" s="7" t="b">
        <v>0</v>
      </c>
      <c r="J6" s="7" t="b">
        <v>0</v>
      </c>
      <c r="K6" s="7" t="b">
        <v>0</v>
      </c>
      <c r="L6" s="7" t="b">
        <v>0</v>
      </c>
      <c r="M6" s="7" t="b">
        <v>1</v>
      </c>
      <c r="N6" s="7" t="b">
        <v>0</v>
      </c>
      <c r="O6" s="7" t="b">
        <v>1</v>
      </c>
      <c r="P6" s="7" t="b">
        <v>1</v>
      </c>
      <c r="Q6" s="7" t="b">
        <v>0</v>
      </c>
      <c r="R6" s="7" t="b">
        <v>0</v>
      </c>
      <c r="S6" s="7" t="b">
        <v>1</v>
      </c>
      <c r="T6" s="7" t="b">
        <v>0</v>
      </c>
      <c r="U6" s="7" t="b">
        <v>0</v>
      </c>
      <c r="V6" s="7" t="b">
        <v>0</v>
      </c>
    </row>
    <row r="7" spans="1:22" x14ac:dyDescent="0.25">
      <c r="D7" s="8" t="s">
        <v>2891</v>
      </c>
      <c r="G7" s="7">
        <v>1</v>
      </c>
      <c r="H7" s="7" t="s">
        <v>2995</v>
      </c>
      <c r="I7" s="7" t="b">
        <v>0</v>
      </c>
      <c r="J7" s="7" t="b">
        <v>0</v>
      </c>
      <c r="K7" s="7" t="b">
        <v>0</v>
      </c>
      <c r="L7" s="7" t="b">
        <v>0</v>
      </c>
      <c r="M7" s="7" t="b">
        <v>1</v>
      </c>
      <c r="N7" s="7" t="b">
        <v>0</v>
      </c>
      <c r="O7" s="7" t="b">
        <v>1</v>
      </c>
      <c r="P7" s="7" t="b">
        <v>1</v>
      </c>
      <c r="Q7" s="7" t="b">
        <v>0</v>
      </c>
      <c r="R7" s="7" t="b">
        <v>0</v>
      </c>
      <c r="S7" s="7" t="b">
        <v>1</v>
      </c>
      <c r="T7" s="7" t="b">
        <v>0</v>
      </c>
      <c r="U7" s="7" t="b">
        <v>0</v>
      </c>
      <c r="V7" s="7" t="b">
        <v>0</v>
      </c>
    </row>
    <row r="8" spans="1:22" x14ac:dyDescent="0.25">
      <c r="D8" s="8" t="s">
        <v>3027</v>
      </c>
      <c r="G8" s="7">
        <v>1</v>
      </c>
      <c r="H8" s="7" t="s">
        <v>3028</v>
      </c>
      <c r="I8" s="7" t="b">
        <v>0</v>
      </c>
      <c r="J8" s="7" t="b">
        <v>0</v>
      </c>
      <c r="K8" s="7" t="b">
        <v>0</v>
      </c>
      <c r="L8" s="7" t="b">
        <v>1</v>
      </c>
      <c r="M8" s="7" t="b">
        <v>1</v>
      </c>
      <c r="N8" s="7" t="b">
        <v>0</v>
      </c>
      <c r="O8" s="7" t="b">
        <v>1</v>
      </c>
      <c r="P8" s="7" t="b">
        <v>1</v>
      </c>
      <c r="Q8" s="7" t="b">
        <v>0</v>
      </c>
      <c r="R8" s="7" t="b">
        <v>0</v>
      </c>
      <c r="S8" s="7" t="b">
        <v>1</v>
      </c>
      <c r="T8" s="7" t="b">
        <v>0</v>
      </c>
      <c r="U8" s="7" t="b">
        <v>0</v>
      </c>
      <c r="V8" s="7" t="b">
        <v>0</v>
      </c>
    </row>
    <row r="9" spans="1:22" x14ac:dyDescent="0.25">
      <c r="D9" s="8" t="s">
        <v>3064</v>
      </c>
      <c r="G9" s="7">
        <v>1</v>
      </c>
      <c r="H9" s="7" t="s">
        <v>3065</v>
      </c>
      <c r="I9" s="7" t="b">
        <v>1</v>
      </c>
      <c r="J9" s="7" t="b">
        <v>1</v>
      </c>
      <c r="K9" s="7" t="b">
        <v>0</v>
      </c>
      <c r="L9" s="7" t="b">
        <v>1</v>
      </c>
      <c r="M9" s="7" t="b">
        <v>1</v>
      </c>
      <c r="N9" s="7" t="b">
        <v>0</v>
      </c>
      <c r="O9" s="7" t="b">
        <v>1</v>
      </c>
      <c r="P9" s="7" t="b">
        <v>1</v>
      </c>
      <c r="Q9" s="7" t="b">
        <v>0</v>
      </c>
      <c r="R9" s="7" t="b">
        <v>0</v>
      </c>
      <c r="S9" s="7" t="b">
        <v>1</v>
      </c>
      <c r="T9" s="7" t="b">
        <v>0</v>
      </c>
      <c r="U9" s="7" t="b">
        <v>0</v>
      </c>
      <c r="V9" s="7" t="b">
        <v>0</v>
      </c>
    </row>
    <row r="10" spans="1:22" x14ac:dyDescent="0.25">
      <c r="D10" s="8" t="s">
        <v>3103</v>
      </c>
      <c r="G10" s="7">
        <v>1</v>
      </c>
      <c r="H10" s="7" t="s">
        <v>3105</v>
      </c>
      <c r="I10" s="7" t="b">
        <v>0</v>
      </c>
      <c r="J10" s="7" t="b">
        <v>0</v>
      </c>
      <c r="K10" s="7" t="b">
        <v>0</v>
      </c>
      <c r="L10" s="7" t="b">
        <v>0</v>
      </c>
      <c r="M10" s="7" t="b">
        <v>1</v>
      </c>
      <c r="N10" s="7" t="b">
        <v>0</v>
      </c>
      <c r="O10" s="7" t="b">
        <v>1</v>
      </c>
      <c r="P10" s="7" t="b">
        <v>1</v>
      </c>
      <c r="Q10" s="7" t="b">
        <v>0</v>
      </c>
      <c r="R10" s="7" t="b">
        <v>0</v>
      </c>
      <c r="S10" s="7" t="b">
        <v>1</v>
      </c>
      <c r="T10" s="7" t="b">
        <v>0</v>
      </c>
      <c r="U10" s="7" t="b">
        <v>0</v>
      </c>
      <c r="V10" s="7" t="b">
        <v>0</v>
      </c>
    </row>
    <row r="11" spans="1:22" x14ac:dyDescent="0.25">
      <c r="C11" s="8" t="s">
        <v>2708</v>
      </c>
      <c r="G11" s="7">
        <v>1</v>
      </c>
      <c r="H11" s="7" t="s">
        <v>3173</v>
      </c>
      <c r="I11" s="7" t="b">
        <v>0</v>
      </c>
      <c r="J11" s="7" t="b">
        <v>0</v>
      </c>
      <c r="K11" s="7" t="b">
        <v>0</v>
      </c>
      <c r="L11" s="7" t="b">
        <v>0</v>
      </c>
      <c r="M11" s="7" t="b">
        <v>1</v>
      </c>
      <c r="N11" s="7" t="b">
        <v>0</v>
      </c>
      <c r="O11" s="7" t="b">
        <v>1</v>
      </c>
      <c r="P11" s="7" t="b">
        <v>1</v>
      </c>
      <c r="Q11" s="7" t="b">
        <v>0</v>
      </c>
      <c r="R11" s="7" t="b">
        <v>0</v>
      </c>
      <c r="S11" s="7" t="b">
        <v>1</v>
      </c>
      <c r="T11" s="7" t="b">
        <v>0</v>
      </c>
      <c r="U11" s="7" t="b">
        <v>0</v>
      </c>
      <c r="V11" s="7" t="b">
        <v>0</v>
      </c>
    </row>
    <row r="12" spans="1:22" x14ac:dyDescent="0.25">
      <c r="B12" s="8" t="s">
        <v>2376</v>
      </c>
    </row>
    <row r="13" spans="1:22" x14ac:dyDescent="0.25">
      <c r="A13" s="8" t="s">
        <v>25</v>
      </c>
    </row>
    <row r="14" spans="1:22" x14ac:dyDescent="0.25">
      <c r="A14" s="8" t="s">
        <v>24</v>
      </c>
    </row>
  </sheetData>
  <sortState ref="A2:V14">
    <sortCondition ref="H2:H600"/>
  </sortState>
  <conditionalFormatting sqref="A1:V1048576">
    <cfRule type="containsText" dxfId="6" priority="7" operator="containsText" text="_спец">
      <formula>NOT(ISERROR(SEARCH("_спец",A1)))</formula>
    </cfRule>
    <cfRule type="containsText" dxfId="5" priority="6" operator="containsText" text="!">
      <formula>NOT(ISERROR(SEARCH("!",A1)))</formula>
    </cfRule>
    <cfRule type="expression" dxfId="4" priority="5">
      <formula>LEN(TRIM(A1))=0</formula>
    </cfRule>
    <cfRule type="containsText" dxfId="3" priority="4" operator="containsText" text="|">
      <formula>NOT(ISERROR(SEARCH("|",A1)))</formula>
    </cfRule>
    <cfRule type="containsText" dxfId="2" priority="3" operator="containsText" text="_кж">
      <formula>NOT(ISERROR(SEARCH("_кж",A1)))</formula>
    </cfRule>
    <cfRule type="containsText" dxfId="1" priority="2" operator="containsText" text="_км">
      <formula>NOT(ISERROR(SEARCH("_км",A1)))</formula>
    </cfRule>
    <cfRule type="containsText" dxfId="0" priority="1" operator="containsText" text="_поз">
      <formula>NOT(ISERROR(SEARCH("_поз",A1)))</formula>
    </cfRule>
  </conditionalFormatting>
  <hyperlinks>
    <hyperlink ref="B12" location="'!System'!B2" display="'!System'!B2"/>
    <hyperlink ref="A13" location="'|Лог|'!A1" display="'|Лог|'!A1"/>
    <hyperlink ref="A14" location="'|Содержание|'!A1" display="'|Содержание|'!A1"/>
    <hyperlink ref="C11" location="'Ведомость отделки_вед'!C3" display="'Ведомость отделки_вед'!C3"/>
    <hyperlink ref="E2" location="'Ведомость отделки_правила'!E3" display="'Ведомость отделки_правила'!E3"/>
    <hyperlink ref="C3" location="'Изделия_спец.И'!C3" display="'Изделия_спец.И'!C3"/>
    <hyperlink ref="D7" location="'Пример 4'!D4" display="'Пример 4'!D4"/>
    <hyperlink ref="D10" location="'Пример 4_гр'!D4" display="'Пример 4_гр'!D4"/>
    <hyperlink ref="D8" location="'Пример 4_грс'!D4" display="'Пример 4_грс'!D4"/>
    <hyperlink ref="D5" location="'Пример 4_зап'!D4" display="'Пример 4_зап'!D4"/>
    <hyperlink ref="D9" location="'Пример 4_кж'!D4" display="'Пример 4_кж'!D4"/>
    <hyperlink ref="D6" location="'Пример 4_об'!D4" display="'Пример 4_об'!D4"/>
    <hyperlink ref="E4" location="'Пфм1_спец'!E3" display="'Пфм1_спец'!E3"/>
  </hyperlink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5">
    <tabColor rgb="FF000000" tint="1"/>
  </sheetPr>
  <dimension ref="A1:O1000"/>
  <sheetViews>
    <sheetView workbookViewId="0">
      <selection activeCell="C21" sqref="C21"/>
    </sheetView>
  </sheetViews>
  <sheetFormatPr defaultRowHeight="15" x14ac:dyDescent="0.25"/>
  <cols>
    <col min="1" max="1" width="16.7109375" customWidth="1"/>
    <col min="2" max="2" width="20.7109375" customWidth="1"/>
    <col min="3" max="3" width="40.7109375" customWidth="1"/>
    <col min="4" max="4" width="9.7109375" customWidth="1"/>
    <col min="5" max="15" width="8.7109375" customWidth="1"/>
  </cols>
  <sheetData>
    <row r="1" spans="1:15" ht="95.1" customHeight="1" x14ac:dyDescent="0.25">
      <c r="A1" s="2"/>
      <c r="B1" s="2"/>
      <c r="C1" s="2"/>
      <c r="D1" s="2"/>
      <c r="E1" s="3"/>
      <c r="F1" s="3"/>
      <c r="G1" s="3"/>
      <c r="H1" s="3"/>
      <c r="I1" s="3"/>
      <c r="J1" s="3"/>
      <c r="K1" s="3"/>
      <c r="L1" s="3"/>
      <c r="M1" s="3"/>
      <c r="N1" s="3"/>
      <c r="O1" s="3"/>
    </row>
    <row r="2" spans="1:15" ht="15.95" customHeight="1" x14ac:dyDescent="0.25">
      <c r="A2" s="4">
        <v>43736.524513888886</v>
      </c>
      <c r="B2" s="1" t="s">
        <v>2704</v>
      </c>
      <c r="C2" s="1" t="s">
        <v>2705</v>
      </c>
      <c r="D2" s="1" t="s">
        <v>2706</v>
      </c>
      <c r="E2" s="1" t="s">
        <v>2707</v>
      </c>
      <c r="F2" s="1">
        <v>3.68</v>
      </c>
      <c r="G2" s="1">
        <v>3.94</v>
      </c>
      <c r="H2" s="1">
        <v>3.18</v>
      </c>
      <c r="I2" s="1">
        <v>1</v>
      </c>
      <c r="J2" s="1" t="b">
        <v>0</v>
      </c>
      <c r="K2" s="1" t="b">
        <v>0</v>
      </c>
      <c r="L2" s="1" t="b">
        <v>0</v>
      </c>
      <c r="M2" s="1" t="b">
        <v>0</v>
      </c>
      <c r="N2" s="1" t="b">
        <v>1</v>
      </c>
      <c r="O2" s="1" t="b">
        <v>0</v>
      </c>
    </row>
    <row r="3" spans="1:15" ht="15.95" customHeight="1" x14ac:dyDescent="0.25">
      <c r="A3" s="4">
        <v>43736.524571759262</v>
      </c>
      <c r="B3" s="1" t="s">
        <v>2704</v>
      </c>
      <c r="C3" s="1" t="s">
        <v>2708</v>
      </c>
      <c r="D3" s="1" t="s">
        <v>2706</v>
      </c>
      <c r="E3" s="10" t="s">
        <v>2707</v>
      </c>
      <c r="F3" s="1">
        <v>3.68</v>
      </c>
      <c r="G3" s="1">
        <v>3.94</v>
      </c>
      <c r="H3" s="1">
        <v>3.18</v>
      </c>
      <c r="I3" s="1">
        <v>1</v>
      </c>
      <c r="J3" s="1" t="b">
        <v>0</v>
      </c>
      <c r="K3" s="1" t="b">
        <v>0</v>
      </c>
      <c r="L3" s="1" t="b">
        <v>0</v>
      </c>
      <c r="M3" s="1" t="b">
        <v>0</v>
      </c>
      <c r="N3" s="1" t="b">
        <v>1</v>
      </c>
      <c r="O3" s="1" t="b">
        <v>0</v>
      </c>
    </row>
    <row r="4" spans="1:15" ht="15.95" customHeight="1" x14ac:dyDescent="0.25">
      <c r="A4" s="4">
        <v>43736.525671296295</v>
      </c>
      <c r="B4" s="1" t="s">
        <v>2704</v>
      </c>
      <c r="C4" s="1" t="s">
        <v>2705</v>
      </c>
      <c r="D4" s="1" t="s">
        <v>2709</v>
      </c>
      <c r="E4" s="10" t="s">
        <v>2710</v>
      </c>
      <c r="F4" s="1">
        <v>3.68</v>
      </c>
      <c r="G4" s="1">
        <v>3.94</v>
      </c>
      <c r="H4" s="1">
        <v>3.18</v>
      </c>
      <c r="I4" s="1">
        <v>1</v>
      </c>
      <c r="J4" s="1" t="b">
        <v>0</v>
      </c>
      <c r="K4" s="1" t="b">
        <v>0</v>
      </c>
      <c r="L4" s="1" t="b">
        <v>0</v>
      </c>
      <c r="M4" s="1" t="b">
        <v>0</v>
      </c>
      <c r="N4" s="1" t="b">
        <v>1</v>
      </c>
      <c r="O4" s="1" t="b">
        <v>0</v>
      </c>
    </row>
    <row r="5" spans="1:15" ht="15.95" customHeight="1" x14ac:dyDescent="0.25">
      <c r="A5" s="4">
        <v>43736.525671296295</v>
      </c>
      <c r="B5" s="1" t="s">
        <v>2704</v>
      </c>
      <c r="C5" s="1" t="s">
        <v>2705</v>
      </c>
      <c r="D5" s="1" t="s">
        <v>2711</v>
      </c>
      <c r="E5" s="1" t="s">
        <v>2712</v>
      </c>
      <c r="F5" s="1">
        <v>3.68</v>
      </c>
      <c r="G5" s="1">
        <v>3.94</v>
      </c>
      <c r="H5" s="1">
        <v>3.18</v>
      </c>
      <c r="I5" s="1">
        <v>1</v>
      </c>
      <c r="J5" s="1" t="b">
        <v>0</v>
      </c>
      <c r="K5" s="1" t="b">
        <v>0</v>
      </c>
      <c r="L5" s="1" t="b">
        <v>0</v>
      </c>
      <c r="M5" s="1" t="b">
        <v>0</v>
      </c>
      <c r="N5" s="1" t="b">
        <v>1</v>
      </c>
      <c r="O5" s="1" t="b">
        <v>0</v>
      </c>
    </row>
    <row r="6" spans="1:15" ht="15.95" customHeight="1" x14ac:dyDescent="0.25">
      <c r="A6" s="4">
        <v>43736.525671296295</v>
      </c>
      <c r="B6" s="1" t="s">
        <v>2704</v>
      </c>
      <c r="C6" s="1" t="s">
        <v>2705</v>
      </c>
      <c r="D6" s="1" t="s">
        <v>2713</v>
      </c>
      <c r="E6" s="1" t="s">
        <v>2714</v>
      </c>
      <c r="F6" s="1">
        <v>3.68</v>
      </c>
      <c r="G6" s="1">
        <v>3.94</v>
      </c>
      <c r="H6" s="1">
        <v>3.18</v>
      </c>
      <c r="I6" s="1">
        <v>1</v>
      </c>
      <c r="J6" s="1" t="b">
        <v>0</v>
      </c>
      <c r="K6" s="1" t="b">
        <v>0</v>
      </c>
      <c r="L6" s="1" t="b">
        <v>0</v>
      </c>
      <c r="M6" s="1" t="b">
        <v>0</v>
      </c>
      <c r="N6" s="1" t="b">
        <v>1</v>
      </c>
      <c r="O6" s="1" t="b">
        <v>0</v>
      </c>
    </row>
    <row r="7" spans="1:15" ht="15.95" customHeight="1" x14ac:dyDescent="0.25">
      <c r="A7" s="4">
        <v>43736.525671296295</v>
      </c>
      <c r="B7" s="1" t="s">
        <v>2704</v>
      </c>
      <c r="C7" s="1" t="s">
        <v>2705</v>
      </c>
      <c r="D7" s="1" t="s">
        <v>2703</v>
      </c>
      <c r="E7" s="1" t="s">
        <v>2715</v>
      </c>
      <c r="F7" s="1">
        <v>3.68</v>
      </c>
      <c r="G7" s="1">
        <v>3.94</v>
      </c>
      <c r="H7" s="1">
        <v>3.18</v>
      </c>
      <c r="I7" s="1">
        <v>1</v>
      </c>
      <c r="J7" s="1" t="b">
        <v>0</v>
      </c>
      <c r="K7" s="1" t="b">
        <v>0</v>
      </c>
      <c r="L7" s="1" t="b">
        <v>0</v>
      </c>
      <c r="M7" s="1" t="b">
        <v>0</v>
      </c>
      <c r="N7" s="1" t="b">
        <v>1</v>
      </c>
      <c r="O7" s="1" t="b">
        <v>0</v>
      </c>
    </row>
    <row r="8" spans="1:15" ht="15.95" customHeight="1" x14ac:dyDescent="0.25">
      <c r="A8" s="4">
        <v>43736.525671296295</v>
      </c>
      <c r="B8" s="1" t="s">
        <v>2704</v>
      </c>
      <c r="C8" s="1" t="s">
        <v>2705</v>
      </c>
      <c r="D8" s="1" t="s">
        <v>2716</v>
      </c>
      <c r="E8" s="10" t="s">
        <v>2717</v>
      </c>
      <c r="F8" s="1">
        <v>3.68</v>
      </c>
      <c r="G8" s="1">
        <v>3.94</v>
      </c>
      <c r="H8" s="1">
        <v>3.18</v>
      </c>
      <c r="I8" s="1">
        <v>1</v>
      </c>
      <c r="J8" s="1" t="b">
        <v>0</v>
      </c>
      <c r="K8" s="1" t="b">
        <v>0</v>
      </c>
      <c r="L8" s="1" t="b">
        <v>0</v>
      </c>
      <c r="M8" s="1" t="b">
        <v>0</v>
      </c>
      <c r="N8" s="1" t="b">
        <v>1</v>
      </c>
      <c r="O8" s="1" t="b">
        <v>0</v>
      </c>
    </row>
    <row r="9" spans="1:15" ht="15.95" customHeight="1" x14ac:dyDescent="0.25">
      <c r="A9" s="4">
        <v>43736.525671296295</v>
      </c>
      <c r="B9" s="1" t="s">
        <v>2704</v>
      </c>
      <c r="C9" s="1" t="s">
        <v>2705</v>
      </c>
      <c r="D9" s="1" t="s">
        <v>2718</v>
      </c>
      <c r="E9" s="10" t="s">
        <v>2710</v>
      </c>
      <c r="F9" s="1">
        <v>3.68</v>
      </c>
      <c r="G9" s="1">
        <v>3.94</v>
      </c>
      <c r="H9" s="1">
        <v>3.18</v>
      </c>
      <c r="I9" s="1">
        <v>1</v>
      </c>
      <c r="J9" s="1" t="b">
        <v>0</v>
      </c>
      <c r="K9" s="1" t="b">
        <v>0</v>
      </c>
      <c r="L9" s="1" t="b">
        <v>0</v>
      </c>
      <c r="M9" s="1" t="b">
        <v>0</v>
      </c>
      <c r="N9" s="1" t="b">
        <v>1</v>
      </c>
      <c r="O9" s="1" t="b">
        <v>0</v>
      </c>
    </row>
    <row r="10" spans="1:15" ht="15.95" customHeight="1" x14ac:dyDescent="0.25">
      <c r="A10" s="4">
        <v>43736.525671296295</v>
      </c>
      <c r="B10" s="1" t="s">
        <v>2704</v>
      </c>
      <c r="C10" s="1" t="s">
        <v>2708</v>
      </c>
      <c r="D10" s="1" t="s">
        <v>2706</v>
      </c>
      <c r="E10" s="10" t="s">
        <v>2721</v>
      </c>
      <c r="F10" s="1">
        <v>3.68</v>
      </c>
      <c r="G10" s="1">
        <v>3.94</v>
      </c>
      <c r="H10" s="1">
        <v>3.18</v>
      </c>
      <c r="I10" s="1">
        <v>1</v>
      </c>
      <c r="J10" s="1" t="b">
        <v>0</v>
      </c>
      <c r="K10" s="1" t="b">
        <v>0</v>
      </c>
      <c r="L10" s="1" t="b">
        <v>0</v>
      </c>
      <c r="M10" s="1" t="b">
        <v>0</v>
      </c>
      <c r="N10" s="1" t="b">
        <v>1</v>
      </c>
      <c r="O10" s="1" t="b">
        <v>0</v>
      </c>
    </row>
    <row r="11" spans="1:15" ht="15.95" customHeight="1" x14ac:dyDescent="0.25">
      <c r="A11" s="4">
        <v>43736.534108796295</v>
      </c>
      <c r="B11" s="1" t="s">
        <v>2704</v>
      </c>
      <c r="C11" s="1" t="s">
        <v>2705</v>
      </c>
      <c r="D11" s="1" t="s">
        <v>2709</v>
      </c>
      <c r="E11" s="10" t="s">
        <v>2710</v>
      </c>
      <c r="F11" s="1">
        <v>3.68</v>
      </c>
      <c r="G11" s="1">
        <v>3.94</v>
      </c>
      <c r="H11" s="1">
        <v>3.18</v>
      </c>
      <c r="I11" s="1">
        <v>1</v>
      </c>
      <c r="J11" s="1" t="b">
        <v>0</v>
      </c>
      <c r="K11" s="1" t="b">
        <v>0</v>
      </c>
      <c r="L11" s="1" t="b">
        <v>0</v>
      </c>
      <c r="M11" s="1" t="b">
        <v>0</v>
      </c>
      <c r="N11" s="1" t="b">
        <v>1</v>
      </c>
      <c r="O11" s="1" t="b">
        <v>0</v>
      </c>
    </row>
    <row r="12" spans="1:15" ht="15.95" customHeight="1" x14ac:dyDescent="0.25">
      <c r="A12" s="4">
        <v>43736.534108796295</v>
      </c>
      <c r="B12" s="1" t="s">
        <v>2704</v>
      </c>
      <c r="C12" s="1" t="s">
        <v>2705</v>
      </c>
      <c r="D12" s="1" t="s">
        <v>2711</v>
      </c>
      <c r="E12" s="1" t="s">
        <v>2712</v>
      </c>
      <c r="F12" s="1">
        <v>3.68</v>
      </c>
      <c r="G12" s="1">
        <v>3.94</v>
      </c>
      <c r="H12" s="1">
        <v>3.18</v>
      </c>
      <c r="I12" s="1">
        <v>1</v>
      </c>
      <c r="J12" s="1" t="b">
        <v>0</v>
      </c>
      <c r="K12" s="1" t="b">
        <v>0</v>
      </c>
      <c r="L12" s="1" t="b">
        <v>0</v>
      </c>
      <c r="M12" s="1" t="b">
        <v>0</v>
      </c>
      <c r="N12" s="1" t="b">
        <v>1</v>
      </c>
      <c r="O12" s="1" t="b">
        <v>0</v>
      </c>
    </row>
    <row r="13" spans="1:15" ht="15.95" customHeight="1" x14ac:dyDescent="0.25">
      <c r="A13" s="4">
        <v>43736.534108796295</v>
      </c>
      <c r="B13" s="1" t="s">
        <v>2704</v>
      </c>
      <c r="C13" s="1" t="s">
        <v>2705</v>
      </c>
      <c r="D13" s="1" t="s">
        <v>2713</v>
      </c>
      <c r="E13" s="1" t="s">
        <v>2722</v>
      </c>
      <c r="F13" s="1">
        <v>3.68</v>
      </c>
      <c r="G13" s="1">
        <v>3.94</v>
      </c>
      <c r="H13" s="1">
        <v>3.18</v>
      </c>
      <c r="I13" s="1">
        <v>1</v>
      </c>
      <c r="J13" s="1" t="b">
        <v>0</v>
      </c>
      <c r="K13" s="1" t="b">
        <v>0</v>
      </c>
      <c r="L13" s="1" t="b">
        <v>0</v>
      </c>
      <c r="M13" s="1" t="b">
        <v>0</v>
      </c>
      <c r="N13" s="1" t="b">
        <v>1</v>
      </c>
      <c r="O13" s="1" t="b">
        <v>0</v>
      </c>
    </row>
    <row r="14" spans="1:15" ht="15.95" customHeight="1" x14ac:dyDescent="0.25">
      <c r="A14" s="4">
        <v>43736.534108796295</v>
      </c>
      <c r="B14" s="1" t="s">
        <v>2704</v>
      </c>
      <c r="C14" s="1" t="s">
        <v>2705</v>
      </c>
      <c r="D14" s="1" t="s">
        <v>2703</v>
      </c>
      <c r="E14" s="1" t="s">
        <v>2723</v>
      </c>
      <c r="F14" s="1">
        <v>3.68</v>
      </c>
      <c r="G14" s="1">
        <v>3.94</v>
      </c>
      <c r="H14" s="1">
        <v>3.18</v>
      </c>
      <c r="I14" s="1">
        <v>1</v>
      </c>
      <c r="J14" s="1" t="b">
        <v>0</v>
      </c>
      <c r="K14" s="1" t="b">
        <v>0</v>
      </c>
      <c r="L14" s="1" t="b">
        <v>0</v>
      </c>
      <c r="M14" s="1" t="b">
        <v>0</v>
      </c>
      <c r="N14" s="1" t="b">
        <v>1</v>
      </c>
      <c r="O14" s="1" t="b">
        <v>0</v>
      </c>
    </row>
    <row r="15" spans="1:15" ht="15.95" customHeight="1" x14ac:dyDescent="0.25">
      <c r="A15" s="4">
        <v>43736.534108796295</v>
      </c>
      <c r="B15" s="1" t="s">
        <v>2704</v>
      </c>
      <c r="C15" s="1" t="s">
        <v>2705</v>
      </c>
      <c r="D15" s="1" t="s">
        <v>2716</v>
      </c>
      <c r="E15" s="10" t="s">
        <v>2717</v>
      </c>
      <c r="F15" s="1">
        <v>3.68</v>
      </c>
      <c r="G15" s="1">
        <v>3.94</v>
      </c>
      <c r="H15" s="1">
        <v>3.18</v>
      </c>
      <c r="I15" s="1">
        <v>1</v>
      </c>
      <c r="J15" s="1" t="b">
        <v>0</v>
      </c>
      <c r="K15" s="1" t="b">
        <v>0</v>
      </c>
      <c r="L15" s="1" t="b">
        <v>0</v>
      </c>
      <c r="M15" s="1" t="b">
        <v>0</v>
      </c>
      <c r="N15" s="1" t="b">
        <v>1</v>
      </c>
      <c r="O15" s="1" t="b">
        <v>0</v>
      </c>
    </row>
    <row r="16" spans="1:15" ht="15.95" customHeight="1" x14ac:dyDescent="0.25">
      <c r="A16" s="4">
        <v>43736.534108796295</v>
      </c>
      <c r="B16" s="1" t="s">
        <v>2704</v>
      </c>
      <c r="C16" s="1" t="s">
        <v>2705</v>
      </c>
      <c r="D16" s="1" t="s">
        <v>2718</v>
      </c>
      <c r="E16" s="10" t="s">
        <v>2710</v>
      </c>
      <c r="F16" s="1">
        <v>3.68</v>
      </c>
      <c r="G16" s="1">
        <v>3.94</v>
      </c>
      <c r="H16" s="1">
        <v>3.18</v>
      </c>
      <c r="I16" s="1">
        <v>1</v>
      </c>
      <c r="J16" s="1" t="b">
        <v>0</v>
      </c>
      <c r="K16" s="1" t="b">
        <v>0</v>
      </c>
      <c r="L16" s="1" t="b">
        <v>0</v>
      </c>
      <c r="M16" s="1" t="b">
        <v>0</v>
      </c>
      <c r="N16" s="1" t="b">
        <v>1</v>
      </c>
      <c r="O16" s="1" t="b">
        <v>0</v>
      </c>
    </row>
    <row r="17" spans="1:15" ht="15.95" customHeight="1" x14ac:dyDescent="0.25">
      <c r="A17" s="4">
        <v>43736.534120370372</v>
      </c>
      <c r="B17" s="1" t="s">
        <v>2704</v>
      </c>
      <c r="C17" s="1" t="s">
        <v>2708</v>
      </c>
      <c r="D17" s="1" t="s">
        <v>2706</v>
      </c>
      <c r="E17" s="1" t="s">
        <v>2721</v>
      </c>
      <c r="F17" s="1">
        <v>3.68</v>
      </c>
      <c r="G17" s="1">
        <v>3.94</v>
      </c>
      <c r="H17" s="1">
        <v>3.18</v>
      </c>
      <c r="I17" s="1">
        <v>1</v>
      </c>
      <c r="J17" s="1" t="b">
        <v>0</v>
      </c>
      <c r="K17" s="1" t="b">
        <v>0</v>
      </c>
      <c r="L17" s="1" t="b">
        <v>0</v>
      </c>
      <c r="M17" s="1" t="b">
        <v>0</v>
      </c>
      <c r="N17" s="1" t="b">
        <v>1</v>
      </c>
      <c r="O17" s="1" t="b">
        <v>0</v>
      </c>
    </row>
    <row r="18" spans="1:15" ht="15.95" customHeight="1" x14ac:dyDescent="0.25">
      <c r="A18" s="4">
        <v>43736.534398148149</v>
      </c>
      <c r="B18" s="1" t="s">
        <v>2704</v>
      </c>
      <c r="C18" s="1" t="s">
        <v>2705</v>
      </c>
      <c r="D18" s="1" t="s">
        <v>2709</v>
      </c>
      <c r="E18" s="10" t="s">
        <v>2710</v>
      </c>
      <c r="F18" s="1">
        <v>3.68</v>
      </c>
      <c r="G18" s="1">
        <v>3.94</v>
      </c>
      <c r="H18" s="1">
        <v>3.18</v>
      </c>
      <c r="I18" s="1">
        <v>1</v>
      </c>
      <c r="J18" s="1" t="b">
        <v>0</v>
      </c>
      <c r="K18" s="1" t="b">
        <v>0</v>
      </c>
      <c r="L18" s="1" t="b">
        <v>0</v>
      </c>
      <c r="M18" s="1" t="b">
        <v>0</v>
      </c>
      <c r="N18" s="1" t="b">
        <v>1</v>
      </c>
      <c r="O18" s="1" t="b">
        <v>0</v>
      </c>
    </row>
    <row r="19" spans="1:15" ht="15.95" customHeight="1" x14ac:dyDescent="0.25">
      <c r="A19" s="4">
        <v>43736.534398148149</v>
      </c>
      <c r="B19" s="1" t="s">
        <v>2704</v>
      </c>
      <c r="C19" s="1" t="s">
        <v>2705</v>
      </c>
      <c r="D19" s="1" t="s">
        <v>2711</v>
      </c>
      <c r="E19" s="1" t="s">
        <v>2712</v>
      </c>
      <c r="F19" s="1">
        <v>3.68</v>
      </c>
      <c r="G19" s="1">
        <v>3.94</v>
      </c>
      <c r="H19" s="1">
        <v>3.18</v>
      </c>
      <c r="I19" s="1">
        <v>1</v>
      </c>
      <c r="J19" s="1" t="b">
        <v>0</v>
      </c>
      <c r="K19" s="1" t="b">
        <v>0</v>
      </c>
      <c r="L19" s="1" t="b">
        <v>0</v>
      </c>
      <c r="M19" s="1" t="b">
        <v>0</v>
      </c>
      <c r="N19" s="1" t="b">
        <v>1</v>
      </c>
      <c r="O19" s="1" t="b">
        <v>0</v>
      </c>
    </row>
    <row r="20" spans="1:15" ht="15.95" customHeight="1" x14ac:dyDescent="0.25">
      <c r="A20" s="4">
        <v>43736.534398148149</v>
      </c>
      <c r="B20" s="1" t="s">
        <v>2704</v>
      </c>
      <c r="C20" s="1" t="s">
        <v>2705</v>
      </c>
      <c r="D20" s="1" t="s">
        <v>2713</v>
      </c>
      <c r="E20" s="1" t="s">
        <v>2724</v>
      </c>
      <c r="F20" s="1">
        <v>3.68</v>
      </c>
      <c r="G20" s="1">
        <v>3.94</v>
      </c>
      <c r="H20" s="1">
        <v>3.18</v>
      </c>
      <c r="I20" s="1">
        <v>1</v>
      </c>
      <c r="J20" s="1" t="b">
        <v>0</v>
      </c>
      <c r="K20" s="1" t="b">
        <v>0</v>
      </c>
      <c r="L20" s="1" t="b">
        <v>0</v>
      </c>
      <c r="M20" s="1" t="b">
        <v>0</v>
      </c>
      <c r="N20" s="1" t="b">
        <v>1</v>
      </c>
      <c r="O20" s="1" t="b">
        <v>0</v>
      </c>
    </row>
    <row r="21" spans="1:15" ht="15.95" customHeight="1" x14ac:dyDescent="0.25">
      <c r="A21" s="4">
        <v>43736.534398148149</v>
      </c>
      <c r="B21" s="1" t="s">
        <v>2704</v>
      </c>
      <c r="C21" s="1" t="s">
        <v>2705</v>
      </c>
      <c r="D21" s="1" t="s">
        <v>2703</v>
      </c>
      <c r="E21" s="1" t="s">
        <v>2725</v>
      </c>
      <c r="F21" s="1">
        <v>3.68</v>
      </c>
      <c r="G21" s="1">
        <v>3.94</v>
      </c>
      <c r="H21" s="1">
        <v>3.18</v>
      </c>
      <c r="I21" s="1">
        <v>1</v>
      </c>
      <c r="J21" s="1" t="b">
        <v>0</v>
      </c>
      <c r="K21" s="1" t="b">
        <v>0</v>
      </c>
      <c r="L21" s="1" t="b">
        <v>0</v>
      </c>
      <c r="M21" s="1" t="b">
        <v>0</v>
      </c>
      <c r="N21" s="1" t="b">
        <v>1</v>
      </c>
      <c r="O21" s="1" t="b">
        <v>0</v>
      </c>
    </row>
    <row r="22" spans="1:15" ht="15.95" customHeight="1" x14ac:dyDescent="0.25">
      <c r="A22" s="4">
        <v>43736.534398148149</v>
      </c>
      <c r="B22" s="1" t="s">
        <v>2704</v>
      </c>
      <c r="C22" s="1" t="s">
        <v>2705</v>
      </c>
      <c r="D22" s="1" t="s">
        <v>2716</v>
      </c>
      <c r="E22" s="1" t="s">
        <v>2726</v>
      </c>
      <c r="F22" s="1">
        <v>3.68</v>
      </c>
      <c r="G22" s="1">
        <v>3.94</v>
      </c>
      <c r="H22" s="1">
        <v>3.18</v>
      </c>
      <c r="I22" s="1">
        <v>1</v>
      </c>
      <c r="J22" s="1" t="b">
        <v>0</v>
      </c>
      <c r="K22" s="1" t="b">
        <v>0</v>
      </c>
      <c r="L22" s="1" t="b">
        <v>0</v>
      </c>
      <c r="M22" s="1" t="b">
        <v>0</v>
      </c>
      <c r="N22" s="1" t="b">
        <v>1</v>
      </c>
      <c r="O22" s="1" t="b">
        <v>0</v>
      </c>
    </row>
    <row r="23" spans="1:15" ht="15.95" customHeight="1" x14ac:dyDescent="0.25">
      <c r="A23" s="4">
        <v>43736.534398148149</v>
      </c>
      <c r="B23" s="1" t="s">
        <v>2704</v>
      </c>
      <c r="C23" s="1" t="s">
        <v>2705</v>
      </c>
      <c r="D23" s="1" t="s">
        <v>2718</v>
      </c>
      <c r="E23" s="10" t="s">
        <v>2710</v>
      </c>
      <c r="F23" s="1">
        <v>3.68</v>
      </c>
      <c r="G23" s="1">
        <v>3.94</v>
      </c>
      <c r="H23" s="1">
        <v>3.18</v>
      </c>
      <c r="I23" s="1">
        <v>1</v>
      </c>
      <c r="J23" s="1" t="b">
        <v>0</v>
      </c>
      <c r="K23" s="1" t="b">
        <v>0</v>
      </c>
      <c r="L23" s="1" t="b">
        <v>0</v>
      </c>
      <c r="M23" s="1" t="b">
        <v>0</v>
      </c>
      <c r="N23" s="1" t="b">
        <v>1</v>
      </c>
      <c r="O23" s="1" t="b">
        <v>0</v>
      </c>
    </row>
    <row r="24" spans="1:15" ht="15.95" customHeight="1" x14ac:dyDescent="0.25">
      <c r="A24" s="4">
        <v>43736.534421296295</v>
      </c>
      <c r="B24" s="1" t="s">
        <v>2704</v>
      </c>
      <c r="C24" s="1" t="s">
        <v>2708</v>
      </c>
      <c r="D24" s="1"/>
      <c r="E24" s="1" t="s">
        <v>2721</v>
      </c>
      <c r="F24" s="1">
        <v>3.68</v>
      </c>
      <c r="G24" s="1">
        <v>3.94</v>
      </c>
      <c r="H24" s="1">
        <v>3.18</v>
      </c>
      <c r="I24" s="1">
        <v>1</v>
      </c>
      <c r="J24" s="1" t="b">
        <v>0</v>
      </c>
      <c r="K24" s="1" t="b">
        <v>0</v>
      </c>
      <c r="L24" s="1" t="b">
        <v>0</v>
      </c>
      <c r="M24" s="1" t="b">
        <v>0</v>
      </c>
      <c r="N24" s="1" t="b">
        <v>1</v>
      </c>
      <c r="O24" s="1" t="b">
        <v>0</v>
      </c>
    </row>
    <row r="25" spans="1:15" ht="15.95" customHeight="1" x14ac:dyDescent="0.25">
      <c r="A25" s="4">
        <v>43736.539247685185</v>
      </c>
      <c r="B25" s="1" t="s">
        <v>2704</v>
      </c>
      <c r="C25" s="1" t="s">
        <v>2705</v>
      </c>
      <c r="D25" s="1" t="s">
        <v>2709</v>
      </c>
      <c r="E25" s="10" t="s">
        <v>2710</v>
      </c>
      <c r="F25" s="1">
        <v>3.68</v>
      </c>
      <c r="G25" s="1">
        <v>3.94</v>
      </c>
      <c r="H25" s="1">
        <v>3.18</v>
      </c>
      <c r="I25" s="1">
        <v>1</v>
      </c>
      <c r="J25" s="1" t="b">
        <v>0</v>
      </c>
      <c r="K25" s="1" t="b">
        <v>0</v>
      </c>
      <c r="L25" s="1" t="b">
        <v>0</v>
      </c>
      <c r="M25" s="1" t="b">
        <v>0</v>
      </c>
      <c r="N25" s="1" t="b">
        <v>1</v>
      </c>
      <c r="O25" s="1" t="b">
        <v>0</v>
      </c>
    </row>
    <row r="26" spans="1:15" ht="15.95" customHeight="1" x14ac:dyDescent="0.25">
      <c r="A26" s="4">
        <v>43736.539247685185</v>
      </c>
      <c r="B26" s="1" t="s">
        <v>2704</v>
      </c>
      <c r="C26" s="1" t="s">
        <v>2705</v>
      </c>
      <c r="D26" s="1" t="s">
        <v>2711</v>
      </c>
      <c r="E26" s="1" t="s">
        <v>2727</v>
      </c>
      <c r="F26" s="1">
        <v>3.68</v>
      </c>
      <c r="G26" s="1">
        <v>3.94</v>
      </c>
      <c r="H26" s="1">
        <v>3.18</v>
      </c>
      <c r="I26" s="1">
        <v>1</v>
      </c>
      <c r="J26" s="1" t="b">
        <v>0</v>
      </c>
      <c r="K26" s="1" t="b">
        <v>0</v>
      </c>
      <c r="L26" s="1" t="b">
        <v>0</v>
      </c>
      <c r="M26" s="1" t="b">
        <v>0</v>
      </c>
      <c r="N26" s="1" t="b">
        <v>1</v>
      </c>
      <c r="O26" s="1" t="b">
        <v>0</v>
      </c>
    </row>
    <row r="27" spans="1:15" ht="15.95" customHeight="1" x14ac:dyDescent="0.25">
      <c r="A27" s="4">
        <v>43736.539247685185</v>
      </c>
      <c r="B27" s="1" t="s">
        <v>2704</v>
      </c>
      <c r="C27" s="1" t="s">
        <v>2705</v>
      </c>
      <c r="D27" s="1" t="s">
        <v>2713</v>
      </c>
      <c r="E27" s="1" t="s">
        <v>2728</v>
      </c>
      <c r="F27" s="1">
        <v>3.68</v>
      </c>
      <c r="G27" s="1">
        <v>3.94</v>
      </c>
      <c r="H27" s="1">
        <v>3.18</v>
      </c>
      <c r="I27" s="1">
        <v>1</v>
      </c>
      <c r="J27" s="1" t="b">
        <v>0</v>
      </c>
      <c r="K27" s="1" t="b">
        <v>0</v>
      </c>
      <c r="L27" s="1" t="b">
        <v>0</v>
      </c>
      <c r="M27" s="1" t="b">
        <v>0</v>
      </c>
      <c r="N27" s="1" t="b">
        <v>1</v>
      </c>
      <c r="O27" s="1" t="b">
        <v>0</v>
      </c>
    </row>
    <row r="28" spans="1:15" ht="15.95" customHeight="1" x14ac:dyDescent="0.25">
      <c r="A28" s="4">
        <v>43736.539247685185</v>
      </c>
      <c r="B28" s="1" t="s">
        <v>2704</v>
      </c>
      <c r="C28" s="1" t="s">
        <v>2705</v>
      </c>
      <c r="D28" s="1" t="s">
        <v>2703</v>
      </c>
      <c r="E28" s="1" t="s">
        <v>2729</v>
      </c>
      <c r="F28" s="1">
        <v>3.68</v>
      </c>
      <c r="G28" s="1">
        <v>3.94</v>
      </c>
      <c r="H28" s="1">
        <v>3.18</v>
      </c>
      <c r="I28" s="1">
        <v>1</v>
      </c>
      <c r="J28" s="1" t="b">
        <v>0</v>
      </c>
      <c r="K28" s="1" t="b">
        <v>0</v>
      </c>
      <c r="L28" s="1" t="b">
        <v>0</v>
      </c>
      <c r="M28" s="1" t="b">
        <v>0</v>
      </c>
      <c r="N28" s="1" t="b">
        <v>1</v>
      </c>
      <c r="O28" s="1" t="b">
        <v>0</v>
      </c>
    </row>
    <row r="29" spans="1:15" ht="15.95" customHeight="1" x14ac:dyDescent="0.25">
      <c r="A29" s="4">
        <v>43736.539247685185</v>
      </c>
      <c r="B29" s="1" t="s">
        <v>2704</v>
      </c>
      <c r="C29" s="1" t="s">
        <v>2705</v>
      </c>
      <c r="D29" s="1" t="s">
        <v>2716</v>
      </c>
      <c r="E29" s="1" t="s">
        <v>2730</v>
      </c>
      <c r="F29" s="1">
        <v>3.68</v>
      </c>
      <c r="G29" s="1">
        <v>3.94</v>
      </c>
      <c r="H29" s="1">
        <v>3.18</v>
      </c>
      <c r="I29" s="1">
        <v>1</v>
      </c>
      <c r="J29" s="1" t="b">
        <v>0</v>
      </c>
      <c r="K29" s="1" t="b">
        <v>0</v>
      </c>
      <c r="L29" s="1" t="b">
        <v>0</v>
      </c>
      <c r="M29" s="1" t="b">
        <v>0</v>
      </c>
      <c r="N29" s="1" t="b">
        <v>1</v>
      </c>
      <c r="O29" s="1" t="b">
        <v>0</v>
      </c>
    </row>
    <row r="30" spans="1:15" ht="15.95" customHeight="1" x14ac:dyDescent="0.25">
      <c r="A30" s="4">
        <v>43736.539247685185</v>
      </c>
      <c r="B30" s="1" t="s">
        <v>2704</v>
      </c>
      <c r="C30" s="1" t="s">
        <v>2705</v>
      </c>
      <c r="D30" s="1" t="s">
        <v>2718</v>
      </c>
      <c r="E30" s="10" t="s">
        <v>2710</v>
      </c>
      <c r="F30" s="1">
        <v>3.68</v>
      </c>
      <c r="G30" s="1">
        <v>3.94</v>
      </c>
      <c r="H30" s="1">
        <v>3.18</v>
      </c>
      <c r="I30" s="1">
        <v>1</v>
      </c>
      <c r="J30" s="1" t="b">
        <v>0</v>
      </c>
      <c r="K30" s="1" t="b">
        <v>0</v>
      </c>
      <c r="L30" s="1" t="b">
        <v>0</v>
      </c>
      <c r="M30" s="1" t="b">
        <v>0</v>
      </c>
      <c r="N30" s="1" t="b">
        <v>1</v>
      </c>
      <c r="O30" s="1" t="b">
        <v>0</v>
      </c>
    </row>
    <row r="31" spans="1:15" ht="15.95" customHeight="1" x14ac:dyDescent="0.25">
      <c r="A31" s="4">
        <v>43736.539247685185</v>
      </c>
      <c r="B31" s="1" t="s">
        <v>2704</v>
      </c>
      <c r="C31" s="1" t="s">
        <v>2731</v>
      </c>
      <c r="D31" s="1" t="s">
        <v>2706</v>
      </c>
      <c r="E31" s="1" t="s">
        <v>2721</v>
      </c>
      <c r="F31" s="1">
        <v>3.68</v>
      </c>
      <c r="G31" s="1">
        <v>3.94</v>
      </c>
      <c r="H31" s="1">
        <v>3.18</v>
      </c>
      <c r="I31" s="1">
        <v>1</v>
      </c>
      <c r="J31" s="1" t="b">
        <v>0</v>
      </c>
      <c r="K31" s="1" t="b">
        <v>0</v>
      </c>
      <c r="L31" s="1" t="b">
        <v>0</v>
      </c>
      <c r="M31" s="1" t="b">
        <v>0</v>
      </c>
      <c r="N31" s="1" t="b">
        <v>1</v>
      </c>
      <c r="O31" s="1" t="b">
        <v>0</v>
      </c>
    </row>
    <row r="32" spans="1:15" ht="15.95" customHeight="1" x14ac:dyDescent="0.25">
      <c r="A32" s="4">
        <v>43736.539247685185</v>
      </c>
      <c r="B32" s="1" t="s">
        <v>2704</v>
      </c>
      <c r="C32" s="1" t="s">
        <v>2705</v>
      </c>
      <c r="D32" s="1" t="s">
        <v>2709</v>
      </c>
      <c r="E32" s="10" t="s">
        <v>2710</v>
      </c>
      <c r="F32" s="1">
        <v>3.68</v>
      </c>
      <c r="G32" s="1">
        <v>3.94</v>
      </c>
      <c r="H32" s="1">
        <v>3.18</v>
      </c>
      <c r="I32" s="1">
        <v>1</v>
      </c>
      <c r="J32" s="1" t="b">
        <v>0</v>
      </c>
      <c r="K32" s="1" t="b">
        <v>0</v>
      </c>
      <c r="L32" s="1" t="b">
        <v>0</v>
      </c>
      <c r="M32" s="1" t="b">
        <v>0</v>
      </c>
      <c r="N32" s="1" t="b">
        <v>1</v>
      </c>
      <c r="O32" s="1" t="b">
        <v>0</v>
      </c>
    </row>
    <row r="33" spans="1:15" ht="15.95" customHeight="1" x14ac:dyDescent="0.25">
      <c r="A33" s="4">
        <v>43736.539247685185</v>
      </c>
      <c r="B33" s="1" t="s">
        <v>2704</v>
      </c>
      <c r="C33" s="1" t="s">
        <v>2705</v>
      </c>
      <c r="D33" s="1" t="s">
        <v>2711</v>
      </c>
      <c r="E33" s="1" t="s">
        <v>2732</v>
      </c>
      <c r="F33" s="1">
        <v>3.68</v>
      </c>
      <c r="G33" s="1">
        <v>3.94</v>
      </c>
      <c r="H33" s="1">
        <v>3.18</v>
      </c>
      <c r="I33" s="1">
        <v>1</v>
      </c>
      <c r="J33" s="1" t="b">
        <v>0</v>
      </c>
      <c r="K33" s="1" t="b">
        <v>0</v>
      </c>
      <c r="L33" s="1" t="b">
        <v>0</v>
      </c>
      <c r="M33" s="1" t="b">
        <v>0</v>
      </c>
      <c r="N33" s="1" t="b">
        <v>1</v>
      </c>
      <c r="O33" s="1" t="b">
        <v>0</v>
      </c>
    </row>
    <row r="34" spans="1:15" ht="15.95" customHeight="1" x14ac:dyDescent="0.25">
      <c r="A34" s="4">
        <v>43736.539247685185</v>
      </c>
      <c r="B34" s="1" t="s">
        <v>2704</v>
      </c>
      <c r="C34" s="1" t="s">
        <v>2705</v>
      </c>
      <c r="D34" s="1" t="s">
        <v>2713</v>
      </c>
      <c r="E34" s="1" t="s">
        <v>2733</v>
      </c>
      <c r="F34" s="1">
        <v>3.68</v>
      </c>
      <c r="G34" s="1">
        <v>3.94</v>
      </c>
      <c r="H34" s="1">
        <v>3.18</v>
      </c>
      <c r="I34" s="1">
        <v>1</v>
      </c>
      <c r="J34" s="1" t="b">
        <v>0</v>
      </c>
      <c r="K34" s="1" t="b">
        <v>0</v>
      </c>
      <c r="L34" s="1" t="b">
        <v>0</v>
      </c>
      <c r="M34" s="1" t="b">
        <v>0</v>
      </c>
      <c r="N34" s="1" t="b">
        <v>1</v>
      </c>
      <c r="O34" s="1" t="b">
        <v>0</v>
      </c>
    </row>
    <row r="35" spans="1:15" ht="15.95" customHeight="1" x14ac:dyDescent="0.25">
      <c r="A35" s="4">
        <v>43736.539247685185</v>
      </c>
      <c r="B35" s="1" t="s">
        <v>2704</v>
      </c>
      <c r="C35" s="1" t="s">
        <v>2705</v>
      </c>
      <c r="D35" s="1" t="s">
        <v>2703</v>
      </c>
      <c r="E35" s="1" t="s">
        <v>2734</v>
      </c>
      <c r="F35" s="1">
        <v>3.68</v>
      </c>
      <c r="G35" s="1">
        <v>3.94</v>
      </c>
      <c r="H35" s="1">
        <v>3.18</v>
      </c>
      <c r="I35" s="1">
        <v>1</v>
      </c>
      <c r="J35" s="1" t="b">
        <v>0</v>
      </c>
      <c r="K35" s="1" t="b">
        <v>0</v>
      </c>
      <c r="L35" s="1" t="b">
        <v>0</v>
      </c>
      <c r="M35" s="1" t="b">
        <v>0</v>
      </c>
      <c r="N35" s="1" t="b">
        <v>1</v>
      </c>
      <c r="O35" s="1" t="b">
        <v>0</v>
      </c>
    </row>
    <row r="36" spans="1:15" ht="15.95" customHeight="1" x14ac:dyDescent="0.25">
      <c r="A36" s="4">
        <v>43736.539247685185</v>
      </c>
      <c r="B36" s="1" t="s">
        <v>2704</v>
      </c>
      <c r="C36" s="1" t="s">
        <v>2705</v>
      </c>
      <c r="D36" s="1" t="s">
        <v>2716</v>
      </c>
      <c r="E36" s="1" t="s">
        <v>2735</v>
      </c>
      <c r="F36" s="1">
        <v>3.68</v>
      </c>
      <c r="G36" s="1">
        <v>3.94</v>
      </c>
      <c r="H36" s="1">
        <v>3.18</v>
      </c>
      <c r="I36" s="1">
        <v>1</v>
      </c>
      <c r="J36" s="1" t="b">
        <v>0</v>
      </c>
      <c r="K36" s="1" t="b">
        <v>0</v>
      </c>
      <c r="L36" s="1" t="b">
        <v>0</v>
      </c>
      <c r="M36" s="1" t="b">
        <v>0</v>
      </c>
      <c r="N36" s="1" t="b">
        <v>1</v>
      </c>
      <c r="O36" s="1" t="b">
        <v>0</v>
      </c>
    </row>
    <row r="37" spans="1:15" ht="15.95" customHeight="1" x14ac:dyDescent="0.25">
      <c r="A37" s="4">
        <v>43736.539247685185</v>
      </c>
      <c r="B37" s="1" t="s">
        <v>2704</v>
      </c>
      <c r="C37" s="1" t="s">
        <v>2705</v>
      </c>
      <c r="D37" s="1" t="s">
        <v>2718</v>
      </c>
      <c r="E37" s="10" t="s">
        <v>2710</v>
      </c>
      <c r="F37" s="1">
        <v>3.68</v>
      </c>
      <c r="G37" s="1">
        <v>3.94</v>
      </c>
      <c r="H37" s="1">
        <v>3.18</v>
      </c>
      <c r="I37" s="1">
        <v>1</v>
      </c>
      <c r="J37" s="1" t="b">
        <v>0</v>
      </c>
      <c r="K37" s="1" t="b">
        <v>0</v>
      </c>
      <c r="L37" s="1" t="b">
        <v>0</v>
      </c>
      <c r="M37" s="1" t="b">
        <v>0</v>
      </c>
      <c r="N37" s="1" t="b">
        <v>1</v>
      </c>
      <c r="O37" s="1" t="b">
        <v>0</v>
      </c>
    </row>
    <row r="38" spans="1:15" ht="15.95" customHeight="1" x14ac:dyDescent="0.25">
      <c r="A38" s="4">
        <v>43736.539259259262</v>
      </c>
      <c r="B38" s="1" t="s">
        <v>2704</v>
      </c>
      <c r="C38" s="1" t="s">
        <v>2736</v>
      </c>
      <c r="D38" s="1" t="s">
        <v>2706</v>
      </c>
      <c r="E38" s="10" t="s">
        <v>2721</v>
      </c>
      <c r="F38" s="1">
        <v>3.68</v>
      </c>
      <c r="G38" s="1">
        <v>3.94</v>
      </c>
      <c r="H38" s="1">
        <v>3.18</v>
      </c>
      <c r="I38" s="1">
        <v>1</v>
      </c>
      <c r="J38" s="1" t="b">
        <v>0</v>
      </c>
      <c r="K38" s="1" t="b">
        <v>0</v>
      </c>
      <c r="L38" s="1" t="b">
        <v>0</v>
      </c>
      <c r="M38" s="1" t="b">
        <v>0</v>
      </c>
      <c r="N38" s="1" t="b">
        <v>1</v>
      </c>
      <c r="O38" s="1" t="b">
        <v>0</v>
      </c>
    </row>
    <row r="39" spans="1:15" ht="15.95" customHeight="1" x14ac:dyDescent="0.25">
      <c r="A39" s="4">
        <v>43736.539259259262</v>
      </c>
      <c r="B39" s="1" t="s">
        <v>2704</v>
      </c>
      <c r="C39" s="1" t="s">
        <v>2705</v>
      </c>
      <c r="D39" s="1" t="s">
        <v>2709</v>
      </c>
      <c r="E39" s="10" t="s">
        <v>2710</v>
      </c>
      <c r="F39" s="1">
        <v>3.68</v>
      </c>
      <c r="G39" s="1">
        <v>3.94</v>
      </c>
      <c r="H39" s="1">
        <v>3.18</v>
      </c>
      <c r="I39" s="1">
        <v>1</v>
      </c>
      <c r="J39" s="1" t="b">
        <v>0</v>
      </c>
      <c r="K39" s="1" t="b">
        <v>0</v>
      </c>
      <c r="L39" s="1" t="b">
        <v>0</v>
      </c>
      <c r="M39" s="1" t="b">
        <v>0</v>
      </c>
      <c r="N39" s="1" t="b">
        <v>1</v>
      </c>
      <c r="O39" s="1" t="b">
        <v>0</v>
      </c>
    </row>
    <row r="40" spans="1:15" ht="15.95" customHeight="1" x14ac:dyDescent="0.25">
      <c r="A40" s="4">
        <v>43736.539259259262</v>
      </c>
      <c r="B40" s="1" t="s">
        <v>2704</v>
      </c>
      <c r="C40" s="1" t="s">
        <v>2705</v>
      </c>
      <c r="D40" s="1" t="s">
        <v>2711</v>
      </c>
      <c r="E40" s="1" t="s">
        <v>2723</v>
      </c>
      <c r="F40" s="1">
        <v>3.68</v>
      </c>
      <c r="G40" s="1">
        <v>3.94</v>
      </c>
      <c r="H40" s="1">
        <v>3.18</v>
      </c>
      <c r="I40" s="1">
        <v>1</v>
      </c>
      <c r="J40" s="1" t="b">
        <v>0</v>
      </c>
      <c r="K40" s="1" t="b">
        <v>0</v>
      </c>
      <c r="L40" s="1" t="b">
        <v>0</v>
      </c>
      <c r="M40" s="1" t="b">
        <v>0</v>
      </c>
      <c r="N40" s="1" t="b">
        <v>1</v>
      </c>
      <c r="O40" s="1" t="b">
        <v>0</v>
      </c>
    </row>
    <row r="41" spans="1:15" ht="15.95" customHeight="1" x14ac:dyDescent="0.25">
      <c r="A41" s="4">
        <v>43736.539259259262</v>
      </c>
      <c r="B41" s="1" t="s">
        <v>2704</v>
      </c>
      <c r="C41" s="1" t="s">
        <v>2705</v>
      </c>
      <c r="D41" s="1" t="s">
        <v>2713</v>
      </c>
      <c r="E41" s="1" t="s">
        <v>2733</v>
      </c>
      <c r="F41" s="1">
        <v>3.68</v>
      </c>
      <c r="G41" s="1">
        <v>3.94</v>
      </c>
      <c r="H41" s="1">
        <v>3.18</v>
      </c>
      <c r="I41" s="1">
        <v>1</v>
      </c>
      <c r="J41" s="1" t="b">
        <v>0</v>
      </c>
      <c r="K41" s="1" t="b">
        <v>0</v>
      </c>
      <c r="L41" s="1" t="b">
        <v>0</v>
      </c>
      <c r="M41" s="1" t="b">
        <v>0</v>
      </c>
      <c r="N41" s="1" t="b">
        <v>1</v>
      </c>
      <c r="O41" s="1" t="b">
        <v>0</v>
      </c>
    </row>
    <row r="42" spans="1:15" ht="15.95" customHeight="1" x14ac:dyDescent="0.25">
      <c r="A42" s="4">
        <v>43736.539259259262</v>
      </c>
      <c r="B42" s="1" t="s">
        <v>2704</v>
      </c>
      <c r="C42" s="1" t="s">
        <v>2705</v>
      </c>
      <c r="D42" s="1" t="s">
        <v>2703</v>
      </c>
      <c r="E42" s="1" t="s">
        <v>2734</v>
      </c>
      <c r="F42" s="1">
        <v>3.68</v>
      </c>
      <c r="G42" s="1">
        <v>3.94</v>
      </c>
      <c r="H42" s="1">
        <v>3.18</v>
      </c>
      <c r="I42" s="1">
        <v>1</v>
      </c>
      <c r="J42" s="1" t="b">
        <v>0</v>
      </c>
      <c r="K42" s="1" t="b">
        <v>0</v>
      </c>
      <c r="L42" s="1" t="b">
        <v>0</v>
      </c>
      <c r="M42" s="1" t="b">
        <v>0</v>
      </c>
      <c r="N42" s="1" t="b">
        <v>1</v>
      </c>
      <c r="O42" s="1" t="b">
        <v>0</v>
      </c>
    </row>
    <row r="43" spans="1:15" ht="15.95" customHeight="1" x14ac:dyDescent="0.25">
      <c r="A43" s="4">
        <v>43736.539259259262</v>
      </c>
      <c r="B43" s="1" t="s">
        <v>2704</v>
      </c>
      <c r="C43" s="1" t="s">
        <v>2705</v>
      </c>
      <c r="D43" s="1" t="s">
        <v>2716</v>
      </c>
      <c r="E43" s="10" t="s">
        <v>2735</v>
      </c>
      <c r="F43" s="1">
        <v>3.68</v>
      </c>
      <c r="G43" s="1">
        <v>3.94</v>
      </c>
      <c r="H43" s="1">
        <v>3.18</v>
      </c>
      <c r="I43" s="1">
        <v>1</v>
      </c>
      <c r="J43" s="1" t="b">
        <v>0</v>
      </c>
      <c r="K43" s="1" t="b">
        <v>0</v>
      </c>
      <c r="L43" s="1" t="b">
        <v>0</v>
      </c>
      <c r="M43" s="1" t="b">
        <v>0</v>
      </c>
      <c r="N43" s="1" t="b">
        <v>1</v>
      </c>
      <c r="O43" s="1" t="b">
        <v>0</v>
      </c>
    </row>
    <row r="44" spans="1:15" ht="15.95" customHeight="1" x14ac:dyDescent="0.25">
      <c r="A44" s="4">
        <v>43736.539259259262</v>
      </c>
      <c r="B44" s="1" t="s">
        <v>2704</v>
      </c>
      <c r="C44" s="1" t="s">
        <v>2705</v>
      </c>
      <c r="D44" s="1" t="s">
        <v>2718</v>
      </c>
      <c r="E44" s="10" t="s">
        <v>2710</v>
      </c>
      <c r="F44" s="1">
        <v>3.68</v>
      </c>
      <c r="G44" s="1">
        <v>3.94</v>
      </c>
      <c r="H44" s="1">
        <v>3.18</v>
      </c>
      <c r="I44" s="1">
        <v>1</v>
      </c>
      <c r="J44" s="1" t="b">
        <v>0</v>
      </c>
      <c r="K44" s="1" t="b">
        <v>0</v>
      </c>
      <c r="L44" s="1" t="b">
        <v>0</v>
      </c>
      <c r="M44" s="1" t="b">
        <v>0</v>
      </c>
      <c r="N44" s="1" t="b">
        <v>1</v>
      </c>
      <c r="O44" s="1" t="b">
        <v>0</v>
      </c>
    </row>
    <row r="45" spans="1:15" ht="15.95" customHeight="1" x14ac:dyDescent="0.25">
      <c r="A45" s="4">
        <v>43736.539270833331</v>
      </c>
      <c r="B45" s="1" t="s">
        <v>2704</v>
      </c>
      <c r="C45" s="1" t="s">
        <v>2737</v>
      </c>
      <c r="D45" s="1" t="s">
        <v>2706</v>
      </c>
      <c r="E45" s="10" t="s">
        <v>2721</v>
      </c>
      <c r="F45" s="1">
        <v>3.68</v>
      </c>
      <c r="G45" s="1">
        <v>3.94</v>
      </c>
      <c r="H45" s="1">
        <v>3.18</v>
      </c>
      <c r="I45" s="1">
        <v>1</v>
      </c>
      <c r="J45" s="1" t="b">
        <v>0</v>
      </c>
      <c r="K45" s="1" t="b">
        <v>0</v>
      </c>
      <c r="L45" s="1" t="b">
        <v>0</v>
      </c>
      <c r="M45" s="1" t="b">
        <v>0</v>
      </c>
      <c r="N45" s="1" t="b">
        <v>1</v>
      </c>
      <c r="O45" s="1" t="b">
        <v>0</v>
      </c>
    </row>
    <row r="46" spans="1:15" ht="15.95" customHeight="1" x14ac:dyDescent="0.25">
      <c r="A46" s="4">
        <v>43736.539722222224</v>
      </c>
      <c r="B46" s="1" t="s">
        <v>2704</v>
      </c>
      <c r="C46" s="1" t="s">
        <v>2705</v>
      </c>
      <c r="D46" s="1" t="s">
        <v>2709</v>
      </c>
      <c r="E46" s="10" t="s">
        <v>2710</v>
      </c>
      <c r="F46" s="1">
        <v>3.68</v>
      </c>
      <c r="G46" s="1">
        <v>3.94</v>
      </c>
      <c r="H46" s="1">
        <v>3.18</v>
      </c>
      <c r="I46" s="1">
        <v>1</v>
      </c>
      <c r="J46" s="1" t="b">
        <v>0</v>
      </c>
      <c r="K46" s="1" t="b">
        <v>0</v>
      </c>
      <c r="L46" s="1" t="b">
        <v>0</v>
      </c>
      <c r="M46" s="1" t="b">
        <v>0</v>
      </c>
      <c r="N46" s="1" t="b">
        <v>1</v>
      </c>
      <c r="O46" s="1" t="b">
        <v>0</v>
      </c>
    </row>
    <row r="47" spans="1:15" ht="15.95" customHeight="1" x14ac:dyDescent="0.25">
      <c r="A47" s="4">
        <v>43736.539722222224</v>
      </c>
      <c r="B47" s="1" t="s">
        <v>2704</v>
      </c>
      <c r="C47" s="1" t="s">
        <v>2705</v>
      </c>
      <c r="D47" s="1" t="s">
        <v>2711</v>
      </c>
      <c r="E47" s="1" t="s">
        <v>2727</v>
      </c>
      <c r="F47" s="1">
        <v>3.68</v>
      </c>
      <c r="G47" s="1">
        <v>3.94</v>
      </c>
      <c r="H47" s="1">
        <v>3.18</v>
      </c>
      <c r="I47" s="1">
        <v>1</v>
      </c>
      <c r="J47" s="1" t="b">
        <v>0</v>
      </c>
      <c r="K47" s="1" t="b">
        <v>0</v>
      </c>
      <c r="L47" s="1" t="b">
        <v>0</v>
      </c>
      <c r="M47" s="1" t="b">
        <v>0</v>
      </c>
      <c r="N47" s="1" t="b">
        <v>1</v>
      </c>
      <c r="O47" s="1" t="b">
        <v>0</v>
      </c>
    </row>
    <row r="48" spans="1:15" ht="15.95" customHeight="1" x14ac:dyDescent="0.25">
      <c r="A48" s="4">
        <v>43736.539722222224</v>
      </c>
      <c r="B48" s="1" t="s">
        <v>2704</v>
      </c>
      <c r="C48" s="1" t="s">
        <v>2705</v>
      </c>
      <c r="D48" s="1" t="s">
        <v>2713</v>
      </c>
      <c r="E48" s="1" t="s">
        <v>2728</v>
      </c>
      <c r="F48" s="1">
        <v>3.68</v>
      </c>
      <c r="G48" s="1">
        <v>3.94</v>
      </c>
      <c r="H48" s="1">
        <v>3.18</v>
      </c>
      <c r="I48" s="1">
        <v>1</v>
      </c>
      <c r="J48" s="1" t="b">
        <v>0</v>
      </c>
      <c r="K48" s="1" t="b">
        <v>0</v>
      </c>
      <c r="L48" s="1" t="b">
        <v>0</v>
      </c>
      <c r="M48" s="1" t="b">
        <v>0</v>
      </c>
      <c r="N48" s="1" t="b">
        <v>1</v>
      </c>
      <c r="O48" s="1" t="b">
        <v>0</v>
      </c>
    </row>
    <row r="49" spans="1:15" ht="15.95" customHeight="1" x14ac:dyDescent="0.25">
      <c r="A49" s="4">
        <v>43736.539722222224</v>
      </c>
      <c r="B49" s="1" t="s">
        <v>2704</v>
      </c>
      <c r="C49" s="1" t="s">
        <v>2705</v>
      </c>
      <c r="D49" s="1" t="s">
        <v>2703</v>
      </c>
      <c r="E49" s="1" t="s">
        <v>2729</v>
      </c>
      <c r="F49" s="1">
        <v>3.68</v>
      </c>
      <c r="G49" s="1">
        <v>3.94</v>
      </c>
      <c r="H49" s="1">
        <v>3.18</v>
      </c>
      <c r="I49" s="1">
        <v>1</v>
      </c>
      <c r="J49" s="1" t="b">
        <v>0</v>
      </c>
      <c r="K49" s="1" t="b">
        <v>0</v>
      </c>
      <c r="L49" s="1" t="b">
        <v>0</v>
      </c>
      <c r="M49" s="1" t="b">
        <v>0</v>
      </c>
      <c r="N49" s="1" t="b">
        <v>1</v>
      </c>
      <c r="O49" s="1" t="b">
        <v>0</v>
      </c>
    </row>
    <row r="50" spans="1:15" ht="15.95" customHeight="1" x14ac:dyDescent="0.25">
      <c r="A50" s="4">
        <v>43736.539722222224</v>
      </c>
      <c r="B50" s="1" t="s">
        <v>2704</v>
      </c>
      <c r="C50" s="1" t="s">
        <v>2705</v>
      </c>
      <c r="D50" s="1" t="s">
        <v>2716</v>
      </c>
      <c r="E50" s="10" t="s">
        <v>2730</v>
      </c>
      <c r="F50" s="1">
        <v>3.68</v>
      </c>
      <c r="G50" s="1">
        <v>3.94</v>
      </c>
      <c r="H50" s="1">
        <v>3.18</v>
      </c>
      <c r="I50" s="1">
        <v>1</v>
      </c>
      <c r="J50" s="1" t="b">
        <v>0</v>
      </c>
      <c r="K50" s="1" t="b">
        <v>0</v>
      </c>
      <c r="L50" s="1" t="b">
        <v>0</v>
      </c>
      <c r="M50" s="1" t="b">
        <v>0</v>
      </c>
      <c r="N50" s="1" t="b">
        <v>1</v>
      </c>
      <c r="O50" s="1" t="b">
        <v>0</v>
      </c>
    </row>
    <row r="51" spans="1:15" ht="15.95" customHeight="1" x14ac:dyDescent="0.25">
      <c r="A51" s="4">
        <v>43736.539722222224</v>
      </c>
      <c r="B51" s="1" t="s">
        <v>2704</v>
      </c>
      <c r="C51" s="1" t="s">
        <v>2705</v>
      </c>
      <c r="D51" s="1" t="s">
        <v>2718</v>
      </c>
      <c r="E51" s="10" t="s">
        <v>2710</v>
      </c>
      <c r="F51" s="1">
        <v>3.68</v>
      </c>
      <c r="G51" s="1">
        <v>3.94</v>
      </c>
      <c r="H51" s="1">
        <v>3.18</v>
      </c>
      <c r="I51" s="1">
        <v>1</v>
      </c>
      <c r="J51" s="1" t="b">
        <v>0</v>
      </c>
      <c r="K51" s="1" t="b">
        <v>0</v>
      </c>
      <c r="L51" s="1" t="b">
        <v>0</v>
      </c>
      <c r="M51" s="1" t="b">
        <v>0</v>
      </c>
      <c r="N51" s="1" t="b">
        <v>1</v>
      </c>
      <c r="O51" s="1" t="b">
        <v>0</v>
      </c>
    </row>
    <row r="52" spans="1:15" ht="15.95" customHeight="1" x14ac:dyDescent="0.25">
      <c r="A52" s="4">
        <v>43736.539733796293</v>
      </c>
      <c r="B52" s="1" t="s">
        <v>2704</v>
      </c>
      <c r="C52" s="1" t="s">
        <v>2731</v>
      </c>
      <c r="D52" s="1" t="s">
        <v>2706</v>
      </c>
      <c r="E52" s="10" t="s">
        <v>2721</v>
      </c>
      <c r="F52" s="1">
        <v>3.68</v>
      </c>
      <c r="G52" s="1">
        <v>3.94</v>
      </c>
      <c r="H52" s="1">
        <v>3.18</v>
      </c>
      <c r="I52" s="1">
        <v>1</v>
      </c>
      <c r="J52" s="1" t="b">
        <v>0</v>
      </c>
      <c r="K52" s="1" t="b">
        <v>0</v>
      </c>
      <c r="L52" s="1" t="b">
        <v>0</v>
      </c>
      <c r="M52" s="1" t="b">
        <v>0</v>
      </c>
      <c r="N52" s="1" t="b">
        <v>1</v>
      </c>
      <c r="O52" s="1" t="b">
        <v>0</v>
      </c>
    </row>
    <row r="53" spans="1:15" ht="15.95" customHeight="1" x14ac:dyDescent="0.25">
      <c r="A53" s="4">
        <v>43736.539733796293</v>
      </c>
      <c r="B53" s="1" t="s">
        <v>2704</v>
      </c>
      <c r="C53" s="1" t="s">
        <v>2705</v>
      </c>
      <c r="D53" s="1" t="s">
        <v>2709</v>
      </c>
      <c r="E53" s="10" t="s">
        <v>2710</v>
      </c>
      <c r="F53" s="1">
        <v>3.68</v>
      </c>
      <c r="G53" s="1">
        <v>3.94</v>
      </c>
      <c r="H53" s="1">
        <v>3.18</v>
      </c>
      <c r="I53" s="1">
        <v>1</v>
      </c>
      <c r="J53" s="1" t="b">
        <v>0</v>
      </c>
      <c r="K53" s="1" t="b">
        <v>0</v>
      </c>
      <c r="L53" s="1" t="b">
        <v>0</v>
      </c>
      <c r="M53" s="1" t="b">
        <v>0</v>
      </c>
      <c r="N53" s="1" t="b">
        <v>1</v>
      </c>
      <c r="O53" s="1" t="b">
        <v>0</v>
      </c>
    </row>
    <row r="54" spans="1:15" ht="15.95" customHeight="1" x14ac:dyDescent="0.25">
      <c r="A54" s="4">
        <v>43736.539733796293</v>
      </c>
      <c r="B54" s="1" t="s">
        <v>2704</v>
      </c>
      <c r="C54" s="1" t="s">
        <v>2705</v>
      </c>
      <c r="D54" s="1" t="s">
        <v>2711</v>
      </c>
      <c r="E54" s="1" t="s">
        <v>2732</v>
      </c>
      <c r="F54" s="1">
        <v>3.68</v>
      </c>
      <c r="G54" s="1">
        <v>3.94</v>
      </c>
      <c r="H54" s="1">
        <v>3.18</v>
      </c>
      <c r="I54" s="1">
        <v>1</v>
      </c>
      <c r="J54" s="1" t="b">
        <v>0</v>
      </c>
      <c r="K54" s="1" t="b">
        <v>0</v>
      </c>
      <c r="L54" s="1" t="b">
        <v>0</v>
      </c>
      <c r="M54" s="1" t="b">
        <v>0</v>
      </c>
      <c r="N54" s="1" t="b">
        <v>1</v>
      </c>
      <c r="O54" s="1" t="b">
        <v>0</v>
      </c>
    </row>
    <row r="55" spans="1:15" ht="15.95" customHeight="1" x14ac:dyDescent="0.25">
      <c r="A55" s="4">
        <v>43736.539733796293</v>
      </c>
      <c r="B55" s="1" t="s">
        <v>2704</v>
      </c>
      <c r="C55" s="1" t="s">
        <v>2705</v>
      </c>
      <c r="D55" s="1" t="s">
        <v>2713</v>
      </c>
      <c r="E55" s="1" t="s">
        <v>2733</v>
      </c>
      <c r="F55" s="1">
        <v>3.68</v>
      </c>
      <c r="G55" s="1">
        <v>3.94</v>
      </c>
      <c r="H55" s="1">
        <v>3.18</v>
      </c>
      <c r="I55" s="1">
        <v>1</v>
      </c>
      <c r="J55" s="1" t="b">
        <v>0</v>
      </c>
      <c r="K55" s="1" t="b">
        <v>0</v>
      </c>
      <c r="L55" s="1" t="b">
        <v>0</v>
      </c>
      <c r="M55" s="1" t="b">
        <v>0</v>
      </c>
      <c r="N55" s="1" t="b">
        <v>1</v>
      </c>
      <c r="O55" s="1" t="b">
        <v>0</v>
      </c>
    </row>
    <row r="56" spans="1:15" ht="15.95" customHeight="1" x14ac:dyDescent="0.25">
      <c r="A56" s="4">
        <v>43736.539733796293</v>
      </c>
      <c r="B56" s="1" t="s">
        <v>2704</v>
      </c>
      <c r="C56" s="1" t="s">
        <v>2705</v>
      </c>
      <c r="D56" s="1" t="s">
        <v>2703</v>
      </c>
      <c r="E56" s="1" t="s">
        <v>2734</v>
      </c>
      <c r="F56" s="1">
        <v>3.68</v>
      </c>
      <c r="G56" s="1">
        <v>3.94</v>
      </c>
      <c r="H56" s="1">
        <v>3.18</v>
      </c>
      <c r="I56" s="1">
        <v>1</v>
      </c>
      <c r="J56" s="1" t="b">
        <v>0</v>
      </c>
      <c r="K56" s="1" t="b">
        <v>0</v>
      </c>
      <c r="L56" s="1" t="b">
        <v>0</v>
      </c>
      <c r="M56" s="1" t="b">
        <v>0</v>
      </c>
      <c r="N56" s="1" t="b">
        <v>1</v>
      </c>
      <c r="O56" s="1" t="b">
        <v>0</v>
      </c>
    </row>
    <row r="57" spans="1:15" ht="15.95" customHeight="1" x14ac:dyDescent="0.25">
      <c r="A57" s="4">
        <v>43736.539733796293</v>
      </c>
      <c r="B57" s="1" t="s">
        <v>2704</v>
      </c>
      <c r="C57" s="1" t="s">
        <v>2705</v>
      </c>
      <c r="D57" s="1" t="s">
        <v>2716</v>
      </c>
      <c r="E57" s="10" t="s">
        <v>2735</v>
      </c>
      <c r="F57" s="1">
        <v>3.68</v>
      </c>
      <c r="G57" s="1">
        <v>3.94</v>
      </c>
      <c r="H57" s="1">
        <v>3.18</v>
      </c>
      <c r="I57" s="1">
        <v>1</v>
      </c>
      <c r="J57" s="1" t="b">
        <v>0</v>
      </c>
      <c r="K57" s="1" t="b">
        <v>0</v>
      </c>
      <c r="L57" s="1" t="b">
        <v>0</v>
      </c>
      <c r="M57" s="1" t="b">
        <v>0</v>
      </c>
      <c r="N57" s="1" t="b">
        <v>1</v>
      </c>
      <c r="O57" s="1" t="b">
        <v>0</v>
      </c>
    </row>
    <row r="58" spans="1:15" ht="15.95" customHeight="1" x14ac:dyDescent="0.25">
      <c r="A58" s="4">
        <v>43736.539733796293</v>
      </c>
      <c r="B58" s="1" t="s">
        <v>2704</v>
      </c>
      <c r="C58" s="1" t="s">
        <v>2705</v>
      </c>
      <c r="D58" s="1" t="s">
        <v>2718</v>
      </c>
      <c r="E58" s="10" t="s">
        <v>2710</v>
      </c>
      <c r="F58" s="1">
        <v>3.68</v>
      </c>
      <c r="G58" s="1">
        <v>3.94</v>
      </c>
      <c r="H58" s="1">
        <v>3.18</v>
      </c>
      <c r="I58" s="1">
        <v>1</v>
      </c>
      <c r="J58" s="1" t="b">
        <v>0</v>
      </c>
      <c r="K58" s="1" t="b">
        <v>0</v>
      </c>
      <c r="L58" s="1" t="b">
        <v>0</v>
      </c>
      <c r="M58" s="1" t="b">
        <v>0</v>
      </c>
      <c r="N58" s="1" t="b">
        <v>1</v>
      </c>
      <c r="O58" s="1" t="b">
        <v>0</v>
      </c>
    </row>
    <row r="59" spans="1:15" ht="15.95" customHeight="1" x14ac:dyDescent="0.25">
      <c r="A59" s="4">
        <v>43736.539733796293</v>
      </c>
      <c r="B59" s="1" t="s">
        <v>2704</v>
      </c>
      <c r="C59" s="1" t="s">
        <v>2736</v>
      </c>
      <c r="D59" s="1" t="s">
        <v>2706</v>
      </c>
      <c r="E59" s="1" t="s">
        <v>2721</v>
      </c>
      <c r="F59" s="1">
        <v>3.68</v>
      </c>
      <c r="G59" s="1">
        <v>3.94</v>
      </c>
      <c r="H59" s="1">
        <v>3.18</v>
      </c>
      <c r="I59" s="1">
        <v>1</v>
      </c>
      <c r="J59" s="1" t="b">
        <v>0</v>
      </c>
      <c r="K59" s="1" t="b">
        <v>0</v>
      </c>
      <c r="L59" s="1" t="b">
        <v>0</v>
      </c>
      <c r="M59" s="1" t="b">
        <v>0</v>
      </c>
      <c r="N59" s="1" t="b">
        <v>1</v>
      </c>
      <c r="O59" s="1" t="b">
        <v>0</v>
      </c>
    </row>
    <row r="60" spans="1:15" ht="15.95" customHeight="1" x14ac:dyDescent="0.25">
      <c r="A60" s="4">
        <v>43736.53974537037</v>
      </c>
      <c r="B60" s="1" t="s">
        <v>2704</v>
      </c>
      <c r="C60" s="1" t="s">
        <v>2705</v>
      </c>
      <c r="D60" s="1" t="s">
        <v>2709</v>
      </c>
      <c r="E60" s="10" t="s">
        <v>2710</v>
      </c>
      <c r="F60" s="1">
        <v>3.68</v>
      </c>
      <c r="G60" s="1">
        <v>3.94</v>
      </c>
      <c r="H60" s="1">
        <v>3.18</v>
      </c>
      <c r="I60" s="1">
        <v>1</v>
      </c>
      <c r="J60" s="1" t="b">
        <v>0</v>
      </c>
      <c r="K60" s="1" t="b">
        <v>0</v>
      </c>
      <c r="L60" s="1" t="b">
        <v>0</v>
      </c>
      <c r="M60" s="1" t="b">
        <v>0</v>
      </c>
      <c r="N60" s="1" t="b">
        <v>1</v>
      </c>
      <c r="O60" s="1" t="b">
        <v>0</v>
      </c>
    </row>
    <row r="61" spans="1:15" ht="15.95" customHeight="1" x14ac:dyDescent="0.25">
      <c r="A61" s="4">
        <v>43736.53974537037</v>
      </c>
      <c r="B61" s="1" t="s">
        <v>2704</v>
      </c>
      <c r="C61" s="1" t="s">
        <v>2705</v>
      </c>
      <c r="D61" s="1" t="s">
        <v>2711</v>
      </c>
      <c r="E61" s="1" t="s">
        <v>2723</v>
      </c>
      <c r="F61" s="1">
        <v>3.68</v>
      </c>
      <c r="G61" s="1">
        <v>3.94</v>
      </c>
      <c r="H61" s="1">
        <v>3.18</v>
      </c>
      <c r="I61" s="1">
        <v>1</v>
      </c>
      <c r="J61" s="1" t="b">
        <v>0</v>
      </c>
      <c r="K61" s="1" t="b">
        <v>0</v>
      </c>
      <c r="L61" s="1" t="b">
        <v>0</v>
      </c>
      <c r="M61" s="1" t="b">
        <v>0</v>
      </c>
      <c r="N61" s="1" t="b">
        <v>1</v>
      </c>
      <c r="O61" s="1" t="b">
        <v>0</v>
      </c>
    </row>
    <row r="62" spans="1:15" ht="15.95" customHeight="1" x14ac:dyDescent="0.25">
      <c r="A62" s="4">
        <v>43736.53974537037</v>
      </c>
      <c r="B62" s="1" t="s">
        <v>2704</v>
      </c>
      <c r="C62" s="1" t="s">
        <v>2705</v>
      </c>
      <c r="D62" s="1" t="s">
        <v>2713</v>
      </c>
      <c r="E62" s="1" t="s">
        <v>2733</v>
      </c>
      <c r="F62" s="1">
        <v>3.68</v>
      </c>
      <c r="G62" s="1">
        <v>3.94</v>
      </c>
      <c r="H62" s="1">
        <v>3.18</v>
      </c>
      <c r="I62" s="1">
        <v>1</v>
      </c>
      <c r="J62" s="1" t="b">
        <v>0</v>
      </c>
      <c r="K62" s="1" t="b">
        <v>0</v>
      </c>
      <c r="L62" s="1" t="b">
        <v>0</v>
      </c>
      <c r="M62" s="1" t="b">
        <v>0</v>
      </c>
      <c r="N62" s="1" t="b">
        <v>1</v>
      </c>
      <c r="O62" s="1" t="b">
        <v>0</v>
      </c>
    </row>
    <row r="63" spans="1:15" ht="15.95" customHeight="1" x14ac:dyDescent="0.25">
      <c r="A63" s="4">
        <v>43736.53974537037</v>
      </c>
      <c r="B63" s="1" t="s">
        <v>2704</v>
      </c>
      <c r="C63" s="1" t="s">
        <v>2705</v>
      </c>
      <c r="D63" s="1" t="s">
        <v>2703</v>
      </c>
      <c r="E63" s="1" t="s">
        <v>2734</v>
      </c>
      <c r="F63" s="1">
        <v>3.68</v>
      </c>
      <c r="G63" s="1">
        <v>3.94</v>
      </c>
      <c r="H63" s="1">
        <v>3.18</v>
      </c>
      <c r="I63" s="1">
        <v>1</v>
      </c>
      <c r="J63" s="1" t="b">
        <v>0</v>
      </c>
      <c r="K63" s="1" t="b">
        <v>0</v>
      </c>
      <c r="L63" s="1" t="b">
        <v>0</v>
      </c>
      <c r="M63" s="1" t="b">
        <v>0</v>
      </c>
      <c r="N63" s="1" t="b">
        <v>1</v>
      </c>
      <c r="O63" s="1" t="b">
        <v>0</v>
      </c>
    </row>
    <row r="64" spans="1:15" ht="15.95" customHeight="1" x14ac:dyDescent="0.25">
      <c r="A64" s="4">
        <v>43736.53974537037</v>
      </c>
      <c r="B64" s="1" t="s">
        <v>2704</v>
      </c>
      <c r="C64" s="1" t="s">
        <v>2705</v>
      </c>
      <c r="D64" s="1" t="s">
        <v>2716</v>
      </c>
      <c r="E64" s="1" t="s">
        <v>2735</v>
      </c>
      <c r="F64" s="1">
        <v>3.68</v>
      </c>
      <c r="G64" s="1">
        <v>3.94</v>
      </c>
      <c r="H64" s="1">
        <v>3.18</v>
      </c>
      <c r="I64" s="1">
        <v>1</v>
      </c>
      <c r="J64" s="1" t="b">
        <v>0</v>
      </c>
      <c r="K64" s="1" t="b">
        <v>0</v>
      </c>
      <c r="L64" s="1" t="b">
        <v>0</v>
      </c>
      <c r="M64" s="1" t="b">
        <v>0</v>
      </c>
      <c r="N64" s="1" t="b">
        <v>1</v>
      </c>
      <c r="O64" s="1" t="b">
        <v>0</v>
      </c>
    </row>
    <row r="65" spans="1:15" ht="15.95" customHeight="1" x14ac:dyDescent="0.25">
      <c r="A65" s="4">
        <v>43736.53974537037</v>
      </c>
      <c r="B65" s="1" t="s">
        <v>2704</v>
      </c>
      <c r="C65" s="1" t="s">
        <v>2705</v>
      </c>
      <c r="D65" s="1" t="s">
        <v>2718</v>
      </c>
      <c r="E65" s="10" t="s">
        <v>2710</v>
      </c>
      <c r="F65" s="1">
        <v>3.68</v>
      </c>
      <c r="G65" s="1">
        <v>3.94</v>
      </c>
      <c r="H65" s="1">
        <v>3.18</v>
      </c>
      <c r="I65" s="1">
        <v>1</v>
      </c>
      <c r="J65" s="1" t="b">
        <v>0</v>
      </c>
      <c r="K65" s="1" t="b">
        <v>0</v>
      </c>
      <c r="L65" s="1" t="b">
        <v>0</v>
      </c>
      <c r="M65" s="1" t="b">
        <v>0</v>
      </c>
      <c r="N65" s="1" t="b">
        <v>1</v>
      </c>
      <c r="O65" s="1" t="b">
        <v>0</v>
      </c>
    </row>
    <row r="66" spans="1:15" ht="15.95" customHeight="1" x14ac:dyDescent="0.25">
      <c r="A66" s="4">
        <v>43736.539756944447</v>
      </c>
      <c r="B66" s="1" t="s">
        <v>2704</v>
      </c>
      <c r="C66" s="1" t="s">
        <v>2737</v>
      </c>
      <c r="D66" s="1" t="s">
        <v>2706</v>
      </c>
      <c r="E66" s="1" t="s">
        <v>2721</v>
      </c>
      <c r="F66" s="1">
        <v>3.68</v>
      </c>
      <c r="G66" s="1">
        <v>3.94</v>
      </c>
      <c r="H66" s="1">
        <v>3.18</v>
      </c>
      <c r="I66" s="1">
        <v>1</v>
      </c>
      <c r="J66" s="1" t="b">
        <v>0</v>
      </c>
      <c r="K66" s="1" t="b">
        <v>0</v>
      </c>
      <c r="L66" s="1" t="b">
        <v>0</v>
      </c>
      <c r="M66" s="1" t="b">
        <v>0</v>
      </c>
      <c r="N66" s="1" t="b">
        <v>1</v>
      </c>
      <c r="O66" s="1" t="b">
        <v>0</v>
      </c>
    </row>
    <row r="67" spans="1:15" ht="15.95" customHeight="1" x14ac:dyDescent="0.25">
      <c r="A67" s="4">
        <v>43736.539918981478</v>
      </c>
      <c r="B67" s="1" t="s">
        <v>2704</v>
      </c>
      <c r="C67" s="1" t="s">
        <v>2705</v>
      </c>
      <c r="D67" s="1" t="s">
        <v>2709</v>
      </c>
      <c r="E67" s="10" t="s">
        <v>2710</v>
      </c>
      <c r="F67" s="1">
        <v>3.68</v>
      </c>
      <c r="G67" s="1">
        <v>3.94</v>
      </c>
      <c r="H67" s="1">
        <v>3.18</v>
      </c>
      <c r="I67" s="1">
        <v>1</v>
      </c>
      <c r="J67" s="1" t="b">
        <v>0</v>
      </c>
      <c r="K67" s="1" t="b">
        <v>0</v>
      </c>
      <c r="L67" s="1" t="b">
        <v>0</v>
      </c>
      <c r="M67" s="1" t="b">
        <v>0</v>
      </c>
      <c r="N67" s="1" t="b">
        <v>1</v>
      </c>
      <c r="O67" s="1" t="b">
        <v>0</v>
      </c>
    </row>
    <row r="68" spans="1:15" ht="15.95" customHeight="1" x14ac:dyDescent="0.25">
      <c r="A68" s="4">
        <v>43736.539918981478</v>
      </c>
      <c r="B68" s="1" t="s">
        <v>2704</v>
      </c>
      <c r="C68" s="1" t="s">
        <v>2705</v>
      </c>
      <c r="D68" s="1" t="s">
        <v>2711</v>
      </c>
      <c r="E68" s="1" t="s">
        <v>2727</v>
      </c>
      <c r="F68" s="1">
        <v>3.68</v>
      </c>
      <c r="G68" s="1">
        <v>3.94</v>
      </c>
      <c r="H68" s="1">
        <v>3.18</v>
      </c>
      <c r="I68" s="1">
        <v>1</v>
      </c>
      <c r="J68" s="1" t="b">
        <v>0</v>
      </c>
      <c r="K68" s="1" t="b">
        <v>0</v>
      </c>
      <c r="L68" s="1" t="b">
        <v>0</v>
      </c>
      <c r="M68" s="1" t="b">
        <v>0</v>
      </c>
      <c r="N68" s="1" t="b">
        <v>1</v>
      </c>
      <c r="O68" s="1" t="b">
        <v>0</v>
      </c>
    </row>
    <row r="69" spans="1:15" ht="15.95" customHeight="1" x14ac:dyDescent="0.25">
      <c r="A69" s="4">
        <v>43736.539918981478</v>
      </c>
      <c r="B69" s="1" t="s">
        <v>2704</v>
      </c>
      <c r="C69" s="1" t="s">
        <v>2705</v>
      </c>
      <c r="D69" s="1" t="s">
        <v>2713</v>
      </c>
      <c r="E69" s="1" t="s">
        <v>2728</v>
      </c>
      <c r="F69" s="1">
        <v>3.68</v>
      </c>
      <c r="G69" s="1">
        <v>3.94</v>
      </c>
      <c r="H69" s="1">
        <v>3.18</v>
      </c>
      <c r="I69" s="1">
        <v>1</v>
      </c>
      <c r="J69" s="1" t="b">
        <v>0</v>
      </c>
      <c r="K69" s="1" t="b">
        <v>0</v>
      </c>
      <c r="L69" s="1" t="b">
        <v>0</v>
      </c>
      <c r="M69" s="1" t="b">
        <v>0</v>
      </c>
      <c r="N69" s="1" t="b">
        <v>1</v>
      </c>
      <c r="O69" s="1" t="b">
        <v>0</v>
      </c>
    </row>
    <row r="70" spans="1:15" ht="15.95" customHeight="1" x14ac:dyDescent="0.25">
      <c r="A70" s="4">
        <v>43736.539918981478</v>
      </c>
      <c r="B70" s="1" t="s">
        <v>2704</v>
      </c>
      <c r="C70" s="1" t="s">
        <v>2705</v>
      </c>
      <c r="D70" s="1" t="s">
        <v>2703</v>
      </c>
      <c r="E70" s="10" t="s">
        <v>2729</v>
      </c>
      <c r="F70" s="1">
        <v>3.68</v>
      </c>
      <c r="G70" s="1">
        <v>3.94</v>
      </c>
      <c r="H70" s="1">
        <v>3.18</v>
      </c>
      <c r="I70" s="1">
        <v>1</v>
      </c>
      <c r="J70" s="1" t="b">
        <v>0</v>
      </c>
      <c r="K70" s="1" t="b">
        <v>0</v>
      </c>
      <c r="L70" s="1" t="b">
        <v>0</v>
      </c>
      <c r="M70" s="1" t="b">
        <v>0</v>
      </c>
      <c r="N70" s="1" t="b">
        <v>1</v>
      </c>
      <c r="O70" s="1" t="b">
        <v>0</v>
      </c>
    </row>
    <row r="71" spans="1:15" ht="15.95" customHeight="1" x14ac:dyDescent="0.25">
      <c r="A71" s="4">
        <v>43736.539918981478</v>
      </c>
      <c r="B71" s="1" t="s">
        <v>2704</v>
      </c>
      <c r="C71" s="1" t="s">
        <v>2705</v>
      </c>
      <c r="D71" s="1" t="s">
        <v>2716</v>
      </c>
      <c r="E71" s="1" t="s">
        <v>2730</v>
      </c>
      <c r="F71" s="1">
        <v>3.68</v>
      </c>
      <c r="G71" s="1">
        <v>3.94</v>
      </c>
      <c r="H71" s="1">
        <v>3.18</v>
      </c>
      <c r="I71" s="1">
        <v>1</v>
      </c>
      <c r="J71" s="1" t="b">
        <v>0</v>
      </c>
      <c r="K71" s="1" t="b">
        <v>0</v>
      </c>
      <c r="L71" s="1" t="b">
        <v>0</v>
      </c>
      <c r="M71" s="1" t="b">
        <v>0</v>
      </c>
      <c r="N71" s="1" t="b">
        <v>1</v>
      </c>
      <c r="O71" s="1" t="b">
        <v>0</v>
      </c>
    </row>
    <row r="72" spans="1:15" ht="15.95" customHeight="1" x14ac:dyDescent="0.25">
      <c r="A72" s="4">
        <v>43736.539918981478</v>
      </c>
      <c r="B72" s="1" t="s">
        <v>2704</v>
      </c>
      <c r="C72" s="1" t="s">
        <v>2705</v>
      </c>
      <c r="D72" s="1" t="s">
        <v>2718</v>
      </c>
      <c r="E72" s="10" t="s">
        <v>2710</v>
      </c>
      <c r="F72" s="1">
        <v>3.68</v>
      </c>
      <c r="G72" s="1">
        <v>3.94</v>
      </c>
      <c r="H72" s="1">
        <v>3.18</v>
      </c>
      <c r="I72" s="1">
        <v>1</v>
      </c>
      <c r="J72" s="1" t="b">
        <v>0</v>
      </c>
      <c r="K72" s="1" t="b">
        <v>0</v>
      </c>
      <c r="L72" s="1" t="b">
        <v>0</v>
      </c>
      <c r="M72" s="1" t="b">
        <v>0</v>
      </c>
      <c r="N72" s="1" t="b">
        <v>1</v>
      </c>
      <c r="O72" s="1" t="b">
        <v>0</v>
      </c>
    </row>
    <row r="73" spans="1:15" ht="15.95" customHeight="1" x14ac:dyDescent="0.25">
      <c r="A73" s="4">
        <v>43736.539930555555</v>
      </c>
      <c r="B73" s="1" t="s">
        <v>2704</v>
      </c>
      <c r="C73" s="1" t="s">
        <v>2738</v>
      </c>
      <c r="D73" s="1"/>
      <c r="E73" s="1" t="s">
        <v>2721</v>
      </c>
      <c r="F73" s="1">
        <v>3.68</v>
      </c>
      <c r="G73" s="1">
        <v>3.94</v>
      </c>
      <c r="H73" s="1">
        <v>3.18</v>
      </c>
      <c r="I73" s="1">
        <v>1</v>
      </c>
      <c r="J73" s="1" t="b">
        <v>0</v>
      </c>
      <c r="K73" s="1" t="b">
        <v>0</v>
      </c>
      <c r="L73" s="1" t="b">
        <v>0</v>
      </c>
      <c r="M73" s="1" t="b">
        <v>0</v>
      </c>
      <c r="N73" s="1" t="b">
        <v>1</v>
      </c>
      <c r="O73" s="1" t="b">
        <v>0</v>
      </c>
    </row>
    <row r="74" spans="1:15" ht="15.95" customHeight="1" x14ac:dyDescent="0.25">
      <c r="A74" s="4">
        <v>43736.539930555555</v>
      </c>
      <c r="B74" s="1" t="s">
        <v>2704</v>
      </c>
      <c r="C74" s="1" t="s">
        <v>2705</v>
      </c>
      <c r="D74" s="1" t="s">
        <v>2709</v>
      </c>
      <c r="E74" s="10" t="s">
        <v>2710</v>
      </c>
      <c r="F74" s="1">
        <v>3.68</v>
      </c>
      <c r="G74" s="1">
        <v>3.94</v>
      </c>
      <c r="H74" s="1">
        <v>3.18</v>
      </c>
      <c r="I74" s="1">
        <v>1</v>
      </c>
      <c r="J74" s="1" t="b">
        <v>0</v>
      </c>
      <c r="K74" s="1" t="b">
        <v>0</v>
      </c>
      <c r="L74" s="1" t="b">
        <v>0</v>
      </c>
      <c r="M74" s="1" t="b">
        <v>0</v>
      </c>
      <c r="N74" s="1" t="b">
        <v>1</v>
      </c>
      <c r="O74" s="1" t="b">
        <v>0</v>
      </c>
    </row>
    <row r="75" spans="1:15" ht="15.95" customHeight="1" x14ac:dyDescent="0.25">
      <c r="A75" s="4">
        <v>43736.539930555555</v>
      </c>
      <c r="B75" s="1" t="s">
        <v>2704</v>
      </c>
      <c r="C75" s="1" t="s">
        <v>2705</v>
      </c>
      <c r="D75" s="1" t="s">
        <v>2711</v>
      </c>
      <c r="E75" s="10" t="s">
        <v>2732</v>
      </c>
      <c r="F75" s="1">
        <v>3.68</v>
      </c>
      <c r="G75" s="1">
        <v>3.94</v>
      </c>
      <c r="H75" s="1">
        <v>3.18</v>
      </c>
      <c r="I75" s="1">
        <v>1</v>
      </c>
      <c r="J75" s="1" t="b">
        <v>0</v>
      </c>
      <c r="K75" s="1" t="b">
        <v>0</v>
      </c>
      <c r="L75" s="1" t="b">
        <v>0</v>
      </c>
      <c r="M75" s="1" t="b">
        <v>0</v>
      </c>
      <c r="N75" s="1" t="b">
        <v>1</v>
      </c>
      <c r="O75" s="1" t="b">
        <v>0</v>
      </c>
    </row>
    <row r="76" spans="1:15" ht="15.95" customHeight="1" x14ac:dyDescent="0.25">
      <c r="A76" s="4">
        <v>43736.539930555555</v>
      </c>
      <c r="B76" s="1" t="s">
        <v>2704</v>
      </c>
      <c r="C76" s="1" t="s">
        <v>2705</v>
      </c>
      <c r="D76" s="1" t="s">
        <v>2713</v>
      </c>
      <c r="E76" s="1" t="s">
        <v>2733</v>
      </c>
      <c r="F76" s="1">
        <v>3.68</v>
      </c>
      <c r="G76" s="1">
        <v>3.94</v>
      </c>
      <c r="H76" s="1">
        <v>3.18</v>
      </c>
      <c r="I76" s="1">
        <v>1</v>
      </c>
      <c r="J76" s="1" t="b">
        <v>0</v>
      </c>
      <c r="K76" s="1" t="b">
        <v>0</v>
      </c>
      <c r="L76" s="1" t="b">
        <v>0</v>
      </c>
      <c r="M76" s="1" t="b">
        <v>0</v>
      </c>
      <c r="N76" s="1" t="b">
        <v>1</v>
      </c>
      <c r="O76" s="1" t="b">
        <v>0</v>
      </c>
    </row>
    <row r="77" spans="1:15" ht="15.95" customHeight="1" x14ac:dyDescent="0.25">
      <c r="A77" s="4">
        <v>43736.539930555555</v>
      </c>
      <c r="B77" s="1" t="s">
        <v>2704</v>
      </c>
      <c r="C77" s="1" t="s">
        <v>2705</v>
      </c>
      <c r="D77" s="1" t="s">
        <v>2703</v>
      </c>
      <c r="E77" s="10" t="s">
        <v>2734</v>
      </c>
      <c r="F77" s="1">
        <v>3.68</v>
      </c>
      <c r="G77" s="1">
        <v>3.94</v>
      </c>
      <c r="H77" s="1">
        <v>3.18</v>
      </c>
      <c r="I77" s="1">
        <v>1</v>
      </c>
      <c r="J77" s="1" t="b">
        <v>0</v>
      </c>
      <c r="K77" s="1" t="b">
        <v>0</v>
      </c>
      <c r="L77" s="1" t="b">
        <v>0</v>
      </c>
      <c r="M77" s="1" t="b">
        <v>0</v>
      </c>
      <c r="N77" s="1" t="b">
        <v>1</v>
      </c>
      <c r="O77" s="1" t="b">
        <v>0</v>
      </c>
    </row>
    <row r="78" spans="1:15" ht="15.95" customHeight="1" x14ac:dyDescent="0.25">
      <c r="A78" s="4">
        <v>43736.539930555555</v>
      </c>
      <c r="B78" s="1" t="s">
        <v>2704</v>
      </c>
      <c r="C78" s="1" t="s">
        <v>2705</v>
      </c>
      <c r="D78" s="1" t="s">
        <v>2716</v>
      </c>
      <c r="E78" s="1" t="s">
        <v>2735</v>
      </c>
      <c r="F78" s="1">
        <v>3.68</v>
      </c>
      <c r="G78" s="1">
        <v>3.94</v>
      </c>
      <c r="H78" s="1">
        <v>3.18</v>
      </c>
      <c r="I78" s="1">
        <v>1</v>
      </c>
      <c r="J78" s="1" t="b">
        <v>0</v>
      </c>
      <c r="K78" s="1" t="b">
        <v>0</v>
      </c>
      <c r="L78" s="1" t="b">
        <v>0</v>
      </c>
      <c r="M78" s="1" t="b">
        <v>0</v>
      </c>
      <c r="N78" s="1" t="b">
        <v>1</v>
      </c>
      <c r="O78" s="1" t="b">
        <v>0</v>
      </c>
    </row>
    <row r="79" spans="1:15" ht="15.95" customHeight="1" x14ac:dyDescent="0.25">
      <c r="A79" s="4">
        <v>43736.539930555555</v>
      </c>
      <c r="B79" s="1" t="s">
        <v>2704</v>
      </c>
      <c r="C79" s="1" t="s">
        <v>2705</v>
      </c>
      <c r="D79" s="1" t="s">
        <v>2718</v>
      </c>
      <c r="E79" s="10" t="s">
        <v>2710</v>
      </c>
      <c r="F79" s="1">
        <v>3.68</v>
      </c>
      <c r="G79" s="1">
        <v>3.94</v>
      </c>
      <c r="H79" s="1">
        <v>3.18</v>
      </c>
      <c r="I79" s="1">
        <v>1</v>
      </c>
      <c r="J79" s="1" t="b">
        <v>0</v>
      </c>
      <c r="K79" s="1" t="b">
        <v>0</v>
      </c>
      <c r="L79" s="1" t="b">
        <v>0</v>
      </c>
      <c r="M79" s="1" t="b">
        <v>0</v>
      </c>
      <c r="N79" s="1" t="b">
        <v>1</v>
      </c>
      <c r="O79" s="1" t="b">
        <v>0</v>
      </c>
    </row>
    <row r="80" spans="1:15" ht="15.95" customHeight="1" x14ac:dyDescent="0.25">
      <c r="A80" s="4">
        <v>43736.539930555555</v>
      </c>
      <c r="B80" s="1" t="s">
        <v>2704</v>
      </c>
      <c r="C80" s="1" t="s">
        <v>2739</v>
      </c>
      <c r="D80" s="1"/>
      <c r="E80" s="1" t="s">
        <v>2721</v>
      </c>
      <c r="F80" s="1">
        <v>3.68</v>
      </c>
      <c r="G80" s="1">
        <v>3.94</v>
      </c>
      <c r="H80" s="1">
        <v>3.18</v>
      </c>
      <c r="I80" s="1">
        <v>1</v>
      </c>
      <c r="J80" s="1" t="b">
        <v>0</v>
      </c>
      <c r="K80" s="1" t="b">
        <v>0</v>
      </c>
      <c r="L80" s="1" t="b">
        <v>0</v>
      </c>
      <c r="M80" s="1" t="b">
        <v>0</v>
      </c>
      <c r="N80" s="1" t="b">
        <v>1</v>
      </c>
      <c r="O80" s="1" t="b">
        <v>0</v>
      </c>
    </row>
    <row r="81" spans="1:15" ht="15.95" customHeight="1" x14ac:dyDescent="0.25">
      <c r="A81" s="4">
        <v>43736.539942129632</v>
      </c>
      <c r="B81" s="1" t="s">
        <v>2704</v>
      </c>
      <c r="C81" s="1" t="s">
        <v>2705</v>
      </c>
      <c r="D81" s="1" t="s">
        <v>2709</v>
      </c>
      <c r="E81" s="10" t="s">
        <v>2710</v>
      </c>
      <c r="F81" s="1">
        <v>3.68</v>
      </c>
      <c r="G81" s="1">
        <v>3.94</v>
      </c>
      <c r="H81" s="1">
        <v>3.18</v>
      </c>
      <c r="I81" s="1">
        <v>1</v>
      </c>
      <c r="J81" s="1" t="b">
        <v>0</v>
      </c>
      <c r="K81" s="1" t="b">
        <v>0</v>
      </c>
      <c r="L81" s="1" t="b">
        <v>0</v>
      </c>
      <c r="M81" s="1" t="b">
        <v>0</v>
      </c>
      <c r="N81" s="1" t="b">
        <v>1</v>
      </c>
      <c r="O81" s="1" t="b">
        <v>0</v>
      </c>
    </row>
    <row r="82" spans="1:15" ht="15.95" customHeight="1" x14ac:dyDescent="0.25">
      <c r="A82" s="4">
        <v>43736.539942129632</v>
      </c>
      <c r="B82" s="1" t="s">
        <v>2704</v>
      </c>
      <c r="C82" s="1" t="s">
        <v>2705</v>
      </c>
      <c r="D82" s="1" t="s">
        <v>2711</v>
      </c>
      <c r="E82" s="10" t="s">
        <v>2723</v>
      </c>
      <c r="F82" s="1">
        <v>3.68</v>
      </c>
      <c r="G82" s="1">
        <v>3.94</v>
      </c>
      <c r="H82" s="1">
        <v>3.18</v>
      </c>
      <c r="I82" s="1">
        <v>1</v>
      </c>
      <c r="J82" s="1" t="b">
        <v>0</v>
      </c>
      <c r="K82" s="1" t="b">
        <v>0</v>
      </c>
      <c r="L82" s="1" t="b">
        <v>0</v>
      </c>
      <c r="M82" s="1" t="b">
        <v>0</v>
      </c>
      <c r="N82" s="1" t="b">
        <v>1</v>
      </c>
      <c r="O82" s="1" t="b">
        <v>0</v>
      </c>
    </row>
    <row r="83" spans="1:15" ht="15.95" customHeight="1" x14ac:dyDescent="0.25">
      <c r="A83" s="4">
        <v>43736.539942129632</v>
      </c>
      <c r="B83" s="1" t="s">
        <v>2704</v>
      </c>
      <c r="C83" s="1" t="s">
        <v>2705</v>
      </c>
      <c r="D83" s="1" t="s">
        <v>2713</v>
      </c>
      <c r="E83" s="1" t="s">
        <v>2733</v>
      </c>
      <c r="F83" s="1">
        <v>3.68</v>
      </c>
      <c r="G83" s="1">
        <v>3.94</v>
      </c>
      <c r="H83" s="1">
        <v>3.18</v>
      </c>
      <c r="I83" s="1">
        <v>1</v>
      </c>
      <c r="J83" s="1" t="b">
        <v>0</v>
      </c>
      <c r="K83" s="1" t="b">
        <v>0</v>
      </c>
      <c r="L83" s="1" t="b">
        <v>0</v>
      </c>
      <c r="M83" s="1" t="b">
        <v>0</v>
      </c>
      <c r="N83" s="1" t="b">
        <v>1</v>
      </c>
      <c r="O83" s="1" t="b">
        <v>0</v>
      </c>
    </row>
    <row r="84" spans="1:15" ht="15.95" customHeight="1" x14ac:dyDescent="0.25">
      <c r="A84" s="4">
        <v>43736.539942129632</v>
      </c>
      <c r="B84" s="1" t="s">
        <v>2704</v>
      </c>
      <c r="C84" s="1" t="s">
        <v>2705</v>
      </c>
      <c r="D84" s="1" t="s">
        <v>2703</v>
      </c>
      <c r="E84" s="1" t="s">
        <v>2734</v>
      </c>
      <c r="F84" s="1">
        <v>3.68</v>
      </c>
      <c r="G84" s="1">
        <v>3.94</v>
      </c>
      <c r="H84" s="1">
        <v>3.18</v>
      </c>
      <c r="I84" s="1">
        <v>1</v>
      </c>
      <c r="J84" s="1" t="b">
        <v>0</v>
      </c>
      <c r="K84" s="1" t="b">
        <v>0</v>
      </c>
      <c r="L84" s="1" t="b">
        <v>0</v>
      </c>
      <c r="M84" s="1" t="b">
        <v>0</v>
      </c>
      <c r="N84" s="1" t="b">
        <v>1</v>
      </c>
      <c r="O84" s="1" t="b">
        <v>0</v>
      </c>
    </row>
    <row r="85" spans="1:15" ht="15.95" customHeight="1" x14ac:dyDescent="0.25">
      <c r="A85" s="4">
        <v>43736.539942129632</v>
      </c>
      <c r="B85" s="1" t="s">
        <v>2704</v>
      </c>
      <c r="C85" s="1" t="s">
        <v>2705</v>
      </c>
      <c r="D85" s="1" t="s">
        <v>2716</v>
      </c>
      <c r="E85" s="1" t="s">
        <v>2735</v>
      </c>
      <c r="F85" s="1">
        <v>3.68</v>
      </c>
      <c r="G85" s="1">
        <v>3.94</v>
      </c>
      <c r="H85" s="1">
        <v>3.18</v>
      </c>
      <c r="I85" s="1">
        <v>1</v>
      </c>
      <c r="J85" s="1" t="b">
        <v>0</v>
      </c>
      <c r="K85" s="1" t="b">
        <v>0</v>
      </c>
      <c r="L85" s="1" t="b">
        <v>0</v>
      </c>
      <c r="M85" s="1" t="b">
        <v>0</v>
      </c>
      <c r="N85" s="1" t="b">
        <v>1</v>
      </c>
      <c r="O85" s="1" t="b">
        <v>0</v>
      </c>
    </row>
    <row r="86" spans="1:15" ht="15.95" customHeight="1" x14ac:dyDescent="0.25">
      <c r="A86" s="4">
        <v>43736.539942129632</v>
      </c>
      <c r="B86" s="1" t="s">
        <v>2704</v>
      </c>
      <c r="C86" s="1" t="s">
        <v>2705</v>
      </c>
      <c r="D86" s="1" t="s">
        <v>2718</v>
      </c>
      <c r="E86" s="10" t="s">
        <v>2710</v>
      </c>
      <c r="F86" s="1">
        <v>3.68</v>
      </c>
      <c r="G86" s="1">
        <v>3.94</v>
      </c>
      <c r="H86" s="1">
        <v>3.18</v>
      </c>
      <c r="I86" s="1">
        <v>1</v>
      </c>
      <c r="J86" s="1" t="b">
        <v>0</v>
      </c>
      <c r="K86" s="1" t="b">
        <v>0</v>
      </c>
      <c r="L86" s="1" t="b">
        <v>0</v>
      </c>
      <c r="M86" s="1" t="b">
        <v>0</v>
      </c>
      <c r="N86" s="1" t="b">
        <v>1</v>
      </c>
      <c r="O86" s="1" t="b">
        <v>0</v>
      </c>
    </row>
    <row r="87" spans="1:15" ht="15.95" customHeight="1" x14ac:dyDescent="0.25">
      <c r="A87" s="4">
        <v>43736.539942129632</v>
      </c>
      <c r="B87" s="1" t="s">
        <v>2704</v>
      </c>
      <c r="C87" s="1" t="s">
        <v>2740</v>
      </c>
      <c r="D87" s="1"/>
      <c r="E87" s="1" t="s">
        <v>2721</v>
      </c>
      <c r="F87" s="1">
        <v>3.68</v>
      </c>
      <c r="G87" s="1">
        <v>3.94</v>
      </c>
      <c r="H87" s="1">
        <v>3.18</v>
      </c>
      <c r="I87" s="1">
        <v>1</v>
      </c>
      <c r="J87" s="1" t="b">
        <v>0</v>
      </c>
      <c r="K87" s="1" t="b">
        <v>0</v>
      </c>
      <c r="L87" s="1" t="b">
        <v>0</v>
      </c>
      <c r="M87" s="1" t="b">
        <v>0</v>
      </c>
      <c r="N87" s="1" t="b">
        <v>1</v>
      </c>
      <c r="O87" s="1" t="b">
        <v>0</v>
      </c>
    </row>
    <row r="88" spans="1:15" ht="15.95" customHeight="1" x14ac:dyDescent="0.25">
      <c r="A88" s="4">
        <v>43736.574548611112</v>
      </c>
      <c r="B88" s="1" t="s">
        <v>2704</v>
      </c>
      <c r="C88" s="1" t="s">
        <v>2701</v>
      </c>
      <c r="D88" s="1" t="s">
        <v>2741</v>
      </c>
      <c r="E88" s="1">
        <v>0</v>
      </c>
      <c r="F88" s="1">
        <v>3.68</v>
      </c>
      <c r="G88" s="1">
        <v>3.94</v>
      </c>
      <c r="H88" s="1">
        <v>3.18</v>
      </c>
      <c r="I88" s="1">
        <v>0</v>
      </c>
      <c r="J88" s="1" t="b">
        <v>0</v>
      </c>
      <c r="K88" s="1" t="b">
        <v>0</v>
      </c>
      <c r="L88" s="1" t="b">
        <v>0</v>
      </c>
      <c r="M88" s="1" t="b">
        <v>0</v>
      </c>
      <c r="N88" s="1" t="b">
        <v>1</v>
      </c>
      <c r="O88" s="1" t="b">
        <v>0</v>
      </c>
    </row>
    <row r="89" spans="1:15" ht="15.95" customHeight="1" x14ac:dyDescent="0.25">
      <c r="A89" s="4">
        <v>43736.574571759258</v>
      </c>
      <c r="B89" s="1" t="s">
        <v>2704</v>
      </c>
      <c r="C89" s="1" t="s">
        <v>2701</v>
      </c>
      <c r="D89" s="1" t="s">
        <v>2741</v>
      </c>
      <c r="E89" s="1">
        <v>0</v>
      </c>
      <c r="F89" s="1">
        <v>3.68</v>
      </c>
      <c r="G89" s="1">
        <v>3.94</v>
      </c>
      <c r="H89" s="1">
        <v>3.18</v>
      </c>
      <c r="I89" s="1">
        <v>0</v>
      </c>
      <c r="J89" s="1" t="b">
        <v>0</v>
      </c>
      <c r="K89" s="1" t="b">
        <v>0</v>
      </c>
      <c r="L89" s="1" t="b">
        <v>0</v>
      </c>
      <c r="M89" s="1" t="b">
        <v>0</v>
      </c>
      <c r="N89" s="1" t="b">
        <v>1</v>
      </c>
      <c r="O89" s="1" t="b">
        <v>0</v>
      </c>
    </row>
    <row r="90" spans="1:15" ht="15.95" customHeight="1" x14ac:dyDescent="0.25">
      <c r="A90" s="4">
        <v>43736.574652777781</v>
      </c>
      <c r="B90" s="1" t="s">
        <v>2704</v>
      </c>
      <c r="C90" s="1" t="s">
        <v>2701</v>
      </c>
      <c r="D90" s="1" t="s">
        <v>2741</v>
      </c>
      <c r="E90" s="1">
        <v>0</v>
      </c>
      <c r="F90" s="1">
        <v>3.68</v>
      </c>
      <c r="G90" s="1">
        <v>3.94</v>
      </c>
      <c r="H90" s="1">
        <v>3.18</v>
      </c>
      <c r="I90" s="1">
        <v>0</v>
      </c>
      <c r="J90" s="1" t="b">
        <v>0</v>
      </c>
      <c r="K90" s="1" t="b">
        <v>0</v>
      </c>
      <c r="L90" s="1" t="b">
        <v>0</v>
      </c>
      <c r="M90" s="1" t="b">
        <v>0</v>
      </c>
      <c r="N90" s="1" t="b">
        <v>1</v>
      </c>
      <c r="O90" s="1" t="b">
        <v>0</v>
      </c>
    </row>
    <row r="91" spans="1:15" ht="15.95" customHeight="1" x14ac:dyDescent="0.25">
      <c r="A91" s="4">
        <v>43736.57471064815</v>
      </c>
      <c r="B91" s="1" t="s">
        <v>2704</v>
      </c>
      <c r="C91" s="1" t="s">
        <v>2701</v>
      </c>
      <c r="D91" s="1" t="s">
        <v>2741</v>
      </c>
      <c r="E91" s="10">
        <v>0</v>
      </c>
      <c r="F91" s="1">
        <v>3.68</v>
      </c>
      <c r="G91" s="1">
        <v>3.94</v>
      </c>
      <c r="H91" s="1">
        <v>3.18</v>
      </c>
      <c r="I91" s="1">
        <v>0</v>
      </c>
      <c r="J91" s="1" t="b">
        <v>0</v>
      </c>
      <c r="K91" s="1" t="b">
        <v>0</v>
      </c>
      <c r="L91" s="1" t="b">
        <v>0</v>
      </c>
      <c r="M91" s="1" t="b">
        <v>0</v>
      </c>
      <c r="N91" s="1" t="b">
        <v>1</v>
      </c>
      <c r="O91" s="1" t="b">
        <v>0</v>
      </c>
    </row>
    <row r="92" spans="1:15" ht="15.95" customHeight="1" x14ac:dyDescent="0.25">
      <c r="A92" s="4">
        <v>43736.608946759261</v>
      </c>
      <c r="B92" s="1" t="s">
        <v>2704</v>
      </c>
      <c r="C92" s="1" t="s">
        <v>2701</v>
      </c>
      <c r="D92" s="1" t="s">
        <v>2741</v>
      </c>
      <c r="E92" s="1">
        <v>0</v>
      </c>
      <c r="F92" s="1">
        <v>3.68</v>
      </c>
      <c r="G92" s="1">
        <v>3.94</v>
      </c>
      <c r="H92" s="1">
        <v>3.18</v>
      </c>
      <c r="I92" s="1">
        <v>0</v>
      </c>
      <c r="J92" s="1" t="b">
        <v>0</v>
      </c>
      <c r="K92" s="1" t="b">
        <v>0</v>
      </c>
      <c r="L92" s="1" t="b">
        <v>0</v>
      </c>
      <c r="M92" s="1" t="b">
        <v>0</v>
      </c>
      <c r="N92" s="1" t="b">
        <v>1</v>
      </c>
      <c r="O92" s="1" t="b">
        <v>0</v>
      </c>
    </row>
    <row r="93" spans="1:15" ht="15.95" customHeight="1" x14ac:dyDescent="0.25">
      <c r="A93" s="4">
        <v>43736.609039351853</v>
      </c>
      <c r="B93" s="1" t="s">
        <v>2704</v>
      </c>
      <c r="C93" s="1" t="s">
        <v>2701</v>
      </c>
      <c r="D93" s="1" t="s">
        <v>2741</v>
      </c>
      <c r="E93" s="10">
        <v>0</v>
      </c>
      <c r="F93" s="1">
        <v>3.68</v>
      </c>
      <c r="G93" s="1">
        <v>3.94</v>
      </c>
      <c r="H93" s="1">
        <v>3.18</v>
      </c>
      <c r="I93" s="1">
        <v>0</v>
      </c>
      <c r="J93" s="1" t="b">
        <v>0</v>
      </c>
      <c r="K93" s="1" t="b">
        <v>0</v>
      </c>
      <c r="L93" s="1" t="b">
        <v>0</v>
      </c>
      <c r="M93" s="1" t="b">
        <v>0</v>
      </c>
      <c r="N93" s="1" t="b">
        <v>1</v>
      </c>
      <c r="O93" s="1" t="b">
        <v>0</v>
      </c>
    </row>
    <row r="94" spans="1:15" ht="15.95" customHeight="1" x14ac:dyDescent="0.25">
      <c r="A94" s="4">
        <v>43736.609293981484</v>
      </c>
      <c r="B94" s="1" t="s">
        <v>2704</v>
      </c>
      <c r="C94" s="1" t="s">
        <v>2695</v>
      </c>
      <c r="D94" s="1"/>
      <c r="E94" s="1" t="s">
        <v>2742</v>
      </c>
      <c r="F94" s="1">
        <v>3.68</v>
      </c>
      <c r="G94" s="1">
        <v>3.94</v>
      </c>
      <c r="H94" s="1">
        <v>3.18</v>
      </c>
      <c r="I94" s="1">
        <v>1</v>
      </c>
      <c r="J94" s="1" t="b">
        <v>0</v>
      </c>
      <c r="K94" s="1" t="b">
        <v>0</v>
      </c>
      <c r="L94" s="1" t="b">
        <v>0</v>
      </c>
      <c r="M94" s="1" t="b">
        <v>0</v>
      </c>
      <c r="N94" s="1" t="b">
        <v>1</v>
      </c>
      <c r="O94" s="1" t="b">
        <v>0</v>
      </c>
    </row>
    <row r="95" spans="1:15" ht="15.95" customHeight="1" x14ac:dyDescent="0.25">
      <c r="A95" s="4">
        <v>43736.609293981484</v>
      </c>
      <c r="B95" s="1" t="s">
        <v>2704</v>
      </c>
      <c r="C95" s="1" t="s">
        <v>2695</v>
      </c>
      <c r="D95" s="1" t="s">
        <v>2743</v>
      </c>
      <c r="E95" s="1" t="s">
        <v>2707</v>
      </c>
      <c r="F95" s="1">
        <v>3.68</v>
      </c>
      <c r="G95" s="1">
        <v>3.94</v>
      </c>
      <c r="H95" s="1">
        <v>3.18</v>
      </c>
      <c r="I95" s="1">
        <v>1</v>
      </c>
      <c r="J95" s="1" t="b">
        <v>0</v>
      </c>
      <c r="K95" s="1" t="b">
        <v>0</v>
      </c>
      <c r="L95" s="1" t="b">
        <v>0</v>
      </c>
      <c r="M95" s="1" t="b">
        <v>0</v>
      </c>
      <c r="N95" s="1" t="b">
        <v>1</v>
      </c>
      <c r="O95" s="1" t="b">
        <v>0</v>
      </c>
    </row>
    <row r="96" spans="1:15" ht="15.95" customHeight="1" x14ac:dyDescent="0.25">
      <c r="A96" s="4">
        <v>43736.609386574077</v>
      </c>
      <c r="B96" s="1" t="s">
        <v>2704</v>
      </c>
      <c r="C96" s="1" t="s">
        <v>2812</v>
      </c>
      <c r="D96" s="1" t="s">
        <v>2743</v>
      </c>
      <c r="E96" s="1" t="s">
        <v>2721</v>
      </c>
      <c r="F96" s="1">
        <v>3.68</v>
      </c>
      <c r="G96" s="1">
        <v>3.94</v>
      </c>
      <c r="H96" s="1">
        <v>3.18</v>
      </c>
      <c r="I96" s="1">
        <v>1</v>
      </c>
      <c r="J96" s="1" t="b">
        <v>0</v>
      </c>
      <c r="K96" s="1" t="b">
        <v>0</v>
      </c>
      <c r="L96" s="1" t="b">
        <v>0</v>
      </c>
      <c r="M96" s="1" t="b">
        <v>0</v>
      </c>
      <c r="N96" s="1" t="b">
        <v>1</v>
      </c>
      <c r="O96" s="1" t="b">
        <v>0</v>
      </c>
    </row>
    <row r="97" spans="1:15" ht="15.95" customHeight="1" x14ac:dyDescent="0.25">
      <c r="A97" s="4">
        <v>43736.6094212963</v>
      </c>
      <c r="B97" s="1" t="s">
        <v>2704</v>
      </c>
      <c r="C97" s="1" t="s">
        <v>2701</v>
      </c>
      <c r="D97" s="1" t="s">
        <v>2741</v>
      </c>
      <c r="E97" s="1">
        <v>0</v>
      </c>
      <c r="F97" s="1">
        <v>3.68</v>
      </c>
      <c r="G97" s="1">
        <v>3.94</v>
      </c>
      <c r="H97" s="1">
        <v>3.18</v>
      </c>
      <c r="I97" s="1">
        <v>1</v>
      </c>
      <c r="J97" s="1" t="b">
        <v>0</v>
      </c>
      <c r="K97" s="1" t="b">
        <v>0</v>
      </c>
      <c r="L97" s="1" t="b">
        <v>0</v>
      </c>
      <c r="M97" s="1" t="b">
        <v>0</v>
      </c>
      <c r="N97" s="1" t="b">
        <v>1</v>
      </c>
      <c r="O97" s="1" t="b">
        <v>0</v>
      </c>
    </row>
    <row r="98" spans="1:15" ht="15.95" customHeight="1" x14ac:dyDescent="0.25">
      <c r="A98" s="4">
        <v>43737.460069444445</v>
      </c>
      <c r="B98" s="1" t="s">
        <v>2704</v>
      </c>
      <c r="C98" s="1" t="s">
        <v>2701</v>
      </c>
      <c r="D98" s="1" t="s">
        <v>2741</v>
      </c>
      <c r="E98" s="10">
        <v>0</v>
      </c>
      <c r="F98" s="1">
        <v>3.68</v>
      </c>
      <c r="G98" s="1">
        <v>3.94</v>
      </c>
      <c r="H98" s="1">
        <v>3.18</v>
      </c>
      <c r="I98" s="1">
        <v>0</v>
      </c>
      <c r="J98" s="1" t="b">
        <v>0</v>
      </c>
      <c r="K98" s="1" t="b">
        <v>0</v>
      </c>
      <c r="L98" s="1" t="b">
        <v>0</v>
      </c>
      <c r="M98" s="1" t="b">
        <v>0</v>
      </c>
      <c r="N98" s="1" t="b">
        <v>1</v>
      </c>
      <c r="O98" s="1" t="b">
        <v>0</v>
      </c>
    </row>
    <row r="99" spans="1:15" ht="15.95" customHeight="1" x14ac:dyDescent="0.25">
      <c r="A99" s="4">
        <v>43737.46025462963</v>
      </c>
      <c r="B99" s="1" t="s">
        <v>2704</v>
      </c>
      <c r="C99" s="1" t="s">
        <v>2813</v>
      </c>
      <c r="D99" s="1" t="s">
        <v>2814</v>
      </c>
      <c r="E99" s="1" t="s">
        <v>2721</v>
      </c>
      <c r="F99" s="1">
        <v>3.68</v>
      </c>
      <c r="G99" s="1">
        <v>3.94</v>
      </c>
      <c r="H99" s="1">
        <v>3.18</v>
      </c>
      <c r="I99" s="1">
        <v>1</v>
      </c>
      <c r="J99" s="1" t="b">
        <v>0</v>
      </c>
      <c r="K99" s="1" t="b">
        <v>0</v>
      </c>
      <c r="L99" s="1" t="b">
        <v>0</v>
      </c>
      <c r="M99" s="1" t="b">
        <v>0</v>
      </c>
      <c r="N99" s="1" t="b">
        <v>1</v>
      </c>
      <c r="O99" s="1" t="b">
        <v>0</v>
      </c>
    </row>
    <row r="100" spans="1:15" ht="15.95" customHeight="1" x14ac:dyDescent="0.25">
      <c r="A100" s="4">
        <v>43737.46025462963</v>
      </c>
      <c r="B100" s="1" t="s">
        <v>2704</v>
      </c>
      <c r="C100" s="1" t="s">
        <v>2815</v>
      </c>
      <c r="D100" s="1" t="s">
        <v>2814</v>
      </c>
      <c r="E100" s="1" t="s">
        <v>2721</v>
      </c>
      <c r="F100" s="1">
        <v>3.68</v>
      </c>
      <c r="G100" s="1">
        <v>3.94</v>
      </c>
      <c r="H100" s="1">
        <v>3.18</v>
      </c>
      <c r="I100" s="1">
        <v>1</v>
      </c>
      <c r="J100" s="1" t="b">
        <v>0</v>
      </c>
      <c r="K100" s="1" t="b">
        <v>0</v>
      </c>
      <c r="L100" s="1" t="b">
        <v>0</v>
      </c>
      <c r="M100" s="1" t="b">
        <v>0</v>
      </c>
      <c r="N100" s="1" t="b">
        <v>1</v>
      </c>
      <c r="O100" s="1" t="b">
        <v>0</v>
      </c>
    </row>
    <row r="101" spans="1:15" ht="15.95" customHeight="1" x14ac:dyDescent="0.25">
      <c r="A101" s="4">
        <v>43737.460266203707</v>
      </c>
      <c r="B101" s="1" t="s">
        <v>2704</v>
      </c>
      <c r="C101" s="1" t="s">
        <v>2816</v>
      </c>
      <c r="D101" s="1" t="s">
        <v>2814</v>
      </c>
      <c r="E101" s="1" t="s">
        <v>2721</v>
      </c>
      <c r="F101" s="1">
        <v>3.68</v>
      </c>
      <c r="G101" s="1">
        <v>3.94</v>
      </c>
      <c r="H101" s="1">
        <v>3.18</v>
      </c>
      <c r="I101" s="1">
        <v>1</v>
      </c>
      <c r="J101" s="1" t="b">
        <v>0</v>
      </c>
      <c r="K101" s="1" t="b">
        <v>0</v>
      </c>
      <c r="L101" s="1" t="b">
        <v>0</v>
      </c>
      <c r="M101" s="1" t="b">
        <v>0</v>
      </c>
      <c r="N101" s="1" t="b">
        <v>1</v>
      </c>
      <c r="O101" s="1" t="b">
        <v>0</v>
      </c>
    </row>
    <row r="102" spans="1:15" ht="15.95" customHeight="1" x14ac:dyDescent="0.25">
      <c r="A102" s="4">
        <v>43737.460509259261</v>
      </c>
      <c r="B102" s="1" t="s">
        <v>2704</v>
      </c>
      <c r="C102" s="1" t="s">
        <v>2816</v>
      </c>
      <c r="D102" s="1"/>
      <c r="E102" s="10" t="s">
        <v>2707</v>
      </c>
      <c r="F102" s="1">
        <v>3.68</v>
      </c>
      <c r="G102" s="1">
        <v>3.94</v>
      </c>
      <c r="H102" s="1">
        <v>3.18</v>
      </c>
      <c r="I102" s="1">
        <v>1</v>
      </c>
      <c r="J102" s="1" t="b">
        <v>0</v>
      </c>
      <c r="K102" s="1" t="b">
        <v>0</v>
      </c>
      <c r="L102" s="1" t="b">
        <v>0</v>
      </c>
      <c r="M102" s="1" t="b">
        <v>0</v>
      </c>
      <c r="N102" s="1" t="b">
        <v>1</v>
      </c>
      <c r="O102" s="1" t="b">
        <v>0</v>
      </c>
    </row>
    <row r="103" spans="1:15" ht="15.95" customHeight="1" x14ac:dyDescent="0.25">
      <c r="A103" s="4">
        <v>43737.46056712963</v>
      </c>
      <c r="B103" s="1" t="s">
        <v>2704</v>
      </c>
      <c r="C103" s="1" t="s">
        <v>2813</v>
      </c>
      <c r="D103" s="1" t="s">
        <v>2814</v>
      </c>
      <c r="E103" s="1" t="s">
        <v>2721</v>
      </c>
      <c r="F103" s="1">
        <v>3.68</v>
      </c>
      <c r="G103" s="1">
        <v>3.94</v>
      </c>
      <c r="H103" s="1">
        <v>3.18</v>
      </c>
      <c r="I103" s="1">
        <v>1</v>
      </c>
      <c r="J103" s="1" t="b">
        <v>0</v>
      </c>
      <c r="K103" s="1" t="b">
        <v>0</v>
      </c>
      <c r="L103" s="1" t="b">
        <v>0</v>
      </c>
      <c r="M103" s="1" t="b">
        <v>0</v>
      </c>
      <c r="N103" s="1" t="b">
        <v>1</v>
      </c>
      <c r="O103" s="1" t="b">
        <v>0</v>
      </c>
    </row>
    <row r="104" spans="1:15" ht="15.95" customHeight="1" x14ac:dyDescent="0.25">
      <c r="A104" s="4">
        <v>43737.46056712963</v>
      </c>
      <c r="B104" s="1" t="s">
        <v>2704</v>
      </c>
      <c r="C104" s="1" t="s">
        <v>2815</v>
      </c>
      <c r="D104" s="1" t="s">
        <v>2814</v>
      </c>
      <c r="E104" s="1" t="s">
        <v>2721</v>
      </c>
      <c r="F104" s="1">
        <v>3.68</v>
      </c>
      <c r="G104" s="1">
        <v>3.94</v>
      </c>
      <c r="H104" s="1">
        <v>3.18</v>
      </c>
      <c r="I104" s="1">
        <v>1</v>
      </c>
      <c r="J104" s="1" t="b">
        <v>0</v>
      </c>
      <c r="K104" s="1" t="b">
        <v>0</v>
      </c>
      <c r="L104" s="1" t="b">
        <v>0</v>
      </c>
      <c r="M104" s="1" t="b">
        <v>0</v>
      </c>
      <c r="N104" s="1" t="b">
        <v>1</v>
      </c>
      <c r="O104" s="1" t="b">
        <v>0</v>
      </c>
    </row>
    <row r="105" spans="1:15" ht="15.95" customHeight="1" x14ac:dyDescent="0.25">
      <c r="A105" s="4">
        <v>43737.46056712963</v>
      </c>
      <c r="B105" s="1" t="s">
        <v>2704</v>
      </c>
      <c r="C105" s="1" t="s">
        <v>2816</v>
      </c>
      <c r="D105" s="1" t="s">
        <v>2814</v>
      </c>
      <c r="E105" s="1" t="s">
        <v>2721</v>
      </c>
      <c r="F105" s="1">
        <v>3.68</v>
      </c>
      <c r="G105" s="1">
        <v>3.94</v>
      </c>
      <c r="H105" s="1">
        <v>3.18</v>
      </c>
      <c r="I105" s="1">
        <v>1</v>
      </c>
      <c r="J105" s="1" t="b">
        <v>0</v>
      </c>
      <c r="K105" s="1" t="b">
        <v>0</v>
      </c>
      <c r="L105" s="1" t="b">
        <v>0</v>
      </c>
      <c r="M105" s="1" t="b">
        <v>0</v>
      </c>
      <c r="N105" s="1" t="b">
        <v>1</v>
      </c>
      <c r="O105" s="1" t="b">
        <v>0</v>
      </c>
    </row>
    <row r="106" spans="1:15" ht="15.95" customHeight="1" x14ac:dyDescent="0.25">
      <c r="A106" s="4">
        <v>43737.460856481484</v>
      </c>
      <c r="B106" s="1" t="s">
        <v>2704</v>
      </c>
      <c r="C106" s="1" t="s">
        <v>2817</v>
      </c>
      <c r="D106" s="1" t="s">
        <v>2814</v>
      </c>
      <c r="E106" s="1" t="s">
        <v>2721</v>
      </c>
      <c r="F106" s="1">
        <v>3.68</v>
      </c>
      <c r="G106" s="1">
        <v>3.94</v>
      </c>
      <c r="H106" s="1">
        <v>3.18</v>
      </c>
      <c r="I106" s="1">
        <v>1</v>
      </c>
      <c r="J106" s="1" t="b">
        <v>0</v>
      </c>
      <c r="K106" s="1" t="b">
        <v>0</v>
      </c>
      <c r="L106" s="1" t="b">
        <v>0</v>
      </c>
      <c r="M106" s="1" t="b">
        <v>0</v>
      </c>
      <c r="N106" s="1" t="b">
        <v>1</v>
      </c>
      <c r="O106" s="1" t="b">
        <v>0</v>
      </c>
    </row>
    <row r="107" spans="1:15" ht="15.95" customHeight="1" x14ac:dyDescent="0.25">
      <c r="A107" s="4">
        <v>43737.48746527778</v>
      </c>
      <c r="B107" s="1" t="s">
        <v>2704</v>
      </c>
      <c r="C107" s="1" t="s">
        <v>2701</v>
      </c>
      <c r="D107" s="1" t="s">
        <v>2741</v>
      </c>
      <c r="E107" s="10">
        <v>0</v>
      </c>
      <c r="F107" s="1">
        <v>3.68</v>
      </c>
      <c r="G107" s="1">
        <v>3.94</v>
      </c>
      <c r="H107" s="1">
        <v>3.18</v>
      </c>
      <c r="I107" s="1">
        <v>1</v>
      </c>
      <c r="J107" s="1" t="b">
        <v>0</v>
      </c>
      <c r="K107" s="1" t="b">
        <v>0</v>
      </c>
      <c r="L107" s="1" t="b">
        <v>0</v>
      </c>
      <c r="M107" s="1" t="b">
        <v>0</v>
      </c>
      <c r="N107" s="1" t="b">
        <v>1</v>
      </c>
      <c r="O107" s="1" t="b">
        <v>0</v>
      </c>
    </row>
    <row r="108" spans="1:15" ht="15.95" customHeight="1" x14ac:dyDescent="0.25">
      <c r="A108" s="4">
        <v>43737.490682870368</v>
      </c>
      <c r="B108" s="1" t="s">
        <v>2704</v>
      </c>
      <c r="C108" s="1" t="s">
        <v>2695</v>
      </c>
      <c r="D108" s="1"/>
      <c r="E108" s="1" t="s">
        <v>2721</v>
      </c>
      <c r="F108" s="1">
        <v>3.68</v>
      </c>
      <c r="G108" s="1">
        <v>3.94</v>
      </c>
      <c r="H108" s="1">
        <v>3.18</v>
      </c>
      <c r="I108" s="1">
        <v>1</v>
      </c>
      <c r="J108" s="1" t="b">
        <v>1</v>
      </c>
      <c r="K108" s="1" t="b">
        <v>1</v>
      </c>
      <c r="L108" s="1" t="b">
        <v>0</v>
      </c>
      <c r="M108" s="1" t="b">
        <v>0</v>
      </c>
      <c r="N108" s="1" t="b">
        <v>1</v>
      </c>
      <c r="O108" s="1" t="b">
        <v>0</v>
      </c>
    </row>
    <row r="109" spans="1:15" ht="15.95" customHeight="1" x14ac:dyDescent="0.25">
      <c r="A109" s="4">
        <v>43737.490729166668</v>
      </c>
      <c r="B109" s="1" t="s">
        <v>2704</v>
      </c>
      <c r="C109" s="1" t="s">
        <v>2818</v>
      </c>
      <c r="D109" s="1" t="s">
        <v>2819</v>
      </c>
      <c r="E109" s="10" t="s">
        <v>2721</v>
      </c>
      <c r="F109" s="1">
        <v>3.68</v>
      </c>
      <c r="G109" s="1">
        <v>3.94</v>
      </c>
      <c r="H109" s="1">
        <v>3.18</v>
      </c>
      <c r="I109" s="1">
        <v>1</v>
      </c>
      <c r="J109" s="1" t="b">
        <v>1</v>
      </c>
      <c r="K109" s="1" t="b">
        <v>1</v>
      </c>
      <c r="L109" s="1" t="b">
        <v>0</v>
      </c>
      <c r="M109" s="1" t="b">
        <v>0</v>
      </c>
      <c r="N109" s="1" t="b">
        <v>1</v>
      </c>
      <c r="O109" s="1" t="b">
        <v>0</v>
      </c>
    </row>
    <row r="110" spans="1:15" ht="15.95" customHeight="1" x14ac:dyDescent="0.25">
      <c r="A110" s="4">
        <v>43737.494074074071</v>
      </c>
      <c r="B110" s="1" t="s">
        <v>2704</v>
      </c>
      <c r="C110" s="1" t="s">
        <v>2812</v>
      </c>
      <c r="D110" s="1" t="s">
        <v>2743</v>
      </c>
      <c r="E110" s="1" t="s">
        <v>2721</v>
      </c>
      <c r="F110" s="1">
        <v>3.68</v>
      </c>
      <c r="G110" s="1">
        <v>3.94</v>
      </c>
      <c r="H110" s="1">
        <v>3.18</v>
      </c>
      <c r="I110" s="1">
        <v>1</v>
      </c>
      <c r="J110" s="1" t="b">
        <v>1</v>
      </c>
      <c r="K110" s="1" t="b">
        <v>1</v>
      </c>
      <c r="L110" s="1" t="b">
        <v>0</v>
      </c>
      <c r="M110" s="1" t="b">
        <v>0</v>
      </c>
      <c r="N110" s="1" t="b">
        <v>1</v>
      </c>
      <c r="O110" s="1" t="b">
        <v>0</v>
      </c>
    </row>
    <row r="111" spans="1:15" ht="15.95" customHeight="1" x14ac:dyDescent="0.25">
      <c r="A111" s="4">
        <v>43737.494155092594</v>
      </c>
      <c r="B111" s="1" t="s">
        <v>2704</v>
      </c>
      <c r="C111" s="1" t="s">
        <v>2701</v>
      </c>
      <c r="D111" s="1" t="s">
        <v>2741</v>
      </c>
      <c r="E111" s="1">
        <v>0</v>
      </c>
      <c r="F111" s="1">
        <v>3.68</v>
      </c>
      <c r="G111" s="1">
        <v>3.94</v>
      </c>
      <c r="H111" s="1">
        <v>3.18</v>
      </c>
      <c r="I111" s="1">
        <v>1</v>
      </c>
      <c r="J111" s="1" t="b">
        <v>1</v>
      </c>
      <c r="K111" s="1" t="b">
        <v>1</v>
      </c>
      <c r="L111" s="1" t="b">
        <v>0</v>
      </c>
      <c r="M111" s="1" t="b">
        <v>0</v>
      </c>
      <c r="N111" s="1" t="b">
        <v>1</v>
      </c>
      <c r="O111" s="1" t="b">
        <v>0</v>
      </c>
    </row>
    <row r="112" spans="1:15" ht="15.95" customHeight="1" x14ac:dyDescent="0.25">
      <c r="A112" s="4">
        <v>43737.494212962964</v>
      </c>
      <c r="B112" s="1" t="s">
        <v>2704</v>
      </c>
      <c r="C112" s="1" t="s">
        <v>2812</v>
      </c>
      <c r="D112" s="1"/>
      <c r="E112" s="1" t="s">
        <v>2742</v>
      </c>
      <c r="F112" s="1">
        <v>3.68</v>
      </c>
      <c r="G112" s="1">
        <v>3.94</v>
      </c>
      <c r="H112" s="1">
        <v>3.18</v>
      </c>
      <c r="I112" s="1">
        <v>1</v>
      </c>
      <c r="J112" s="1" t="b">
        <v>1</v>
      </c>
      <c r="K112" s="1" t="b">
        <v>1</v>
      </c>
      <c r="L112" s="1" t="b">
        <v>0</v>
      </c>
      <c r="M112" s="1" t="b">
        <v>0</v>
      </c>
      <c r="N112" s="1" t="b">
        <v>1</v>
      </c>
      <c r="O112" s="1" t="b">
        <v>0</v>
      </c>
    </row>
    <row r="113" spans="1:15" ht="15.95" customHeight="1" x14ac:dyDescent="0.25">
      <c r="A113" s="4">
        <v>43737.494212962964</v>
      </c>
      <c r="B113" s="1" t="s">
        <v>2704</v>
      </c>
      <c r="C113" s="1" t="s">
        <v>2812</v>
      </c>
      <c r="D113" s="1"/>
      <c r="E113" s="1" t="s">
        <v>2707</v>
      </c>
      <c r="F113" s="1">
        <v>3.68</v>
      </c>
      <c r="G113" s="1">
        <v>3.94</v>
      </c>
      <c r="H113" s="1">
        <v>3.18</v>
      </c>
      <c r="I113" s="1">
        <v>1</v>
      </c>
      <c r="J113" s="1" t="b">
        <v>1</v>
      </c>
      <c r="K113" s="1" t="b">
        <v>1</v>
      </c>
      <c r="L113" s="1" t="b">
        <v>0</v>
      </c>
      <c r="M113" s="1" t="b">
        <v>0</v>
      </c>
      <c r="N113" s="1" t="b">
        <v>1</v>
      </c>
      <c r="O113" s="1" t="b">
        <v>0</v>
      </c>
    </row>
    <row r="114" spans="1:15" ht="15.95" customHeight="1" x14ac:dyDescent="0.25">
      <c r="A114" s="4">
        <v>43737.49428240741</v>
      </c>
      <c r="B114" s="1" t="s">
        <v>2704</v>
      </c>
      <c r="C114" s="1" t="s">
        <v>2812</v>
      </c>
      <c r="D114" s="1" t="s">
        <v>2743</v>
      </c>
      <c r="E114" s="10" t="s">
        <v>2721</v>
      </c>
      <c r="F114" s="1">
        <v>3.68</v>
      </c>
      <c r="G114" s="1">
        <v>3.94</v>
      </c>
      <c r="H114" s="1">
        <v>3.18</v>
      </c>
      <c r="I114" s="1">
        <v>1</v>
      </c>
      <c r="J114" s="1" t="b">
        <v>1</v>
      </c>
      <c r="K114" s="1" t="b">
        <v>1</v>
      </c>
      <c r="L114" s="1" t="b">
        <v>0</v>
      </c>
      <c r="M114" s="1" t="b">
        <v>0</v>
      </c>
      <c r="N114" s="1" t="b">
        <v>1</v>
      </c>
      <c r="O114" s="1" t="b">
        <v>0</v>
      </c>
    </row>
    <row r="115" spans="1:15" ht="15.95" customHeight="1" x14ac:dyDescent="0.25">
      <c r="A115" s="4">
        <v>43737.495509259257</v>
      </c>
      <c r="B115" s="1" t="s">
        <v>2704</v>
      </c>
      <c r="C115" s="1" t="s">
        <v>2818</v>
      </c>
      <c r="D115" s="1"/>
      <c r="E115" s="1" t="s">
        <v>2742</v>
      </c>
      <c r="F115" s="1">
        <v>3.68</v>
      </c>
      <c r="G115" s="1">
        <v>3.94</v>
      </c>
      <c r="H115" s="1">
        <v>3.18</v>
      </c>
      <c r="I115" s="1">
        <v>1</v>
      </c>
      <c r="J115" s="1" t="b">
        <v>0</v>
      </c>
      <c r="K115" s="1" t="b">
        <v>1</v>
      </c>
      <c r="L115" s="1" t="b">
        <v>0</v>
      </c>
      <c r="M115" s="1" t="b">
        <v>0</v>
      </c>
      <c r="N115" s="1" t="b">
        <v>1</v>
      </c>
      <c r="O115" s="1" t="b">
        <v>0</v>
      </c>
    </row>
    <row r="116" spans="1:15" ht="15.95" customHeight="1" x14ac:dyDescent="0.25">
      <c r="A116" s="4">
        <v>43737.495509259257</v>
      </c>
      <c r="B116" s="1" t="s">
        <v>2704</v>
      </c>
      <c r="C116" s="1" t="s">
        <v>2818</v>
      </c>
      <c r="D116" s="1"/>
      <c r="E116" s="10" t="s">
        <v>2707</v>
      </c>
      <c r="F116" s="1">
        <v>3.68</v>
      </c>
      <c r="G116" s="1">
        <v>3.94</v>
      </c>
      <c r="H116" s="1">
        <v>3.18</v>
      </c>
      <c r="I116" s="1">
        <v>1</v>
      </c>
      <c r="J116" s="1" t="b">
        <v>0</v>
      </c>
      <c r="K116" s="1" t="b">
        <v>1</v>
      </c>
      <c r="L116" s="1" t="b">
        <v>0</v>
      </c>
      <c r="M116" s="1" t="b">
        <v>0</v>
      </c>
      <c r="N116" s="1" t="b">
        <v>1</v>
      </c>
      <c r="O116" s="1" t="b">
        <v>0</v>
      </c>
    </row>
    <row r="117" spans="1:15" ht="15.95" customHeight="1" x14ac:dyDescent="0.25">
      <c r="A117" s="4">
        <v>43737.495578703703</v>
      </c>
      <c r="B117" s="1" t="s">
        <v>2704</v>
      </c>
      <c r="C117" s="1" t="s">
        <v>2818</v>
      </c>
      <c r="D117" s="1" t="s">
        <v>2819</v>
      </c>
      <c r="E117" s="1" t="s">
        <v>2721</v>
      </c>
      <c r="F117" s="1">
        <v>3.68</v>
      </c>
      <c r="G117" s="1">
        <v>3.94</v>
      </c>
      <c r="H117" s="1">
        <v>3.18</v>
      </c>
      <c r="I117" s="1">
        <v>1</v>
      </c>
      <c r="J117" s="1" t="b">
        <v>0</v>
      </c>
      <c r="K117" s="1" t="b">
        <v>1</v>
      </c>
      <c r="L117" s="1" t="b">
        <v>0</v>
      </c>
      <c r="M117" s="1" t="b">
        <v>0</v>
      </c>
      <c r="N117" s="1" t="b">
        <v>1</v>
      </c>
      <c r="O117" s="1" t="b">
        <v>0</v>
      </c>
    </row>
    <row r="118" spans="1:15" ht="15.95" customHeight="1" x14ac:dyDescent="0.25">
      <c r="A118" s="4">
        <v>43737.495659722219</v>
      </c>
      <c r="B118" s="1" t="s">
        <v>2704</v>
      </c>
      <c r="C118" s="1" t="s">
        <v>2701</v>
      </c>
      <c r="D118" s="1" t="s">
        <v>2741</v>
      </c>
      <c r="E118" s="1">
        <v>0</v>
      </c>
      <c r="F118" s="1">
        <v>3.68</v>
      </c>
      <c r="G118" s="1">
        <v>3.94</v>
      </c>
      <c r="H118" s="1">
        <v>3.18</v>
      </c>
      <c r="I118" s="1">
        <v>1</v>
      </c>
      <c r="J118" s="1" t="b">
        <v>0</v>
      </c>
      <c r="K118" s="1" t="b">
        <v>1</v>
      </c>
      <c r="L118" s="1" t="b">
        <v>0</v>
      </c>
      <c r="M118" s="1" t="b">
        <v>0</v>
      </c>
      <c r="N118" s="1" t="b">
        <v>1</v>
      </c>
      <c r="O118" s="1" t="b">
        <v>0</v>
      </c>
    </row>
    <row r="119" spans="1:15" ht="15.95" customHeight="1" x14ac:dyDescent="0.25">
      <c r="A119" s="4">
        <v>43737.495752314811</v>
      </c>
      <c r="B119" s="1" t="s">
        <v>2704</v>
      </c>
      <c r="C119" s="1" t="s">
        <v>2701</v>
      </c>
      <c r="D119" s="1" t="s">
        <v>2741</v>
      </c>
      <c r="E119" s="1">
        <v>0</v>
      </c>
      <c r="F119" s="1">
        <v>3.68</v>
      </c>
      <c r="G119" s="1">
        <v>3.94</v>
      </c>
      <c r="H119" s="1">
        <v>3.18</v>
      </c>
      <c r="I119" s="1">
        <v>1</v>
      </c>
      <c r="J119" s="1" t="b">
        <v>0</v>
      </c>
      <c r="K119" s="1" t="b">
        <v>0</v>
      </c>
      <c r="L119" s="1" t="b">
        <v>0</v>
      </c>
      <c r="M119" s="1" t="b">
        <v>0</v>
      </c>
      <c r="N119" s="1" t="b">
        <v>1</v>
      </c>
      <c r="O119" s="1" t="b">
        <v>0</v>
      </c>
    </row>
    <row r="120" spans="1:15" ht="15.95" customHeight="1" x14ac:dyDescent="0.25">
      <c r="A120" s="4">
        <v>43737.495752314811</v>
      </c>
      <c r="B120" s="1" t="s">
        <v>2704</v>
      </c>
      <c r="C120" s="1" t="s">
        <v>2701</v>
      </c>
      <c r="D120" s="1" t="s">
        <v>2721</v>
      </c>
      <c r="E120" s="1" t="s">
        <v>2820</v>
      </c>
      <c r="F120" s="1">
        <v>3.68</v>
      </c>
      <c r="G120" s="1">
        <v>3.94</v>
      </c>
      <c r="H120" s="1">
        <v>3.18</v>
      </c>
      <c r="I120" s="1">
        <v>1</v>
      </c>
      <c r="J120" s="1" t="b">
        <v>0</v>
      </c>
      <c r="K120" s="1" t="b">
        <v>0</v>
      </c>
      <c r="L120" s="1" t="b">
        <v>0</v>
      </c>
      <c r="M120" s="1" t="b">
        <v>0</v>
      </c>
      <c r="N120" s="1" t="b">
        <v>1</v>
      </c>
      <c r="O120" s="1" t="b">
        <v>0</v>
      </c>
    </row>
    <row r="121" spans="1:15" ht="15.95" customHeight="1" x14ac:dyDescent="0.25">
      <c r="A121" s="4">
        <v>43737.495891203704</v>
      </c>
      <c r="B121" s="1" t="s">
        <v>2704</v>
      </c>
      <c r="C121" s="1" t="s">
        <v>2818</v>
      </c>
      <c r="D121" s="1" t="s">
        <v>2819</v>
      </c>
      <c r="E121" s="10" t="s">
        <v>2721</v>
      </c>
      <c r="F121" s="1">
        <v>3.68</v>
      </c>
      <c r="G121" s="1">
        <v>3.94</v>
      </c>
      <c r="H121" s="1">
        <v>3.18</v>
      </c>
      <c r="I121" s="1">
        <v>1</v>
      </c>
      <c r="J121" s="1" t="b">
        <v>1</v>
      </c>
      <c r="K121" s="1" t="b">
        <v>1</v>
      </c>
      <c r="L121" s="1" t="b">
        <v>0</v>
      </c>
      <c r="M121" s="1" t="b">
        <v>0</v>
      </c>
      <c r="N121" s="1" t="b">
        <v>1</v>
      </c>
      <c r="O121" s="1" t="b">
        <v>0</v>
      </c>
    </row>
    <row r="122" spans="1:15" ht="15.95" customHeight="1" x14ac:dyDescent="0.25">
      <c r="A122" s="4">
        <v>43737.496030092596</v>
      </c>
      <c r="B122" s="1" t="s">
        <v>2704</v>
      </c>
      <c r="C122" s="1" t="s">
        <v>2695</v>
      </c>
      <c r="D122" s="1"/>
      <c r="E122" s="1" t="s">
        <v>2721</v>
      </c>
      <c r="F122" s="1">
        <v>3.68</v>
      </c>
      <c r="G122" s="1">
        <v>3.94</v>
      </c>
      <c r="H122" s="1">
        <v>3.18</v>
      </c>
      <c r="I122" s="1">
        <v>1</v>
      </c>
      <c r="J122" s="1" t="b">
        <v>0</v>
      </c>
      <c r="K122" s="1" t="b">
        <v>0</v>
      </c>
      <c r="L122" s="1" t="b">
        <v>0</v>
      </c>
      <c r="M122" s="1" t="b">
        <v>0</v>
      </c>
      <c r="N122" s="1" t="b">
        <v>1</v>
      </c>
      <c r="O122" s="1" t="b">
        <v>0</v>
      </c>
    </row>
    <row r="123" spans="1:15" ht="15.95" customHeight="1" x14ac:dyDescent="0.25">
      <c r="A123" s="4">
        <v>43737.496076388888</v>
      </c>
      <c r="B123" s="1" t="s">
        <v>2704</v>
      </c>
      <c r="C123" s="1" t="s">
        <v>2818</v>
      </c>
      <c r="D123" s="1" t="s">
        <v>2819</v>
      </c>
      <c r="E123" s="10" t="s">
        <v>2721</v>
      </c>
      <c r="F123" s="1">
        <v>3.68</v>
      </c>
      <c r="G123" s="1">
        <v>3.94</v>
      </c>
      <c r="H123" s="1">
        <v>3.18</v>
      </c>
      <c r="I123" s="1">
        <v>1</v>
      </c>
      <c r="J123" s="1" t="b">
        <v>1</v>
      </c>
      <c r="K123" s="1" t="b">
        <v>1</v>
      </c>
      <c r="L123" s="1" t="b">
        <v>0</v>
      </c>
      <c r="M123" s="1" t="b">
        <v>0</v>
      </c>
      <c r="N123" s="1" t="b">
        <v>1</v>
      </c>
      <c r="O123" s="1" t="b">
        <v>0</v>
      </c>
    </row>
    <row r="124" spans="1:15" ht="15.95" customHeight="1" x14ac:dyDescent="0.25">
      <c r="A124" s="4">
        <v>43737.496134259258</v>
      </c>
      <c r="B124" s="1" t="s">
        <v>2704</v>
      </c>
      <c r="C124" s="1" t="s">
        <v>2818</v>
      </c>
      <c r="D124" s="1" t="s">
        <v>2819</v>
      </c>
      <c r="E124" s="1" t="s">
        <v>2721</v>
      </c>
      <c r="F124" s="1">
        <v>3.68</v>
      </c>
      <c r="G124" s="1">
        <v>3.94</v>
      </c>
      <c r="H124" s="1">
        <v>3.18</v>
      </c>
      <c r="I124" s="1">
        <v>1</v>
      </c>
      <c r="J124" s="1" t="b">
        <v>0</v>
      </c>
      <c r="K124" s="1" t="b">
        <v>0</v>
      </c>
      <c r="L124" s="1" t="b">
        <v>0</v>
      </c>
      <c r="M124" s="1" t="b">
        <v>0</v>
      </c>
      <c r="N124" s="1" t="b">
        <v>1</v>
      </c>
      <c r="O124" s="1" t="b">
        <v>0</v>
      </c>
    </row>
    <row r="125" spans="1:15" ht="15.95" customHeight="1" x14ac:dyDescent="0.25">
      <c r="A125" s="4">
        <v>43737.496192129627</v>
      </c>
      <c r="B125" s="1" t="s">
        <v>2704</v>
      </c>
      <c r="C125" s="1" t="s">
        <v>2701</v>
      </c>
      <c r="D125" s="1" t="s">
        <v>2741</v>
      </c>
      <c r="E125" s="1">
        <v>0</v>
      </c>
      <c r="F125" s="1">
        <v>3.68</v>
      </c>
      <c r="G125" s="1">
        <v>3.94</v>
      </c>
      <c r="H125" s="1">
        <v>3.18</v>
      </c>
      <c r="I125" s="1">
        <v>1</v>
      </c>
      <c r="J125" s="1" t="b">
        <v>0</v>
      </c>
      <c r="K125" s="1" t="b">
        <v>0</v>
      </c>
      <c r="L125" s="1" t="b">
        <v>0</v>
      </c>
      <c r="M125" s="1" t="b">
        <v>0</v>
      </c>
      <c r="N125" s="1" t="b">
        <v>1</v>
      </c>
      <c r="O125" s="1" t="b">
        <v>0</v>
      </c>
    </row>
    <row r="126" spans="1:15" ht="15.95" customHeight="1" x14ac:dyDescent="0.25">
      <c r="A126" s="4">
        <v>43737.510023148148</v>
      </c>
      <c r="B126" s="1" t="s">
        <v>2704</v>
      </c>
      <c r="C126" s="1" t="s">
        <v>2701</v>
      </c>
      <c r="D126" s="1" t="s">
        <v>2741</v>
      </c>
      <c r="E126" s="1">
        <v>0</v>
      </c>
      <c r="F126" s="1">
        <v>3.68</v>
      </c>
      <c r="G126" s="1">
        <v>3.94</v>
      </c>
      <c r="H126" s="1">
        <v>3.18</v>
      </c>
      <c r="I126" s="1">
        <v>1</v>
      </c>
      <c r="J126" s="1" t="b">
        <v>0</v>
      </c>
      <c r="K126" s="1" t="b">
        <v>0</v>
      </c>
      <c r="L126" s="1" t="b">
        <v>0</v>
      </c>
      <c r="M126" s="1" t="b">
        <v>0</v>
      </c>
      <c r="N126" s="1" t="b">
        <v>1</v>
      </c>
      <c r="O126" s="1" t="b">
        <v>0</v>
      </c>
    </row>
    <row r="127" spans="1:15" ht="15.95" customHeight="1" x14ac:dyDescent="0.25">
      <c r="A127" s="4">
        <v>43737.517372685186</v>
      </c>
      <c r="B127" s="1" t="s">
        <v>2704</v>
      </c>
      <c r="C127" s="1" t="s">
        <v>2817</v>
      </c>
      <c r="D127" s="1" t="s">
        <v>2814</v>
      </c>
      <c r="E127" s="1" t="s">
        <v>2721</v>
      </c>
      <c r="F127" s="1">
        <v>3.68</v>
      </c>
      <c r="G127" s="1">
        <v>3.94</v>
      </c>
      <c r="H127" s="1">
        <v>3.18</v>
      </c>
      <c r="I127" s="1">
        <v>1</v>
      </c>
      <c r="J127" s="1" t="b">
        <v>0</v>
      </c>
      <c r="K127" s="1" t="b">
        <v>0</v>
      </c>
      <c r="L127" s="1" t="b">
        <v>0</v>
      </c>
      <c r="M127" s="1" t="b">
        <v>0</v>
      </c>
      <c r="N127" s="1" t="b">
        <v>1</v>
      </c>
      <c r="O127" s="1" t="b">
        <v>0</v>
      </c>
    </row>
    <row r="128" spans="1:15" ht="15.95" customHeight="1" x14ac:dyDescent="0.25">
      <c r="A128" s="4">
        <v>43737.52789351852</v>
      </c>
      <c r="B128" s="1" t="s">
        <v>2704</v>
      </c>
      <c r="C128" s="1" t="s">
        <v>2817</v>
      </c>
      <c r="D128" s="1" t="s">
        <v>2814</v>
      </c>
      <c r="E128" s="10" t="s">
        <v>2721</v>
      </c>
      <c r="F128" s="1">
        <v>3.68</v>
      </c>
      <c r="G128" s="1">
        <v>3.94</v>
      </c>
      <c r="H128" s="1">
        <v>3.18</v>
      </c>
      <c r="I128" s="1">
        <v>1</v>
      </c>
      <c r="J128" s="1" t="b">
        <v>0</v>
      </c>
      <c r="K128" s="1" t="b">
        <v>0</v>
      </c>
      <c r="L128" s="1" t="b">
        <v>0</v>
      </c>
      <c r="M128" s="1" t="b">
        <v>0</v>
      </c>
      <c r="N128" s="1" t="b">
        <v>1</v>
      </c>
      <c r="O128" s="1" t="b">
        <v>0</v>
      </c>
    </row>
    <row r="129" spans="1:15" ht="15.95" customHeight="1" x14ac:dyDescent="0.25">
      <c r="A129" s="4">
        <v>43737.533333333333</v>
      </c>
      <c r="B129" s="1" t="s">
        <v>2704</v>
      </c>
      <c r="C129" s="1" t="s">
        <v>2817</v>
      </c>
      <c r="D129" s="1" t="s">
        <v>2814</v>
      </c>
      <c r="E129" s="1" t="s">
        <v>2721</v>
      </c>
      <c r="F129" s="1">
        <v>3.68</v>
      </c>
      <c r="G129" s="1">
        <v>3.94</v>
      </c>
      <c r="H129" s="1">
        <v>3.18</v>
      </c>
      <c r="I129" s="1">
        <v>1</v>
      </c>
      <c r="J129" s="1" t="b">
        <v>0</v>
      </c>
      <c r="K129" s="1" t="b">
        <v>0</v>
      </c>
      <c r="L129" s="1" t="b">
        <v>0</v>
      </c>
      <c r="M129" s="1" t="b">
        <v>0</v>
      </c>
      <c r="N129" s="1" t="b">
        <v>1</v>
      </c>
      <c r="O129" s="1" t="b">
        <v>0</v>
      </c>
    </row>
    <row r="130" spans="1:15" ht="15.95" customHeight="1" x14ac:dyDescent="0.25">
      <c r="A130" s="4">
        <v>43737.542430555557</v>
      </c>
      <c r="B130" s="1" t="s">
        <v>2704</v>
      </c>
      <c r="C130" s="1" t="s">
        <v>2817</v>
      </c>
      <c r="D130" s="1" t="s">
        <v>2814</v>
      </c>
      <c r="E130" s="10" t="s">
        <v>2721</v>
      </c>
      <c r="F130" s="1">
        <v>3.68</v>
      </c>
      <c r="G130" s="1">
        <v>3.94</v>
      </c>
      <c r="H130" s="1">
        <v>3.18</v>
      </c>
      <c r="I130" s="1">
        <v>1</v>
      </c>
      <c r="J130" s="1" t="b">
        <v>0</v>
      </c>
      <c r="K130" s="1" t="b">
        <v>0</v>
      </c>
      <c r="L130" s="1" t="b">
        <v>0</v>
      </c>
      <c r="M130" s="1" t="b">
        <v>0</v>
      </c>
      <c r="N130" s="1" t="b">
        <v>1</v>
      </c>
      <c r="O130" s="1" t="b">
        <v>0</v>
      </c>
    </row>
    <row r="131" spans="1:15" ht="15.95" customHeight="1" x14ac:dyDescent="0.25">
      <c r="A131" s="4">
        <v>43737.543680555558</v>
      </c>
      <c r="B131" s="1" t="s">
        <v>2704</v>
      </c>
      <c r="C131" s="1" t="s">
        <v>2817</v>
      </c>
      <c r="D131" s="1" t="s">
        <v>2814</v>
      </c>
      <c r="E131" s="1" t="s">
        <v>2721</v>
      </c>
      <c r="F131" s="1">
        <v>3.68</v>
      </c>
      <c r="G131" s="1">
        <v>3.94</v>
      </c>
      <c r="H131" s="1">
        <v>3.18</v>
      </c>
      <c r="I131" s="1">
        <v>1</v>
      </c>
      <c r="J131" s="1" t="b">
        <v>0</v>
      </c>
      <c r="K131" s="1" t="b">
        <v>0</v>
      </c>
      <c r="L131" s="1" t="b">
        <v>0</v>
      </c>
      <c r="M131" s="1" t="b">
        <v>0</v>
      </c>
      <c r="N131" s="1" t="b">
        <v>1</v>
      </c>
      <c r="O131" s="1" t="b">
        <v>0</v>
      </c>
    </row>
    <row r="132" spans="1:15" ht="15.95" customHeight="1" x14ac:dyDescent="0.25">
      <c r="A132" s="4">
        <v>43737.548090277778</v>
      </c>
      <c r="B132" s="1" t="s">
        <v>2704</v>
      </c>
      <c r="C132" s="1" t="s">
        <v>2817</v>
      </c>
      <c r="D132" s="1" t="s">
        <v>2814</v>
      </c>
      <c r="E132" s="1" t="s">
        <v>2721</v>
      </c>
      <c r="F132" s="1">
        <v>3.68</v>
      </c>
      <c r="G132" s="1">
        <v>3.94</v>
      </c>
      <c r="H132" s="1">
        <v>3.18</v>
      </c>
      <c r="I132" s="1">
        <v>1</v>
      </c>
      <c r="J132" s="1" t="b">
        <v>0</v>
      </c>
      <c r="K132" s="1" t="b">
        <v>0</v>
      </c>
      <c r="L132" s="1" t="b">
        <v>0</v>
      </c>
      <c r="M132" s="1" t="b">
        <v>0</v>
      </c>
      <c r="N132" s="1" t="b">
        <v>1</v>
      </c>
      <c r="O132" s="1" t="b">
        <v>0</v>
      </c>
    </row>
    <row r="133" spans="1:15" ht="15.95" customHeight="1" x14ac:dyDescent="0.25">
      <c r="A133" s="4">
        <v>43737.55195601852</v>
      </c>
      <c r="B133" s="1" t="s">
        <v>2704</v>
      </c>
      <c r="C133" s="1" t="s">
        <v>2817</v>
      </c>
      <c r="D133" s="1" t="s">
        <v>2814</v>
      </c>
      <c r="E133" s="1" t="s">
        <v>2721</v>
      </c>
      <c r="F133" s="1">
        <v>3.68</v>
      </c>
      <c r="G133" s="1">
        <v>3.94</v>
      </c>
      <c r="H133" s="1">
        <v>3.18</v>
      </c>
      <c r="I133" s="1">
        <v>1</v>
      </c>
      <c r="J133" s="1" t="b">
        <v>0</v>
      </c>
      <c r="K133" s="1" t="b">
        <v>0</v>
      </c>
      <c r="L133" s="1" t="b">
        <v>0</v>
      </c>
      <c r="M133" s="1" t="b">
        <v>0</v>
      </c>
      <c r="N133" s="1" t="b">
        <v>1</v>
      </c>
      <c r="O133" s="1" t="b">
        <v>0</v>
      </c>
    </row>
    <row r="134" spans="1:15" ht="15.95" customHeight="1" x14ac:dyDescent="0.25">
      <c r="A134" s="4">
        <v>43737.630949074075</v>
      </c>
      <c r="B134" s="1" t="s">
        <v>2704</v>
      </c>
      <c r="C134" s="1" t="s">
        <v>2705</v>
      </c>
      <c r="D134" s="1" t="s">
        <v>2706</v>
      </c>
      <c r="E134" s="1" t="s">
        <v>2707</v>
      </c>
      <c r="F134" s="1">
        <v>3.68</v>
      </c>
      <c r="G134" s="1">
        <v>3.94</v>
      </c>
      <c r="H134" s="1">
        <v>3.18</v>
      </c>
      <c r="I134" s="1">
        <v>1</v>
      </c>
      <c r="J134" s="1" t="b">
        <v>0</v>
      </c>
      <c r="K134" s="1" t="b">
        <v>0</v>
      </c>
      <c r="L134" s="1" t="b">
        <v>0</v>
      </c>
      <c r="M134" s="1" t="b">
        <v>0</v>
      </c>
      <c r="N134" s="1" t="b">
        <v>1</v>
      </c>
      <c r="O134" s="1" t="b">
        <v>0</v>
      </c>
    </row>
    <row r="135" spans="1:15" ht="15.95" customHeight="1" x14ac:dyDescent="0.25">
      <c r="A135" s="4">
        <v>43737.630983796298</v>
      </c>
      <c r="B135" s="1" t="s">
        <v>2704</v>
      </c>
      <c r="C135" s="1" t="s">
        <v>2708</v>
      </c>
      <c r="D135" s="1" t="s">
        <v>2706</v>
      </c>
      <c r="E135" s="10" t="s">
        <v>2707</v>
      </c>
      <c r="F135" s="1">
        <v>3.68</v>
      </c>
      <c r="G135" s="1">
        <v>3.94</v>
      </c>
      <c r="H135" s="1">
        <v>3.18</v>
      </c>
      <c r="I135" s="1">
        <v>1</v>
      </c>
      <c r="J135" s="1" t="b">
        <v>0</v>
      </c>
      <c r="K135" s="1" t="b">
        <v>0</v>
      </c>
      <c r="L135" s="1" t="b">
        <v>0</v>
      </c>
      <c r="M135" s="1" t="b">
        <v>0</v>
      </c>
      <c r="N135" s="1" t="b">
        <v>1</v>
      </c>
      <c r="O135" s="1" t="b">
        <v>0</v>
      </c>
    </row>
    <row r="136" spans="1:15" ht="15.95" customHeight="1" x14ac:dyDescent="0.25">
      <c r="A136" s="4">
        <v>43737.631111111114</v>
      </c>
      <c r="B136" s="1" t="s">
        <v>2704</v>
      </c>
      <c r="C136" s="1" t="s">
        <v>2821</v>
      </c>
      <c r="D136" s="1" t="s">
        <v>2822</v>
      </c>
      <c r="E136" s="1" t="s">
        <v>2823</v>
      </c>
      <c r="F136" s="1">
        <v>3.68</v>
      </c>
      <c r="G136" s="1">
        <v>3.94</v>
      </c>
      <c r="H136" s="1">
        <v>3.18</v>
      </c>
      <c r="I136" s="1">
        <v>1</v>
      </c>
      <c r="J136" s="1" t="b">
        <v>0</v>
      </c>
      <c r="K136" s="1" t="b">
        <v>0</v>
      </c>
      <c r="L136" s="1" t="b">
        <v>0</v>
      </c>
      <c r="M136" s="1" t="b">
        <v>0</v>
      </c>
      <c r="N136" s="1" t="b">
        <v>1</v>
      </c>
      <c r="O136" s="1" t="b">
        <v>0</v>
      </c>
    </row>
    <row r="137" spans="1:15" ht="15.95" customHeight="1" x14ac:dyDescent="0.25">
      <c r="A137" s="4">
        <v>43737.631111111114</v>
      </c>
      <c r="B137" s="1" t="s">
        <v>2704</v>
      </c>
      <c r="C137" s="1" t="s">
        <v>2705</v>
      </c>
      <c r="D137" s="1" t="s">
        <v>2709</v>
      </c>
      <c r="E137" s="10" t="s">
        <v>2710</v>
      </c>
      <c r="F137" s="1">
        <v>3.68</v>
      </c>
      <c r="G137" s="1">
        <v>3.94</v>
      </c>
      <c r="H137" s="1">
        <v>3.18</v>
      </c>
      <c r="I137" s="1">
        <v>1</v>
      </c>
      <c r="J137" s="1" t="b">
        <v>0</v>
      </c>
      <c r="K137" s="1" t="b">
        <v>0</v>
      </c>
      <c r="L137" s="1" t="b">
        <v>0</v>
      </c>
      <c r="M137" s="1" t="b">
        <v>0</v>
      </c>
      <c r="N137" s="1" t="b">
        <v>1</v>
      </c>
      <c r="O137" s="1" t="b">
        <v>0</v>
      </c>
    </row>
    <row r="138" spans="1:15" ht="15.95" customHeight="1" x14ac:dyDescent="0.25">
      <c r="A138" s="4">
        <v>43737.631111111114</v>
      </c>
      <c r="B138" s="1" t="s">
        <v>2704</v>
      </c>
      <c r="C138" s="1" t="s">
        <v>2705</v>
      </c>
      <c r="D138" s="1" t="s">
        <v>2711</v>
      </c>
      <c r="E138" s="1" t="s">
        <v>2824</v>
      </c>
      <c r="F138" s="1">
        <v>3.68</v>
      </c>
      <c r="G138" s="1">
        <v>3.94</v>
      </c>
      <c r="H138" s="1">
        <v>3.18</v>
      </c>
      <c r="I138" s="1">
        <v>1</v>
      </c>
      <c r="J138" s="1" t="b">
        <v>0</v>
      </c>
      <c r="K138" s="1" t="b">
        <v>0</v>
      </c>
      <c r="L138" s="1" t="b">
        <v>0</v>
      </c>
      <c r="M138" s="1" t="b">
        <v>0</v>
      </c>
      <c r="N138" s="1" t="b">
        <v>1</v>
      </c>
      <c r="O138" s="1" t="b">
        <v>0</v>
      </c>
    </row>
    <row r="139" spans="1:15" ht="15.95" customHeight="1" x14ac:dyDescent="0.25">
      <c r="A139" s="4">
        <v>43737.631111111114</v>
      </c>
      <c r="B139" s="1" t="s">
        <v>2704</v>
      </c>
      <c r="C139" s="1" t="s">
        <v>2705</v>
      </c>
      <c r="D139" s="1" t="s">
        <v>2713</v>
      </c>
      <c r="E139" s="1">
        <v>960</v>
      </c>
      <c r="F139" s="1">
        <v>3.68</v>
      </c>
      <c r="G139" s="1">
        <v>3.94</v>
      </c>
      <c r="H139" s="1">
        <v>3.18</v>
      </c>
      <c r="I139" s="1">
        <v>1</v>
      </c>
      <c r="J139" s="1" t="b">
        <v>0</v>
      </c>
      <c r="K139" s="1" t="b">
        <v>0</v>
      </c>
      <c r="L139" s="1" t="b">
        <v>0</v>
      </c>
      <c r="M139" s="1" t="b">
        <v>0</v>
      </c>
      <c r="N139" s="1" t="b">
        <v>1</v>
      </c>
      <c r="O139" s="1" t="b">
        <v>0</v>
      </c>
    </row>
    <row r="140" spans="1:15" ht="15.95" customHeight="1" x14ac:dyDescent="0.25">
      <c r="A140" s="4">
        <v>43737.631111111114</v>
      </c>
      <c r="B140" s="1" t="s">
        <v>2704</v>
      </c>
      <c r="C140" s="1" t="s">
        <v>2705</v>
      </c>
      <c r="D140" s="1" t="s">
        <v>2703</v>
      </c>
      <c r="E140" s="1" t="s">
        <v>2825</v>
      </c>
      <c r="F140" s="1">
        <v>3.68</v>
      </c>
      <c r="G140" s="1">
        <v>3.94</v>
      </c>
      <c r="H140" s="1">
        <v>3.18</v>
      </c>
      <c r="I140" s="1">
        <v>1</v>
      </c>
      <c r="J140" s="1" t="b">
        <v>0</v>
      </c>
      <c r="K140" s="1" t="b">
        <v>0</v>
      </c>
      <c r="L140" s="1" t="b">
        <v>0</v>
      </c>
      <c r="M140" s="1" t="b">
        <v>0</v>
      </c>
      <c r="N140" s="1" t="b">
        <v>1</v>
      </c>
      <c r="O140" s="1" t="b">
        <v>0</v>
      </c>
    </row>
    <row r="141" spans="1:15" ht="15.95" customHeight="1" x14ac:dyDescent="0.25">
      <c r="A141" s="4">
        <v>43737.631111111114</v>
      </c>
      <c r="B141" s="1" t="s">
        <v>2704</v>
      </c>
      <c r="C141" s="1" t="s">
        <v>2705</v>
      </c>
      <c r="D141" s="1" t="s">
        <v>2716</v>
      </c>
      <c r="E141" s="1" t="s">
        <v>2717</v>
      </c>
      <c r="F141" s="1">
        <v>3.68</v>
      </c>
      <c r="G141" s="1">
        <v>3.94</v>
      </c>
      <c r="H141" s="1">
        <v>3.18</v>
      </c>
      <c r="I141" s="1">
        <v>1</v>
      </c>
      <c r="J141" s="1" t="b">
        <v>0</v>
      </c>
      <c r="K141" s="1" t="b">
        <v>0</v>
      </c>
      <c r="L141" s="1" t="b">
        <v>0</v>
      </c>
      <c r="M141" s="1" t="b">
        <v>0</v>
      </c>
      <c r="N141" s="1" t="b">
        <v>1</v>
      </c>
      <c r="O141" s="1" t="b">
        <v>0</v>
      </c>
    </row>
    <row r="142" spans="1:15" ht="15.95" customHeight="1" x14ac:dyDescent="0.25">
      <c r="A142" s="4">
        <v>43737.631111111114</v>
      </c>
      <c r="B142" s="1" t="s">
        <v>2704</v>
      </c>
      <c r="C142" s="1" t="s">
        <v>2705</v>
      </c>
      <c r="D142" s="1" t="s">
        <v>2718</v>
      </c>
      <c r="E142" s="10" t="s">
        <v>2710</v>
      </c>
      <c r="F142" s="1">
        <v>3.68</v>
      </c>
      <c r="G142" s="1">
        <v>3.94</v>
      </c>
      <c r="H142" s="1">
        <v>3.18</v>
      </c>
      <c r="I142" s="1">
        <v>1</v>
      </c>
      <c r="J142" s="1" t="b">
        <v>0</v>
      </c>
      <c r="K142" s="1" t="b">
        <v>0</v>
      </c>
      <c r="L142" s="1" t="b">
        <v>0</v>
      </c>
      <c r="M142" s="1" t="b">
        <v>0</v>
      </c>
      <c r="N142" s="1" t="b">
        <v>1</v>
      </c>
      <c r="O142" s="1" t="b">
        <v>0</v>
      </c>
    </row>
    <row r="143" spans="1:15" ht="15.95" customHeight="1" x14ac:dyDescent="0.25">
      <c r="A143" s="4">
        <v>43737.631111111114</v>
      </c>
      <c r="B143" s="1" t="s">
        <v>2704</v>
      </c>
      <c r="C143" s="1" t="s">
        <v>2708</v>
      </c>
      <c r="D143" s="1" t="s">
        <v>2706</v>
      </c>
      <c r="E143" s="1" t="s">
        <v>2721</v>
      </c>
      <c r="F143" s="1">
        <v>3.68</v>
      </c>
      <c r="G143" s="1">
        <v>3.94</v>
      </c>
      <c r="H143" s="1">
        <v>3.18</v>
      </c>
      <c r="I143" s="1">
        <v>1</v>
      </c>
      <c r="J143" s="1" t="b">
        <v>0</v>
      </c>
      <c r="K143" s="1" t="b">
        <v>0</v>
      </c>
      <c r="L143" s="1" t="b">
        <v>0</v>
      </c>
      <c r="M143" s="1" t="b">
        <v>0</v>
      </c>
      <c r="N143" s="1" t="b">
        <v>1</v>
      </c>
      <c r="O143" s="1" t="b">
        <v>0</v>
      </c>
    </row>
    <row r="144" spans="1:15" ht="15.95" customHeight="1" x14ac:dyDescent="0.25">
      <c r="A144" s="4">
        <v>43737.631608796299</v>
      </c>
      <c r="B144" s="1" t="s">
        <v>2704</v>
      </c>
      <c r="C144" s="1" t="s">
        <v>2705</v>
      </c>
      <c r="D144" s="1" t="s">
        <v>2709</v>
      </c>
      <c r="E144" s="10" t="s">
        <v>2710</v>
      </c>
      <c r="F144" s="1">
        <v>3.68</v>
      </c>
      <c r="G144" s="1">
        <v>3.94</v>
      </c>
      <c r="H144" s="1">
        <v>3.18</v>
      </c>
      <c r="I144" s="1">
        <v>1</v>
      </c>
      <c r="J144" s="1" t="b">
        <v>0</v>
      </c>
      <c r="K144" s="1" t="b">
        <v>0</v>
      </c>
      <c r="L144" s="1" t="b">
        <v>0</v>
      </c>
      <c r="M144" s="1" t="b">
        <v>0</v>
      </c>
      <c r="N144" s="1" t="b">
        <v>1</v>
      </c>
      <c r="O144" s="1" t="b">
        <v>0</v>
      </c>
    </row>
    <row r="145" spans="1:15" ht="15.95" customHeight="1" x14ac:dyDescent="0.25">
      <c r="A145" s="4">
        <v>43737.631608796299</v>
      </c>
      <c r="B145" s="1" t="s">
        <v>2704</v>
      </c>
      <c r="C145" s="1" t="s">
        <v>2705</v>
      </c>
      <c r="D145" s="1" t="s">
        <v>2711</v>
      </c>
      <c r="E145" s="1" t="s">
        <v>2824</v>
      </c>
      <c r="F145" s="1">
        <v>3.68</v>
      </c>
      <c r="G145" s="1">
        <v>3.94</v>
      </c>
      <c r="H145" s="1">
        <v>3.18</v>
      </c>
      <c r="I145" s="1">
        <v>1</v>
      </c>
      <c r="J145" s="1" t="b">
        <v>0</v>
      </c>
      <c r="K145" s="1" t="b">
        <v>0</v>
      </c>
      <c r="L145" s="1" t="b">
        <v>0</v>
      </c>
      <c r="M145" s="1" t="b">
        <v>0</v>
      </c>
      <c r="N145" s="1" t="b">
        <v>1</v>
      </c>
      <c r="O145" s="1" t="b">
        <v>0</v>
      </c>
    </row>
    <row r="146" spans="1:15" ht="15.95" customHeight="1" x14ac:dyDescent="0.25">
      <c r="A146" s="4">
        <v>43737.631608796299</v>
      </c>
      <c r="B146" s="1" t="s">
        <v>2704</v>
      </c>
      <c r="C146" s="1" t="s">
        <v>2705</v>
      </c>
      <c r="D146" s="1" t="s">
        <v>2713</v>
      </c>
      <c r="E146" s="1">
        <v>960</v>
      </c>
      <c r="F146" s="1">
        <v>3.68</v>
      </c>
      <c r="G146" s="1">
        <v>3.94</v>
      </c>
      <c r="H146" s="1">
        <v>3.18</v>
      </c>
      <c r="I146" s="1">
        <v>1</v>
      </c>
      <c r="J146" s="1" t="b">
        <v>0</v>
      </c>
      <c r="K146" s="1" t="b">
        <v>0</v>
      </c>
      <c r="L146" s="1" t="b">
        <v>0</v>
      </c>
      <c r="M146" s="1" t="b">
        <v>0</v>
      </c>
      <c r="N146" s="1" t="b">
        <v>1</v>
      </c>
      <c r="O146" s="1" t="b">
        <v>0</v>
      </c>
    </row>
    <row r="147" spans="1:15" ht="15.95" customHeight="1" x14ac:dyDescent="0.25">
      <c r="A147" s="4">
        <v>43737.631608796299</v>
      </c>
      <c r="B147" s="1" t="s">
        <v>2704</v>
      </c>
      <c r="C147" s="1" t="s">
        <v>2705</v>
      </c>
      <c r="D147" s="1" t="s">
        <v>2703</v>
      </c>
      <c r="E147" s="1" t="s">
        <v>2825</v>
      </c>
      <c r="F147" s="1">
        <v>3.68</v>
      </c>
      <c r="G147" s="1">
        <v>3.94</v>
      </c>
      <c r="H147" s="1">
        <v>3.18</v>
      </c>
      <c r="I147" s="1">
        <v>1</v>
      </c>
      <c r="J147" s="1" t="b">
        <v>0</v>
      </c>
      <c r="K147" s="1" t="b">
        <v>0</v>
      </c>
      <c r="L147" s="1" t="b">
        <v>0</v>
      </c>
      <c r="M147" s="1" t="b">
        <v>0</v>
      </c>
      <c r="N147" s="1" t="b">
        <v>1</v>
      </c>
      <c r="O147" s="1" t="b">
        <v>0</v>
      </c>
    </row>
    <row r="148" spans="1:15" ht="15.95" customHeight="1" x14ac:dyDescent="0.25">
      <c r="A148" s="4">
        <v>43737.631608796299</v>
      </c>
      <c r="B148" s="1" t="s">
        <v>2704</v>
      </c>
      <c r="C148" s="1" t="s">
        <v>2705</v>
      </c>
      <c r="D148" s="1" t="s">
        <v>2716</v>
      </c>
      <c r="E148" s="1" t="s">
        <v>2717</v>
      </c>
      <c r="F148" s="1">
        <v>3.68</v>
      </c>
      <c r="G148" s="1">
        <v>3.94</v>
      </c>
      <c r="H148" s="1">
        <v>3.18</v>
      </c>
      <c r="I148" s="1">
        <v>1</v>
      </c>
      <c r="J148" s="1" t="b">
        <v>0</v>
      </c>
      <c r="K148" s="1" t="b">
        <v>0</v>
      </c>
      <c r="L148" s="1" t="b">
        <v>0</v>
      </c>
      <c r="M148" s="1" t="b">
        <v>0</v>
      </c>
      <c r="N148" s="1" t="b">
        <v>1</v>
      </c>
      <c r="O148" s="1" t="b">
        <v>0</v>
      </c>
    </row>
    <row r="149" spans="1:15" ht="15.95" customHeight="1" x14ac:dyDescent="0.25">
      <c r="A149" s="4">
        <v>43737.631608796299</v>
      </c>
      <c r="B149" s="1" t="s">
        <v>2704</v>
      </c>
      <c r="C149" s="1" t="s">
        <v>2705</v>
      </c>
      <c r="D149" s="1" t="s">
        <v>2718</v>
      </c>
      <c r="E149" s="10" t="s">
        <v>2710</v>
      </c>
      <c r="F149" s="1">
        <v>3.68</v>
      </c>
      <c r="G149" s="1">
        <v>3.94</v>
      </c>
      <c r="H149" s="1">
        <v>3.18</v>
      </c>
      <c r="I149" s="1">
        <v>1</v>
      </c>
      <c r="J149" s="1" t="b">
        <v>0</v>
      </c>
      <c r="K149" s="1" t="b">
        <v>0</v>
      </c>
      <c r="L149" s="1" t="b">
        <v>0</v>
      </c>
      <c r="M149" s="1" t="b">
        <v>0</v>
      </c>
      <c r="N149" s="1" t="b">
        <v>1</v>
      </c>
      <c r="O149" s="1" t="b">
        <v>0</v>
      </c>
    </row>
    <row r="150" spans="1:15" ht="15.95" customHeight="1" x14ac:dyDescent="0.25">
      <c r="A150" s="4">
        <v>43737.631620370368</v>
      </c>
      <c r="B150" s="1" t="s">
        <v>2704</v>
      </c>
      <c r="C150" s="1" t="s">
        <v>2708</v>
      </c>
      <c r="D150" s="1" t="s">
        <v>2706</v>
      </c>
      <c r="E150" s="1" t="s">
        <v>2721</v>
      </c>
      <c r="F150" s="1">
        <v>3.68</v>
      </c>
      <c r="G150" s="1">
        <v>3.94</v>
      </c>
      <c r="H150" s="1">
        <v>3.18</v>
      </c>
      <c r="I150" s="1">
        <v>1</v>
      </c>
      <c r="J150" s="1" t="b">
        <v>0</v>
      </c>
      <c r="K150" s="1" t="b">
        <v>0</v>
      </c>
      <c r="L150" s="1" t="b">
        <v>0</v>
      </c>
      <c r="M150" s="1" t="b">
        <v>0</v>
      </c>
      <c r="N150" s="1" t="b">
        <v>1</v>
      </c>
      <c r="O150" s="1" t="b">
        <v>0</v>
      </c>
    </row>
    <row r="151" spans="1:15" ht="15.95" customHeight="1" x14ac:dyDescent="0.25">
      <c r="A151" s="4">
        <v>43737.631736111114</v>
      </c>
      <c r="B151" s="1" t="s">
        <v>2704</v>
      </c>
      <c r="C151" s="1" t="s">
        <v>2817</v>
      </c>
      <c r="D151" s="1" t="s">
        <v>2814</v>
      </c>
      <c r="E151" s="10" t="s">
        <v>2721</v>
      </c>
      <c r="F151" s="1">
        <v>3.68</v>
      </c>
      <c r="G151" s="1">
        <v>3.94</v>
      </c>
      <c r="H151" s="1">
        <v>3.18</v>
      </c>
      <c r="I151" s="1">
        <v>1</v>
      </c>
      <c r="J151" s="1" t="b">
        <v>0</v>
      </c>
      <c r="K151" s="1" t="b">
        <v>0</v>
      </c>
      <c r="L151" s="1" t="b">
        <v>0</v>
      </c>
      <c r="M151" s="1" t="b">
        <v>0</v>
      </c>
      <c r="N151" s="1" t="b">
        <v>1</v>
      </c>
      <c r="O151" s="1" t="b">
        <v>0</v>
      </c>
    </row>
    <row r="152" spans="1:15" ht="15.95" customHeight="1" x14ac:dyDescent="0.25">
      <c r="A152" s="4">
        <v>43737.632048611114</v>
      </c>
      <c r="B152" s="1" t="s">
        <v>2704</v>
      </c>
      <c r="C152" s="1" t="s">
        <v>2817</v>
      </c>
      <c r="D152" s="1" t="s">
        <v>2814</v>
      </c>
      <c r="E152" s="1" t="s">
        <v>2721</v>
      </c>
      <c r="F152" s="1">
        <v>3.68</v>
      </c>
      <c r="G152" s="1">
        <v>3.94</v>
      </c>
      <c r="H152" s="1">
        <v>3.18</v>
      </c>
      <c r="I152" s="1">
        <v>1</v>
      </c>
      <c r="J152" s="1" t="b">
        <v>0</v>
      </c>
      <c r="K152" s="1" t="b">
        <v>0</v>
      </c>
      <c r="L152" s="1" t="b">
        <v>0</v>
      </c>
      <c r="M152" s="1" t="b">
        <v>1</v>
      </c>
      <c r="N152" s="1" t="b">
        <v>1</v>
      </c>
      <c r="O152" s="1" t="b">
        <v>0</v>
      </c>
    </row>
    <row r="153" spans="1:15" ht="15.95" customHeight="1" x14ac:dyDescent="0.25">
      <c r="A153" s="4">
        <v>43737.664756944447</v>
      </c>
      <c r="B153" s="1" t="s">
        <v>2704</v>
      </c>
      <c r="C153" s="1" t="s">
        <v>2826</v>
      </c>
      <c r="D153" s="1" t="s">
        <v>2827</v>
      </c>
      <c r="E153" s="1" t="s">
        <v>2828</v>
      </c>
      <c r="F153" s="1">
        <v>3.68</v>
      </c>
      <c r="G153" s="1">
        <v>3.94</v>
      </c>
      <c r="H153" s="1">
        <v>3.18</v>
      </c>
      <c r="I153" s="1">
        <v>1</v>
      </c>
      <c r="J153" s="1" t="b">
        <v>0</v>
      </c>
      <c r="K153" s="1" t="b">
        <v>0</v>
      </c>
      <c r="L153" s="1" t="b">
        <v>0</v>
      </c>
      <c r="M153" s="1" t="b">
        <v>0</v>
      </c>
      <c r="N153" s="1" t="b">
        <v>1</v>
      </c>
      <c r="O153" s="1" t="b">
        <v>0</v>
      </c>
    </row>
    <row r="154" spans="1:15" ht="15.95" customHeight="1" x14ac:dyDescent="0.25">
      <c r="A154" s="4">
        <v>43737.666018518517</v>
      </c>
      <c r="B154" s="1" t="s">
        <v>2704</v>
      </c>
      <c r="C154" s="1" t="s">
        <v>2835</v>
      </c>
      <c r="D154" s="1" t="s">
        <v>2827</v>
      </c>
      <c r="E154" s="1" t="s">
        <v>2721</v>
      </c>
      <c r="F154" s="1">
        <v>3.68</v>
      </c>
      <c r="G154" s="1">
        <v>3.94</v>
      </c>
      <c r="H154" s="1">
        <v>3.18</v>
      </c>
      <c r="I154" s="1">
        <v>1</v>
      </c>
      <c r="J154" s="1" t="b">
        <v>0</v>
      </c>
      <c r="K154" s="1" t="b">
        <v>0</v>
      </c>
      <c r="L154" s="1" t="b">
        <v>0</v>
      </c>
      <c r="M154" s="1" t="b">
        <v>0</v>
      </c>
      <c r="N154" s="1" t="b">
        <v>1</v>
      </c>
      <c r="O154" s="1" t="b">
        <v>0</v>
      </c>
    </row>
    <row r="155" spans="1:15" ht="15.95" customHeight="1" x14ac:dyDescent="0.25">
      <c r="A155" s="4">
        <v>43737.66609953704</v>
      </c>
      <c r="B155" s="1" t="s">
        <v>2704</v>
      </c>
      <c r="C155" s="1" t="s">
        <v>2835</v>
      </c>
      <c r="D155" s="1" t="s">
        <v>2827</v>
      </c>
      <c r="E155" s="1" t="s">
        <v>2721</v>
      </c>
      <c r="F155" s="1">
        <v>3.68</v>
      </c>
      <c r="G155" s="1">
        <v>3.94</v>
      </c>
      <c r="H155" s="1">
        <v>3.18</v>
      </c>
      <c r="I155" s="1">
        <v>1</v>
      </c>
      <c r="J155" s="1" t="b">
        <v>0</v>
      </c>
      <c r="K155" s="1" t="b">
        <v>0</v>
      </c>
      <c r="L155" s="1" t="b">
        <v>0</v>
      </c>
      <c r="M155" s="1" t="b">
        <v>0</v>
      </c>
      <c r="N155" s="1" t="b">
        <v>1</v>
      </c>
      <c r="O155" s="1" t="b">
        <v>0</v>
      </c>
    </row>
    <row r="156" spans="1:15" ht="15.95" customHeight="1" x14ac:dyDescent="0.25">
      <c r="A156" s="4">
        <v>43737.667754629627</v>
      </c>
      <c r="B156" s="1" t="s">
        <v>2704</v>
      </c>
      <c r="C156" s="1" t="s">
        <v>2835</v>
      </c>
      <c r="D156" s="1"/>
      <c r="E156" s="10" t="s">
        <v>2721</v>
      </c>
      <c r="F156" s="1">
        <v>3.68</v>
      </c>
      <c r="G156" s="1">
        <v>3.94</v>
      </c>
      <c r="H156" s="1">
        <v>3.18</v>
      </c>
      <c r="I156" s="1">
        <v>1</v>
      </c>
      <c r="J156" s="1" t="b">
        <v>0</v>
      </c>
      <c r="K156" s="1" t="b">
        <v>0</v>
      </c>
      <c r="L156" s="1" t="b">
        <v>0</v>
      </c>
      <c r="M156" s="1" t="b">
        <v>0</v>
      </c>
      <c r="N156" s="1" t="b">
        <v>1</v>
      </c>
      <c r="O156" s="1" t="b">
        <v>0</v>
      </c>
    </row>
    <row r="157" spans="1:15" ht="15.95" customHeight="1" x14ac:dyDescent="0.25">
      <c r="A157" s="4">
        <v>43737.704189814816</v>
      </c>
      <c r="B157" s="1" t="s">
        <v>2704</v>
      </c>
      <c r="C157" s="1" t="s">
        <v>2835</v>
      </c>
      <c r="D157" s="1" t="s">
        <v>2827</v>
      </c>
      <c r="E157" s="1" t="s">
        <v>2721</v>
      </c>
      <c r="F157" s="1">
        <v>3.68</v>
      </c>
      <c r="G157" s="1">
        <v>3.94</v>
      </c>
      <c r="H157" s="1">
        <v>3.18</v>
      </c>
      <c r="I157" s="1">
        <v>1</v>
      </c>
      <c r="J157" s="1" t="b">
        <v>0</v>
      </c>
      <c r="K157" s="1" t="b">
        <v>0</v>
      </c>
      <c r="L157" s="1" t="b">
        <v>0</v>
      </c>
      <c r="M157" s="1" t="b">
        <v>0</v>
      </c>
      <c r="N157" s="1" t="b">
        <v>1</v>
      </c>
      <c r="O157" s="1" t="b">
        <v>0</v>
      </c>
    </row>
    <row r="158" spans="1:15" ht="15.95" customHeight="1" x14ac:dyDescent="0.25">
      <c r="A158" s="4">
        <v>43737.705034722225</v>
      </c>
      <c r="B158" s="1" t="s">
        <v>2704</v>
      </c>
      <c r="C158" s="1" t="s">
        <v>2891</v>
      </c>
      <c r="D158" s="1"/>
      <c r="E158" s="1" t="s">
        <v>2721</v>
      </c>
      <c r="F158" s="1">
        <v>3.68</v>
      </c>
      <c r="G158" s="1">
        <v>3.94</v>
      </c>
      <c r="H158" s="1">
        <v>3.18</v>
      </c>
      <c r="I158" s="1">
        <v>1</v>
      </c>
      <c r="J158" s="1" t="b">
        <v>0</v>
      </c>
      <c r="K158" s="1" t="b">
        <v>0</v>
      </c>
      <c r="L158" s="1" t="b">
        <v>0</v>
      </c>
      <c r="M158" s="1" t="b">
        <v>0</v>
      </c>
      <c r="N158" s="1" t="b">
        <v>1</v>
      </c>
      <c r="O158" s="1" t="b">
        <v>0</v>
      </c>
    </row>
    <row r="159" spans="1:15" ht="15.95" customHeight="1" x14ac:dyDescent="0.25">
      <c r="A159" s="4">
        <v>43737.705231481479</v>
      </c>
      <c r="B159" s="1" t="s">
        <v>2704</v>
      </c>
      <c r="C159" s="1" t="s">
        <v>2972</v>
      </c>
      <c r="D159" s="1" t="s">
        <v>2819</v>
      </c>
      <c r="E159" s="1" t="s">
        <v>2721</v>
      </c>
      <c r="F159" s="1">
        <v>3.68</v>
      </c>
      <c r="G159" s="1">
        <v>3.94</v>
      </c>
      <c r="H159" s="1">
        <v>3.18</v>
      </c>
      <c r="I159" s="1">
        <v>1</v>
      </c>
      <c r="J159" s="1" t="b">
        <v>0</v>
      </c>
      <c r="K159" s="1" t="b">
        <v>0</v>
      </c>
      <c r="L159" s="1" t="b">
        <v>0</v>
      </c>
      <c r="M159" s="1" t="b">
        <v>0</v>
      </c>
      <c r="N159" s="1" t="b">
        <v>1</v>
      </c>
      <c r="O159" s="1" t="b">
        <v>0</v>
      </c>
    </row>
    <row r="160" spans="1:15" ht="15.95" customHeight="1" x14ac:dyDescent="0.25">
      <c r="A160" s="4">
        <v>43737.926041666666</v>
      </c>
      <c r="B160" s="1" t="s">
        <v>2974</v>
      </c>
      <c r="C160" s="1" t="s">
        <v>2835</v>
      </c>
      <c r="D160" s="1" t="s">
        <v>2827</v>
      </c>
      <c r="E160" s="10" t="s">
        <v>2721</v>
      </c>
      <c r="F160" s="1">
        <v>3.68</v>
      </c>
      <c r="G160" s="1">
        <v>3.94</v>
      </c>
      <c r="H160" s="1">
        <v>3.18</v>
      </c>
      <c r="I160" s="1">
        <v>1</v>
      </c>
      <c r="J160" s="1" t="b">
        <v>0</v>
      </c>
      <c r="K160" s="1" t="b">
        <v>0</v>
      </c>
      <c r="L160" s="1" t="b">
        <v>0</v>
      </c>
      <c r="M160" s="1" t="b">
        <v>0</v>
      </c>
      <c r="N160" s="1" t="b">
        <v>1</v>
      </c>
      <c r="O160" s="1" t="b">
        <v>0</v>
      </c>
    </row>
    <row r="161" spans="1:15" ht="15.95" customHeight="1" x14ac:dyDescent="0.25">
      <c r="A161" s="4">
        <v>43737.926192129627</v>
      </c>
      <c r="B161" s="1" t="s">
        <v>2974</v>
      </c>
      <c r="C161" s="1" t="s">
        <v>2835</v>
      </c>
      <c r="D161" s="1" t="s">
        <v>2827</v>
      </c>
      <c r="E161" s="1" t="s">
        <v>2721</v>
      </c>
      <c r="F161" s="1">
        <v>3.68</v>
      </c>
      <c r="G161" s="1">
        <v>3.94</v>
      </c>
      <c r="H161" s="1">
        <v>3.18</v>
      </c>
      <c r="I161" s="1">
        <v>1</v>
      </c>
      <c r="J161" s="1" t="b">
        <v>0</v>
      </c>
      <c r="K161" s="1" t="b">
        <v>0</v>
      </c>
      <c r="L161" s="1" t="b">
        <v>0</v>
      </c>
      <c r="M161" s="1" t="b">
        <v>0</v>
      </c>
      <c r="N161" s="1" t="b">
        <v>1</v>
      </c>
      <c r="O161" s="1" t="b">
        <v>0</v>
      </c>
    </row>
    <row r="162" spans="1:15" ht="15.95" customHeight="1" x14ac:dyDescent="0.25">
      <c r="A162" s="4">
        <v>43737.927847222221</v>
      </c>
      <c r="B162" s="1" t="s">
        <v>2974</v>
      </c>
      <c r="C162" s="1" t="s">
        <v>2972</v>
      </c>
      <c r="D162" s="1" t="s">
        <v>2819</v>
      </c>
      <c r="E162" s="1" t="s">
        <v>2721</v>
      </c>
      <c r="F162" s="1">
        <v>3.68</v>
      </c>
      <c r="G162" s="1">
        <v>3.94</v>
      </c>
      <c r="H162" s="1">
        <v>3.18</v>
      </c>
      <c r="I162" s="1">
        <v>1</v>
      </c>
      <c r="J162" s="1" t="b">
        <v>0</v>
      </c>
      <c r="K162" s="1" t="b">
        <v>0</v>
      </c>
      <c r="L162" s="1" t="b">
        <v>0</v>
      </c>
      <c r="M162" s="1" t="b">
        <v>0</v>
      </c>
      <c r="N162" s="1" t="b">
        <v>1</v>
      </c>
      <c r="O162" s="1" t="b">
        <v>0</v>
      </c>
    </row>
    <row r="163" spans="1:15" ht="15.95" customHeight="1" x14ac:dyDescent="0.25">
      <c r="A163" s="4">
        <v>43737.938067129631</v>
      </c>
      <c r="B163" s="1" t="s">
        <v>2974</v>
      </c>
      <c r="C163" s="1" t="s">
        <v>2972</v>
      </c>
      <c r="D163" s="1"/>
      <c r="E163" s="1" t="s">
        <v>2721</v>
      </c>
      <c r="F163" s="1">
        <v>3.68</v>
      </c>
      <c r="G163" s="1">
        <v>3.94</v>
      </c>
      <c r="H163" s="1">
        <v>3.18</v>
      </c>
      <c r="I163" s="1">
        <v>1</v>
      </c>
      <c r="J163" s="1" t="b">
        <v>0</v>
      </c>
      <c r="K163" s="1" t="b">
        <v>0</v>
      </c>
      <c r="L163" s="1" t="b">
        <v>0</v>
      </c>
      <c r="M163" s="1" t="b">
        <v>0</v>
      </c>
      <c r="N163" s="1" t="b">
        <v>1</v>
      </c>
      <c r="O163" s="1" t="b">
        <v>0</v>
      </c>
    </row>
    <row r="164" spans="1:15" ht="15.95" customHeight="1" x14ac:dyDescent="0.25">
      <c r="A164" s="4">
        <v>43737.938888888886</v>
      </c>
      <c r="B164" s="1" t="s">
        <v>2974</v>
      </c>
      <c r="C164" s="1" t="s">
        <v>2972</v>
      </c>
      <c r="D164" s="1" t="s">
        <v>2819</v>
      </c>
      <c r="E164" s="1" t="s">
        <v>2828</v>
      </c>
      <c r="F164" s="1">
        <v>3.68</v>
      </c>
      <c r="G164" s="1">
        <v>3.94</v>
      </c>
      <c r="H164" s="1">
        <v>3.18</v>
      </c>
      <c r="I164" s="1">
        <v>1</v>
      </c>
      <c r="J164" s="1" t="b">
        <v>0</v>
      </c>
      <c r="K164" s="1" t="b">
        <v>0</v>
      </c>
      <c r="L164" s="1" t="b">
        <v>0</v>
      </c>
      <c r="M164" s="1" t="b">
        <v>0</v>
      </c>
      <c r="N164" s="1" t="b">
        <v>1</v>
      </c>
      <c r="O164" s="1" t="b">
        <v>0</v>
      </c>
    </row>
    <row r="165" spans="1:15" ht="15.95" customHeight="1" x14ac:dyDescent="0.25">
      <c r="A165" s="4">
        <v>43737.943680555552</v>
      </c>
      <c r="B165" s="1" t="s">
        <v>2974</v>
      </c>
      <c r="C165" s="1" t="s">
        <v>2891</v>
      </c>
      <c r="D165" s="1"/>
      <c r="E165" s="10" t="s">
        <v>2721</v>
      </c>
      <c r="F165" s="1">
        <v>3.68</v>
      </c>
      <c r="G165" s="1">
        <v>3.94</v>
      </c>
      <c r="H165" s="1">
        <v>3.18</v>
      </c>
      <c r="I165" s="1">
        <v>1</v>
      </c>
      <c r="J165" s="1" t="b">
        <v>0</v>
      </c>
      <c r="K165" s="1" t="b">
        <v>0</v>
      </c>
      <c r="L165" s="1" t="b">
        <v>0</v>
      </c>
      <c r="M165" s="1" t="b">
        <v>0</v>
      </c>
      <c r="N165" s="1" t="b">
        <v>1</v>
      </c>
      <c r="O165" s="1" t="b">
        <v>0</v>
      </c>
    </row>
    <row r="166" spans="1:15" ht="15.95" customHeight="1" x14ac:dyDescent="0.25">
      <c r="A166" s="4">
        <v>43737.943969907406</v>
      </c>
      <c r="B166" s="1" t="s">
        <v>2974</v>
      </c>
      <c r="C166" s="1" t="s">
        <v>2891</v>
      </c>
      <c r="D166" s="1"/>
      <c r="E166" s="1" t="s">
        <v>2721</v>
      </c>
      <c r="F166" s="1">
        <v>3.68</v>
      </c>
      <c r="G166" s="1">
        <v>3.94</v>
      </c>
      <c r="H166" s="1">
        <v>3.18</v>
      </c>
      <c r="I166" s="1">
        <v>1</v>
      </c>
      <c r="J166" s="1" t="b">
        <v>0</v>
      </c>
      <c r="K166" s="1" t="b">
        <v>0</v>
      </c>
      <c r="L166" s="1" t="b">
        <v>0</v>
      </c>
      <c r="M166" s="1" t="b">
        <v>1</v>
      </c>
      <c r="N166" s="1" t="b">
        <v>1</v>
      </c>
      <c r="O166" s="1" t="b">
        <v>0</v>
      </c>
    </row>
    <row r="167" spans="1:15" ht="15.95" customHeight="1" x14ac:dyDescent="0.25">
      <c r="A167" s="4">
        <v>43737.951608796298</v>
      </c>
      <c r="B167" s="1" t="s">
        <v>2974</v>
      </c>
      <c r="C167" s="1" t="s">
        <v>2972</v>
      </c>
      <c r="D167" s="1"/>
      <c r="E167" s="1" t="s">
        <v>2721</v>
      </c>
      <c r="F167" s="1">
        <v>3.68</v>
      </c>
      <c r="G167" s="1">
        <v>3.94</v>
      </c>
      <c r="H167" s="1">
        <v>3.18</v>
      </c>
      <c r="I167" s="1">
        <v>1</v>
      </c>
      <c r="J167" s="1" t="b">
        <v>0</v>
      </c>
      <c r="K167" s="1" t="b">
        <v>0</v>
      </c>
      <c r="L167" s="1" t="b">
        <v>0</v>
      </c>
      <c r="M167" s="1" t="b">
        <v>0</v>
      </c>
      <c r="N167" s="1" t="b">
        <v>1</v>
      </c>
      <c r="O167" s="1" t="b">
        <v>0</v>
      </c>
    </row>
    <row r="168" spans="1:15" ht="15.95" customHeight="1" x14ac:dyDescent="0.25">
      <c r="A168" s="4">
        <v>43737.952233796299</v>
      </c>
      <c r="B168" s="1" t="s">
        <v>2974</v>
      </c>
      <c r="C168" s="1" t="s">
        <v>2972</v>
      </c>
      <c r="D168" s="1"/>
      <c r="E168" s="1" t="s">
        <v>2721</v>
      </c>
      <c r="F168" s="1">
        <v>3.68</v>
      </c>
      <c r="G168" s="1">
        <v>3.94</v>
      </c>
      <c r="H168" s="1">
        <v>3.18</v>
      </c>
      <c r="I168" s="1">
        <v>1</v>
      </c>
      <c r="J168" s="1" t="b">
        <v>1</v>
      </c>
      <c r="K168" s="1" t="b">
        <v>1</v>
      </c>
      <c r="L168" s="1" t="b">
        <v>0</v>
      </c>
      <c r="M168" s="1" t="b">
        <v>0</v>
      </c>
      <c r="N168" s="1" t="b">
        <v>1</v>
      </c>
      <c r="O168" s="1" t="b">
        <v>0</v>
      </c>
    </row>
    <row r="169" spans="1:15" ht="15.95" customHeight="1" x14ac:dyDescent="0.25">
      <c r="A169" s="4">
        <v>43737.954583333332</v>
      </c>
      <c r="B169" s="1" t="s">
        <v>2974</v>
      </c>
      <c r="C169" s="1" t="s">
        <v>2972</v>
      </c>
      <c r="D169" s="1"/>
      <c r="E169" s="1" t="s">
        <v>2721</v>
      </c>
      <c r="F169" s="1">
        <v>3.68</v>
      </c>
      <c r="G169" s="1">
        <v>3.94</v>
      </c>
      <c r="H169" s="1">
        <v>3.18</v>
      </c>
      <c r="I169" s="1">
        <v>1</v>
      </c>
      <c r="J169" s="1" t="b">
        <v>0</v>
      </c>
      <c r="K169" s="1" t="b">
        <v>0</v>
      </c>
      <c r="L169" s="1" t="b">
        <v>0</v>
      </c>
      <c r="M169" s="1" t="b">
        <v>0</v>
      </c>
      <c r="N169" s="1" t="b">
        <v>1</v>
      </c>
      <c r="O169" s="1" t="b">
        <v>0</v>
      </c>
    </row>
    <row r="170" spans="1:15" ht="15.95" customHeight="1" x14ac:dyDescent="0.25">
      <c r="A170" s="4">
        <v>43737.954930555556</v>
      </c>
      <c r="B170" s="1" t="s">
        <v>2974</v>
      </c>
      <c r="C170" s="1" t="s">
        <v>2972</v>
      </c>
      <c r="D170" s="1"/>
      <c r="E170" s="1" t="s">
        <v>2721</v>
      </c>
      <c r="F170" s="1">
        <v>3.68</v>
      </c>
      <c r="G170" s="1">
        <v>3.94</v>
      </c>
      <c r="H170" s="1">
        <v>3.18</v>
      </c>
      <c r="I170" s="1">
        <v>1</v>
      </c>
      <c r="J170" s="1" t="b">
        <v>0</v>
      </c>
      <c r="K170" s="1" t="b">
        <v>0</v>
      </c>
      <c r="L170" s="1" t="b">
        <v>0</v>
      </c>
      <c r="M170" s="1" t="b">
        <v>1</v>
      </c>
      <c r="N170" s="1" t="b">
        <v>1</v>
      </c>
      <c r="O170" s="1" t="b">
        <v>0</v>
      </c>
    </row>
    <row r="171" spans="1:15" ht="15.95" customHeight="1" x14ac:dyDescent="0.25">
      <c r="A171" s="4">
        <v>43737.955787037034</v>
      </c>
      <c r="B171" s="1" t="s">
        <v>2974</v>
      </c>
      <c r="C171" s="1" t="s">
        <v>2972</v>
      </c>
      <c r="D171" s="1"/>
      <c r="E171" s="1" t="s">
        <v>2721</v>
      </c>
      <c r="F171" s="1">
        <v>3.68</v>
      </c>
      <c r="G171" s="1">
        <v>3.94</v>
      </c>
      <c r="H171" s="1">
        <v>3.18</v>
      </c>
      <c r="I171" s="1">
        <v>1</v>
      </c>
      <c r="J171" s="1" t="b">
        <v>0</v>
      </c>
      <c r="K171" s="1" t="b">
        <v>0</v>
      </c>
      <c r="L171" s="1" t="b">
        <v>0</v>
      </c>
      <c r="M171" s="1" t="b">
        <v>1</v>
      </c>
      <c r="N171" s="1" t="b">
        <v>1</v>
      </c>
      <c r="O171" s="1" t="b">
        <v>0</v>
      </c>
    </row>
    <row r="172" spans="1:15" ht="15.95" customHeight="1" x14ac:dyDescent="0.25">
      <c r="A172" s="4">
        <v>43737.956354166665</v>
      </c>
      <c r="B172" s="1" t="s">
        <v>2974</v>
      </c>
      <c r="C172" s="1" t="s">
        <v>2972</v>
      </c>
      <c r="D172" s="1" t="s">
        <v>3004</v>
      </c>
      <c r="E172" s="10" t="s">
        <v>2828</v>
      </c>
      <c r="F172" s="1">
        <v>3.68</v>
      </c>
      <c r="G172" s="1">
        <v>3.94</v>
      </c>
      <c r="H172" s="1">
        <v>3.18</v>
      </c>
      <c r="I172" s="1">
        <v>1</v>
      </c>
      <c r="J172" s="1" t="b">
        <v>0</v>
      </c>
      <c r="K172" s="1" t="b">
        <v>0</v>
      </c>
      <c r="L172" s="1" t="b">
        <v>0</v>
      </c>
      <c r="M172" s="1" t="b">
        <v>1</v>
      </c>
      <c r="N172" s="1" t="b">
        <v>1</v>
      </c>
      <c r="O172" s="1" t="b">
        <v>0</v>
      </c>
    </row>
    <row r="173" spans="1:15" ht="15.95" customHeight="1" x14ac:dyDescent="0.25">
      <c r="A173" s="4">
        <v>43737.956493055557</v>
      </c>
      <c r="B173" s="1" t="s">
        <v>2974</v>
      </c>
      <c r="C173" s="1" t="s">
        <v>3027</v>
      </c>
      <c r="D173" s="1" t="s">
        <v>3004</v>
      </c>
      <c r="E173" s="1" t="s">
        <v>2721</v>
      </c>
      <c r="F173" s="1">
        <v>3.68</v>
      </c>
      <c r="G173" s="1">
        <v>3.94</v>
      </c>
      <c r="H173" s="1">
        <v>3.18</v>
      </c>
      <c r="I173" s="1">
        <v>1</v>
      </c>
      <c r="J173" s="1" t="b">
        <v>0</v>
      </c>
      <c r="K173" s="1" t="b">
        <v>0</v>
      </c>
      <c r="L173" s="1" t="b">
        <v>0</v>
      </c>
      <c r="M173" s="1" t="b">
        <v>1</v>
      </c>
      <c r="N173" s="1" t="b">
        <v>1</v>
      </c>
      <c r="O173" s="1" t="b">
        <v>0</v>
      </c>
    </row>
    <row r="174" spans="1:15" ht="15.95" customHeight="1" x14ac:dyDescent="0.25">
      <c r="A174" s="4">
        <v>43737.956655092596</v>
      </c>
      <c r="B174" s="1" t="s">
        <v>2974</v>
      </c>
      <c r="C174" s="1" t="s">
        <v>3027</v>
      </c>
      <c r="D174" s="1"/>
      <c r="E174" s="1" t="s">
        <v>2721</v>
      </c>
      <c r="F174" s="1">
        <v>3.68</v>
      </c>
      <c r="G174" s="1">
        <v>3.94</v>
      </c>
      <c r="H174" s="1">
        <v>3.18</v>
      </c>
      <c r="I174" s="1">
        <v>1</v>
      </c>
      <c r="J174" s="1" t="b">
        <v>1</v>
      </c>
      <c r="K174" s="1" t="b">
        <v>1</v>
      </c>
      <c r="L174" s="1" t="b">
        <v>0</v>
      </c>
      <c r="M174" s="1" t="b">
        <v>1</v>
      </c>
      <c r="N174" s="1" t="b">
        <v>1</v>
      </c>
      <c r="O174" s="1" t="b">
        <v>0</v>
      </c>
    </row>
    <row r="175" spans="1:15" ht="15.95" customHeight="1" x14ac:dyDescent="0.25">
      <c r="A175" s="4">
        <v>43737.957268518519</v>
      </c>
      <c r="B175" s="1" t="s">
        <v>2974</v>
      </c>
      <c r="C175" s="1" t="s">
        <v>3064</v>
      </c>
      <c r="D175" s="1" t="s">
        <v>2743</v>
      </c>
      <c r="E175" s="1" t="s">
        <v>2721</v>
      </c>
      <c r="F175" s="1">
        <v>3.68</v>
      </c>
      <c r="G175" s="1">
        <v>3.94</v>
      </c>
      <c r="H175" s="1">
        <v>3.18</v>
      </c>
      <c r="I175" s="1">
        <v>1</v>
      </c>
      <c r="J175" s="1" t="b">
        <v>1</v>
      </c>
      <c r="K175" s="1" t="b">
        <v>1</v>
      </c>
      <c r="L175" s="1" t="b">
        <v>0</v>
      </c>
      <c r="M175" s="1" t="b">
        <v>1</v>
      </c>
      <c r="N175" s="1" t="b">
        <v>1</v>
      </c>
      <c r="O175" s="1" t="b">
        <v>0</v>
      </c>
    </row>
    <row r="176" spans="1:15" ht="15.95" customHeight="1" x14ac:dyDescent="0.25">
      <c r="A176" s="4">
        <v>43737.966840277775</v>
      </c>
      <c r="B176" s="1" t="s">
        <v>2974</v>
      </c>
      <c r="C176" s="1" t="s">
        <v>2972</v>
      </c>
      <c r="D176" s="1"/>
      <c r="E176" s="1" t="s">
        <v>2721</v>
      </c>
      <c r="F176" s="1">
        <v>3.68</v>
      </c>
      <c r="G176" s="1">
        <v>3.94</v>
      </c>
      <c r="H176" s="1">
        <v>3.18</v>
      </c>
      <c r="I176" s="1">
        <v>1</v>
      </c>
      <c r="J176" s="1" t="b">
        <v>1</v>
      </c>
      <c r="K176" s="1" t="b">
        <v>1</v>
      </c>
      <c r="L176" s="1" t="b">
        <v>0</v>
      </c>
      <c r="M176" s="1" t="b">
        <v>1</v>
      </c>
      <c r="N176" s="1" t="b">
        <v>1</v>
      </c>
      <c r="O176" s="1" t="b">
        <v>1</v>
      </c>
    </row>
    <row r="177" spans="1:15" ht="15.95" customHeight="1" x14ac:dyDescent="0.25">
      <c r="A177" s="4">
        <v>43737.967083333337</v>
      </c>
      <c r="B177" s="1" t="s">
        <v>2974</v>
      </c>
      <c r="C177" s="1" t="s">
        <v>2972</v>
      </c>
      <c r="D177" s="1"/>
      <c r="E177" s="10" t="s">
        <v>2721</v>
      </c>
      <c r="F177" s="1">
        <v>3.68</v>
      </c>
      <c r="G177" s="1">
        <v>3.94</v>
      </c>
      <c r="H177" s="1">
        <v>3.18</v>
      </c>
      <c r="I177" s="1">
        <v>1</v>
      </c>
      <c r="J177" s="1" t="b">
        <v>1</v>
      </c>
      <c r="K177" s="1" t="b">
        <v>1</v>
      </c>
      <c r="L177" s="1" t="b">
        <v>0</v>
      </c>
      <c r="M177" s="1" t="b">
        <v>1</v>
      </c>
      <c r="N177" s="1" t="b">
        <v>1</v>
      </c>
      <c r="O177" s="1" t="b">
        <v>1</v>
      </c>
    </row>
    <row r="178" spans="1:15" ht="15.95" customHeight="1" x14ac:dyDescent="0.25">
      <c r="A178" s="4">
        <v>43737.967280092591</v>
      </c>
      <c r="B178" s="1" t="s">
        <v>2974</v>
      </c>
      <c r="C178" s="1" t="s">
        <v>2972</v>
      </c>
      <c r="D178" s="1"/>
      <c r="E178" s="1" t="s">
        <v>2721</v>
      </c>
      <c r="F178" s="1">
        <v>3.68</v>
      </c>
      <c r="G178" s="1">
        <v>3.94</v>
      </c>
      <c r="H178" s="1">
        <v>3.18</v>
      </c>
      <c r="I178" s="1">
        <v>1</v>
      </c>
      <c r="J178" s="1" t="b">
        <v>1</v>
      </c>
      <c r="K178" s="1" t="b">
        <v>1</v>
      </c>
      <c r="L178" s="1" t="b">
        <v>0</v>
      </c>
      <c r="M178" s="1" t="b">
        <v>1</v>
      </c>
      <c r="N178" s="1" t="b">
        <v>0</v>
      </c>
      <c r="O178" s="1" t="b">
        <v>1</v>
      </c>
    </row>
    <row r="179" spans="1:15" ht="15.95" customHeight="1" x14ac:dyDescent="0.25">
      <c r="A179" s="4">
        <v>43737.967499999999</v>
      </c>
      <c r="B179" s="1" t="s">
        <v>2974</v>
      </c>
      <c r="C179" s="1" t="s">
        <v>2891</v>
      </c>
      <c r="D179" s="1"/>
      <c r="E179" s="10" t="s">
        <v>2721</v>
      </c>
      <c r="F179" s="1">
        <v>3.68</v>
      </c>
      <c r="G179" s="1">
        <v>3.94</v>
      </c>
      <c r="H179" s="1">
        <v>3.18</v>
      </c>
      <c r="I179" s="1">
        <v>1</v>
      </c>
      <c r="J179" s="1" t="b">
        <v>0</v>
      </c>
      <c r="K179" s="1" t="b">
        <v>0</v>
      </c>
      <c r="L179" s="1" t="b">
        <v>0</v>
      </c>
      <c r="M179" s="1" t="b">
        <v>0</v>
      </c>
      <c r="N179" s="1" t="b">
        <v>1</v>
      </c>
      <c r="O179" s="1" t="b">
        <v>0</v>
      </c>
    </row>
    <row r="180" spans="1:15" ht="15.95" customHeight="1" x14ac:dyDescent="0.25">
      <c r="A180" s="4">
        <v>43737.967569444445</v>
      </c>
      <c r="B180" s="1" t="s">
        <v>2974</v>
      </c>
      <c r="C180" s="1" t="s">
        <v>2891</v>
      </c>
      <c r="D180" s="1"/>
      <c r="E180" s="1" t="s">
        <v>2721</v>
      </c>
      <c r="F180" s="1">
        <v>3.68</v>
      </c>
      <c r="G180" s="1">
        <v>3.94</v>
      </c>
      <c r="H180" s="1">
        <v>3.18</v>
      </c>
      <c r="I180" s="1">
        <v>1</v>
      </c>
      <c r="J180" s="1" t="b">
        <v>0</v>
      </c>
      <c r="K180" s="1" t="b">
        <v>0</v>
      </c>
      <c r="L180" s="1" t="b">
        <v>0</v>
      </c>
      <c r="M180" s="1" t="b">
        <v>0</v>
      </c>
      <c r="N180" s="1" t="b">
        <v>1</v>
      </c>
      <c r="O180" s="1" t="b">
        <v>1</v>
      </c>
    </row>
    <row r="181" spans="1:15" ht="15.95" customHeight="1" x14ac:dyDescent="0.25">
      <c r="A181" s="4">
        <v>43737.967685185184</v>
      </c>
      <c r="B181" s="1" t="s">
        <v>2974</v>
      </c>
      <c r="C181" s="1" t="s">
        <v>2891</v>
      </c>
      <c r="D181" s="1"/>
      <c r="E181" s="1" t="s">
        <v>2721</v>
      </c>
      <c r="F181" s="1">
        <v>3.68</v>
      </c>
      <c r="G181" s="1">
        <v>3.94</v>
      </c>
      <c r="H181" s="1">
        <v>3.18</v>
      </c>
      <c r="I181" s="1">
        <v>1</v>
      </c>
      <c r="J181" s="1" t="b">
        <v>1</v>
      </c>
      <c r="K181" s="1" t="b">
        <v>1</v>
      </c>
      <c r="L181" s="1" t="b">
        <v>0</v>
      </c>
      <c r="M181" s="1" t="b">
        <v>0</v>
      </c>
      <c r="N181" s="1" t="b">
        <v>1</v>
      </c>
      <c r="O181" s="1" t="b">
        <v>1</v>
      </c>
    </row>
    <row r="182" spans="1:15" ht="15.95" customHeight="1" x14ac:dyDescent="0.25">
      <c r="A182" s="4">
        <v>43737.96806712963</v>
      </c>
      <c r="B182" s="1" t="s">
        <v>2974</v>
      </c>
      <c r="C182" s="1" t="s">
        <v>2891</v>
      </c>
      <c r="D182" s="1"/>
      <c r="E182" s="1" t="s">
        <v>2721</v>
      </c>
      <c r="F182" s="1">
        <v>3.68</v>
      </c>
      <c r="G182" s="1">
        <v>3.94</v>
      </c>
      <c r="H182" s="1">
        <v>3.18</v>
      </c>
      <c r="I182" s="1">
        <v>1</v>
      </c>
      <c r="J182" s="1" t="b">
        <v>1</v>
      </c>
      <c r="K182" s="1" t="b">
        <v>1</v>
      </c>
      <c r="L182" s="1" t="b">
        <v>0</v>
      </c>
      <c r="M182" s="1" t="b">
        <v>0</v>
      </c>
      <c r="N182" s="1" t="b">
        <v>1</v>
      </c>
      <c r="O182" s="1" t="b">
        <v>1</v>
      </c>
    </row>
    <row r="183" spans="1:15" ht="15.95" customHeight="1" x14ac:dyDescent="0.25">
      <c r="A183" s="4">
        <v>43737.968541666669</v>
      </c>
      <c r="B183" s="1" t="s">
        <v>2974</v>
      </c>
      <c r="C183" s="1" t="s">
        <v>2891</v>
      </c>
      <c r="D183" s="1"/>
      <c r="E183" s="1" t="s">
        <v>2721</v>
      </c>
      <c r="F183" s="1">
        <v>3.68</v>
      </c>
      <c r="G183" s="1">
        <v>3.94</v>
      </c>
      <c r="H183" s="1">
        <v>3.18</v>
      </c>
      <c r="I183" s="1">
        <v>1</v>
      </c>
      <c r="J183" s="1" t="b">
        <v>1</v>
      </c>
      <c r="K183" s="1" t="b">
        <v>1</v>
      </c>
      <c r="L183" s="1" t="b">
        <v>0</v>
      </c>
      <c r="M183" s="1" t="b">
        <v>0</v>
      </c>
      <c r="N183" s="1" t="b">
        <v>1</v>
      </c>
      <c r="O183" s="1" t="b">
        <v>0</v>
      </c>
    </row>
    <row r="184" spans="1:15" ht="15.95" customHeight="1" x14ac:dyDescent="0.25">
      <c r="A184" s="4">
        <v>43737.969409722224</v>
      </c>
      <c r="B184" s="1" t="s">
        <v>2974</v>
      </c>
      <c r="C184" s="1" t="s">
        <v>2891</v>
      </c>
      <c r="D184" s="1"/>
      <c r="E184" s="10" t="s">
        <v>2721</v>
      </c>
      <c r="F184" s="1">
        <v>3.68</v>
      </c>
      <c r="G184" s="1">
        <v>3.94</v>
      </c>
      <c r="H184" s="1">
        <v>3.18</v>
      </c>
      <c r="I184" s="1">
        <v>1</v>
      </c>
      <c r="J184" s="1" t="b">
        <v>1</v>
      </c>
      <c r="K184" s="1" t="b">
        <v>1</v>
      </c>
      <c r="L184" s="1" t="b">
        <v>0</v>
      </c>
      <c r="M184" s="1" t="b">
        <v>0</v>
      </c>
      <c r="N184" s="1" t="b">
        <v>1</v>
      </c>
      <c r="O184" s="1" t="b">
        <v>0</v>
      </c>
    </row>
    <row r="185" spans="1:15" ht="15.95" customHeight="1" x14ac:dyDescent="0.25">
      <c r="A185" s="4">
        <v>43737.970081018517</v>
      </c>
      <c r="B185" s="1" t="s">
        <v>2974</v>
      </c>
      <c r="C185" s="1" t="s">
        <v>3064</v>
      </c>
      <c r="D185" s="1"/>
      <c r="E185" s="1" t="s">
        <v>2721</v>
      </c>
      <c r="F185" s="1">
        <v>3.68</v>
      </c>
      <c r="G185" s="1">
        <v>3.94</v>
      </c>
      <c r="H185" s="1">
        <v>3.18</v>
      </c>
      <c r="I185" s="1">
        <v>1</v>
      </c>
      <c r="J185" s="1" t="b">
        <v>1</v>
      </c>
      <c r="K185" s="1" t="b">
        <v>1</v>
      </c>
      <c r="L185" s="1" t="b">
        <v>0</v>
      </c>
      <c r="M185" s="1" t="b">
        <v>1</v>
      </c>
      <c r="N185" s="1" t="b">
        <v>1</v>
      </c>
      <c r="O185" s="1" t="b">
        <v>0</v>
      </c>
    </row>
    <row r="186" spans="1:15" ht="15.95" customHeight="1" x14ac:dyDescent="0.25">
      <c r="A186" s="4">
        <v>43737.970497685186</v>
      </c>
      <c r="B186" s="1" t="s">
        <v>2974</v>
      </c>
      <c r="C186" s="1" t="s">
        <v>2972</v>
      </c>
      <c r="D186" s="1"/>
      <c r="E186" s="10" t="s">
        <v>2721</v>
      </c>
      <c r="F186" s="1">
        <v>3.68</v>
      </c>
      <c r="G186" s="1">
        <v>3.94</v>
      </c>
      <c r="H186" s="1">
        <v>3.18</v>
      </c>
      <c r="I186" s="1">
        <v>1</v>
      </c>
      <c r="J186" s="1" t="b">
        <v>0</v>
      </c>
      <c r="K186" s="1" t="b">
        <v>0</v>
      </c>
      <c r="L186" s="1" t="b">
        <v>0</v>
      </c>
      <c r="M186" s="1" t="b">
        <v>0</v>
      </c>
      <c r="N186" s="1" t="b">
        <v>1</v>
      </c>
      <c r="O186" s="1" t="b">
        <v>0</v>
      </c>
    </row>
    <row r="187" spans="1:15" ht="15.95" customHeight="1" x14ac:dyDescent="0.25">
      <c r="A187" s="4">
        <v>43737.97148148148</v>
      </c>
      <c r="B187" s="1" t="s">
        <v>2974</v>
      </c>
      <c r="C187" s="1"/>
      <c r="D187" s="1" t="s">
        <v>2989</v>
      </c>
      <c r="E187" s="1" t="s">
        <v>3081</v>
      </c>
      <c r="F187" s="1">
        <v>3.68</v>
      </c>
      <c r="G187" s="1">
        <v>3.94</v>
      </c>
      <c r="H187" s="1">
        <v>3.18</v>
      </c>
      <c r="I187" s="1">
        <v>1</v>
      </c>
      <c r="J187" s="1" t="b">
        <v>0</v>
      </c>
      <c r="K187" s="1" t="b">
        <v>0</v>
      </c>
      <c r="L187" s="1" t="b">
        <v>0</v>
      </c>
      <c r="M187" s="1" t="b">
        <v>0</v>
      </c>
      <c r="N187" s="1" t="b">
        <v>1</v>
      </c>
      <c r="O187" s="1" t="b">
        <v>0</v>
      </c>
    </row>
    <row r="188" spans="1:15" ht="15.95" customHeight="1" x14ac:dyDescent="0.25">
      <c r="A188" s="4">
        <v>43737.97148148148</v>
      </c>
      <c r="B188" s="1" t="s">
        <v>2974</v>
      </c>
      <c r="C188" s="1" t="s">
        <v>3103</v>
      </c>
      <c r="D188" s="1" t="s">
        <v>3104</v>
      </c>
      <c r="E188" s="1" t="s">
        <v>2721</v>
      </c>
      <c r="F188" s="1">
        <v>3.68</v>
      </c>
      <c r="G188" s="1">
        <v>3.94</v>
      </c>
      <c r="H188" s="1">
        <v>3.18</v>
      </c>
      <c r="I188" s="1">
        <v>1</v>
      </c>
      <c r="J188" s="1" t="b">
        <v>0</v>
      </c>
      <c r="K188" s="1" t="b">
        <v>0</v>
      </c>
      <c r="L188" s="1" t="b">
        <v>0</v>
      </c>
      <c r="M188" s="1" t="b">
        <v>0</v>
      </c>
      <c r="N188" s="1" t="b">
        <v>1</v>
      </c>
      <c r="O188" s="1" t="b">
        <v>0</v>
      </c>
    </row>
    <row r="189" spans="1:15" ht="15.95" customHeight="1" x14ac:dyDescent="0.25">
      <c r="A189" s="4">
        <v>43737.972870370373</v>
      </c>
      <c r="B189" s="1" t="s">
        <v>2974</v>
      </c>
      <c r="C189" s="1" t="s">
        <v>2835</v>
      </c>
      <c r="D189" s="1"/>
      <c r="E189" s="1" t="s">
        <v>2721</v>
      </c>
      <c r="F189" s="1">
        <v>3.68</v>
      </c>
      <c r="G189" s="1">
        <v>3.94</v>
      </c>
      <c r="H189" s="1">
        <v>3.18</v>
      </c>
      <c r="I189" s="1">
        <v>1</v>
      </c>
      <c r="J189" s="1" t="b">
        <v>0</v>
      </c>
      <c r="K189" s="1" t="b">
        <v>0</v>
      </c>
      <c r="L189" s="1" t="b">
        <v>0</v>
      </c>
      <c r="M189" s="1" t="b">
        <v>0</v>
      </c>
      <c r="N189" s="1" t="b">
        <v>1</v>
      </c>
      <c r="O189" s="1" t="b">
        <v>0</v>
      </c>
    </row>
    <row r="190" spans="1:15" ht="15.95" customHeight="1" x14ac:dyDescent="0.25">
      <c r="A190" s="4">
        <v>43738.002268518518</v>
      </c>
      <c r="B190" s="1" t="s">
        <v>2974</v>
      </c>
      <c r="C190" s="1" t="s">
        <v>2835</v>
      </c>
      <c r="D190" s="1"/>
      <c r="E190" s="1" t="s">
        <v>2721</v>
      </c>
      <c r="F190" s="1">
        <v>3.69</v>
      </c>
      <c r="G190" s="1">
        <v>3.94</v>
      </c>
      <c r="H190" s="1">
        <v>3.18</v>
      </c>
      <c r="I190" s="1">
        <v>1</v>
      </c>
      <c r="J190" s="1" t="b">
        <v>0</v>
      </c>
      <c r="K190" s="1" t="b">
        <v>0</v>
      </c>
      <c r="L190" s="1" t="b">
        <v>0</v>
      </c>
      <c r="M190" s="1" t="b">
        <v>0</v>
      </c>
      <c r="N190" s="1" t="b">
        <v>1</v>
      </c>
      <c r="O190" s="1" t="b">
        <v>0</v>
      </c>
    </row>
    <row r="191" spans="1:15" ht="15.95" customHeight="1" x14ac:dyDescent="0.25">
      <c r="A191" s="4">
        <v>43738.46733796296</v>
      </c>
      <c r="B191" s="1" t="s">
        <v>2704</v>
      </c>
      <c r="C191" s="1" t="s">
        <v>2705</v>
      </c>
      <c r="D191" s="1" t="s">
        <v>2706</v>
      </c>
      <c r="E191" s="10" t="s">
        <v>2707</v>
      </c>
      <c r="F191" s="1">
        <v>3.69</v>
      </c>
      <c r="G191" s="1">
        <v>3.94</v>
      </c>
      <c r="H191" s="1">
        <v>3.18</v>
      </c>
      <c r="I191" s="1">
        <v>1</v>
      </c>
      <c r="J191" s="1" t="b">
        <v>0</v>
      </c>
      <c r="K191" s="1" t="b">
        <v>0</v>
      </c>
      <c r="L191" s="1" t="b">
        <v>0</v>
      </c>
      <c r="M191" s="1" t="b">
        <v>0</v>
      </c>
      <c r="N191" s="1" t="b">
        <v>1</v>
      </c>
      <c r="O191" s="1" t="b">
        <v>0</v>
      </c>
    </row>
    <row r="192" spans="1:15" ht="15.95" customHeight="1" x14ac:dyDescent="0.25">
      <c r="A192" s="4">
        <v>43738.467372685183</v>
      </c>
      <c r="B192" s="1" t="s">
        <v>2704</v>
      </c>
      <c r="C192" s="1" t="s">
        <v>2708</v>
      </c>
      <c r="D192" s="1" t="s">
        <v>2706</v>
      </c>
      <c r="E192" s="1" t="s">
        <v>2707</v>
      </c>
      <c r="F192" s="1">
        <v>3.69</v>
      </c>
      <c r="G192" s="1">
        <v>3.94</v>
      </c>
      <c r="H192" s="1">
        <v>3.18</v>
      </c>
      <c r="I192" s="1">
        <v>1</v>
      </c>
      <c r="J192" s="1" t="b">
        <v>0</v>
      </c>
      <c r="K192" s="1" t="b">
        <v>0</v>
      </c>
      <c r="L192" s="1" t="b">
        <v>0</v>
      </c>
      <c r="M192" s="1" t="b">
        <v>0</v>
      </c>
      <c r="N192" s="1" t="b">
        <v>1</v>
      </c>
      <c r="O192" s="1" t="b">
        <v>0</v>
      </c>
    </row>
    <row r="193" spans="1:15" ht="15.95" customHeight="1" x14ac:dyDescent="0.25">
      <c r="A193" s="4">
        <v>43738.467465277776</v>
      </c>
      <c r="B193" s="1" t="s">
        <v>2704</v>
      </c>
      <c r="C193" s="1" t="s">
        <v>2705</v>
      </c>
      <c r="D193" s="1" t="s">
        <v>2709</v>
      </c>
      <c r="E193" s="10" t="s">
        <v>2710</v>
      </c>
      <c r="F193" s="1">
        <v>3.69</v>
      </c>
      <c r="G193" s="1">
        <v>3.94</v>
      </c>
      <c r="H193" s="1">
        <v>3.18</v>
      </c>
      <c r="I193" s="1">
        <v>1</v>
      </c>
      <c r="J193" s="1" t="b">
        <v>0</v>
      </c>
      <c r="K193" s="1" t="b">
        <v>0</v>
      </c>
      <c r="L193" s="1" t="b">
        <v>0</v>
      </c>
      <c r="M193" s="1" t="b">
        <v>0</v>
      </c>
      <c r="N193" s="1" t="b">
        <v>1</v>
      </c>
      <c r="O193" s="1" t="b">
        <v>0</v>
      </c>
    </row>
    <row r="194" spans="1:15" ht="15.95" customHeight="1" x14ac:dyDescent="0.25">
      <c r="A194" s="4">
        <v>43738.467465277776</v>
      </c>
      <c r="B194" s="1" t="s">
        <v>2704</v>
      </c>
      <c r="C194" s="1" t="s">
        <v>2705</v>
      </c>
      <c r="D194" s="1" t="s">
        <v>2711</v>
      </c>
      <c r="E194" s="1" t="s">
        <v>2824</v>
      </c>
      <c r="F194" s="1">
        <v>3.69</v>
      </c>
      <c r="G194" s="1">
        <v>3.94</v>
      </c>
      <c r="H194" s="1">
        <v>3.18</v>
      </c>
      <c r="I194" s="1">
        <v>1</v>
      </c>
      <c r="J194" s="1" t="b">
        <v>0</v>
      </c>
      <c r="K194" s="1" t="b">
        <v>0</v>
      </c>
      <c r="L194" s="1" t="b">
        <v>0</v>
      </c>
      <c r="M194" s="1" t="b">
        <v>0</v>
      </c>
      <c r="N194" s="1" t="b">
        <v>1</v>
      </c>
      <c r="O194" s="1" t="b">
        <v>0</v>
      </c>
    </row>
    <row r="195" spans="1:15" ht="15.95" customHeight="1" x14ac:dyDescent="0.25">
      <c r="A195" s="4">
        <v>43738.467465277776</v>
      </c>
      <c r="B195" s="1" t="s">
        <v>2704</v>
      </c>
      <c r="C195" s="1" t="s">
        <v>2705</v>
      </c>
      <c r="D195" s="1" t="s">
        <v>2713</v>
      </c>
      <c r="E195" s="1">
        <v>960</v>
      </c>
      <c r="F195" s="1">
        <v>3.69</v>
      </c>
      <c r="G195" s="1">
        <v>3.94</v>
      </c>
      <c r="H195" s="1">
        <v>3.18</v>
      </c>
      <c r="I195" s="1">
        <v>1</v>
      </c>
      <c r="J195" s="1" t="b">
        <v>0</v>
      </c>
      <c r="K195" s="1" t="b">
        <v>0</v>
      </c>
      <c r="L195" s="1" t="b">
        <v>0</v>
      </c>
      <c r="M195" s="1" t="b">
        <v>0</v>
      </c>
      <c r="N195" s="1" t="b">
        <v>1</v>
      </c>
      <c r="O195" s="1" t="b">
        <v>0</v>
      </c>
    </row>
    <row r="196" spans="1:15" ht="15.95" customHeight="1" x14ac:dyDescent="0.25">
      <c r="A196" s="4">
        <v>43738.467465277776</v>
      </c>
      <c r="B196" s="1" t="s">
        <v>2704</v>
      </c>
      <c r="C196" s="1" t="s">
        <v>2705</v>
      </c>
      <c r="D196" s="1" t="s">
        <v>2703</v>
      </c>
      <c r="E196" s="1" t="s">
        <v>2825</v>
      </c>
      <c r="F196" s="1">
        <v>3.69</v>
      </c>
      <c r="G196" s="1">
        <v>3.94</v>
      </c>
      <c r="H196" s="1">
        <v>3.18</v>
      </c>
      <c r="I196" s="1">
        <v>1</v>
      </c>
      <c r="J196" s="1" t="b">
        <v>0</v>
      </c>
      <c r="K196" s="1" t="b">
        <v>0</v>
      </c>
      <c r="L196" s="1" t="b">
        <v>0</v>
      </c>
      <c r="M196" s="1" t="b">
        <v>0</v>
      </c>
      <c r="N196" s="1" t="b">
        <v>1</v>
      </c>
      <c r="O196" s="1" t="b">
        <v>0</v>
      </c>
    </row>
    <row r="197" spans="1:15" ht="15.95" customHeight="1" x14ac:dyDescent="0.25">
      <c r="A197" s="4">
        <v>43738.467465277776</v>
      </c>
      <c r="B197" s="1" t="s">
        <v>2704</v>
      </c>
      <c r="C197" s="1" t="s">
        <v>2705</v>
      </c>
      <c r="D197" s="1" t="s">
        <v>2716</v>
      </c>
      <c r="E197" s="1" t="s">
        <v>2717</v>
      </c>
      <c r="F197" s="1">
        <v>3.69</v>
      </c>
      <c r="G197" s="1">
        <v>3.94</v>
      </c>
      <c r="H197" s="1">
        <v>3.18</v>
      </c>
      <c r="I197" s="1">
        <v>1</v>
      </c>
      <c r="J197" s="1" t="b">
        <v>0</v>
      </c>
      <c r="K197" s="1" t="b">
        <v>0</v>
      </c>
      <c r="L197" s="1" t="b">
        <v>0</v>
      </c>
      <c r="M197" s="1" t="b">
        <v>0</v>
      </c>
      <c r="N197" s="1" t="b">
        <v>1</v>
      </c>
      <c r="O197" s="1" t="b">
        <v>0</v>
      </c>
    </row>
    <row r="198" spans="1:15" ht="15.95" customHeight="1" x14ac:dyDescent="0.25">
      <c r="A198" s="4">
        <v>43738.467465277776</v>
      </c>
      <c r="B198" s="1" t="s">
        <v>2704</v>
      </c>
      <c r="C198" s="1" t="s">
        <v>2705</v>
      </c>
      <c r="D198" s="1" t="s">
        <v>2718</v>
      </c>
      <c r="E198" s="10" t="s">
        <v>2710</v>
      </c>
      <c r="F198" s="1">
        <v>3.69</v>
      </c>
      <c r="G198" s="1">
        <v>3.94</v>
      </c>
      <c r="H198" s="1">
        <v>3.18</v>
      </c>
      <c r="I198" s="1">
        <v>1</v>
      </c>
      <c r="J198" s="1" t="b">
        <v>0</v>
      </c>
      <c r="K198" s="1" t="b">
        <v>0</v>
      </c>
      <c r="L198" s="1" t="b">
        <v>0</v>
      </c>
      <c r="M198" s="1" t="b">
        <v>0</v>
      </c>
      <c r="N198" s="1" t="b">
        <v>1</v>
      </c>
      <c r="O198" s="1" t="b">
        <v>0</v>
      </c>
    </row>
    <row r="199" spans="1:15" ht="15.95" customHeight="1" x14ac:dyDescent="0.25">
      <c r="A199" s="4">
        <v>43738.467465277776</v>
      </c>
      <c r="B199" s="1" t="s">
        <v>2704</v>
      </c>
      <c r="C199" s="1" t="s">
        <v>2708</v>
      </c>
      <c r="D199" s="1" t="s">
        <v>2706</v>
      </c>
      <c r="E199" s="1" t="s">
        <v>2721</v>
      </c>
      <c r="F199" s="1">
        <v>3.69</v>
      </c>
      <c r="G199" s="1">
        <v>3.94</v>
      </c>
      <c r="H199" s="1">
        <v>3.18</v>
      </c>
      <c r="I199" s="1">
        <v>1</v>
      </c>
      <c r="J199" s="1" t="b">
        <v>0</v>
      </c>
      <c r="K199" s="1" t="b">
        <v>0</v>
      </c>
      <c r="L199" s="1" t="b">
        <v>0</v>
      </c>
      <c r="M199" s="1" t="b">
        <v>0</v>
      </c>
      <c r="N199" s="1" t="b">
        <v>1</v>
      </c>
      <c r="O199" s="1" t="b">
        <v>0</v>
      </c>
    </row>
    <row r="200" spans="1:15" ht="15.95" customHeight="1" x14ac:dyDescent="0.25">
      <c r="A200" s="4">
        <v>43738.666342592594</v>
      </c>
      <c r="B200" s="1" t="s">
        <v>2704</v>
      </c>
      <c r="C200" s="1" t="s">
        <v>3175</v>
      </c>
      <c r="D200" s="1" t="s">
        <v>3176</v>
      </c>
      <c r="E200" s="1" t="s">
        <v>2721</v>
      </c>
      <c r="F200" s="1">
        <v>3.69</v>
      </c>
      <c r="G200" s="1">
        <v>3.94</v>
      </c>
      <c r="H200" s="1">
        <v>3.18</v>
      </c>
      <c r="I200" s="1">
        <v>1</v>
      </c>
      <c r="J200" s="1" t="b">
        <v>0</v>
      </c>
      <c r="K200" s="1" t="b">
        <v>0</v>
      </c>
      <c r="L200" s="1" t="b">
        <v>0</v>
      </c>
      <c r="M200" s="1" t="b">
        <v>0</v>
      </c>
      <c r="N200" s="1" t="b">
        <v>1</v>
      </c>
      <c r="O200" s="1" t="b">
        <v>0</v>
      </c>
    </row>
    <row r="201" spans="1:15" ht="15.95" customHeight="1" x14ac:dyDescent="0.25">
      <c r="A201" s="4">
        <v>43738.667824074073</v>
      </c>
      <c r="B201" s="1" t="s">
        <v>2704</v>
      </c>
      <c r="C201" s="1" t="s">
        <v>3175</v>
      </c>
      <c r="D201" s="1" t="s">
        <v>3176</v>
      </c>
      <c r="E201" s="1" t="s">
        <v>2721</v>
      </c>
      <c r="F201" s="1">
        <v>3.69</v>
      </c>
      <c r="G201" s="1">
        <v>3.94</v>
      </c>
      <c r="H201" s="1">
        <v>3.18</v>
      </c>
      <c r="I201" s="1">
        <v>1</v>
      </c>
      <c r="J201" s="1" t="b">
        <v>0</v>
      </c>
      <c r="K201" s="1" t="b">
        <v>0</v>
      </c>
      <c r="L201" s="1" t="b">
        <v>0</v>
      </c>
      <c r="M201" s="1" t="b">
        <v>0</v>
      </c>
      <c r="N201" s="1" t="b">
        <v>1</v>
      </c>
      <c r="O201" s="1" t="b">
        <v>0</v>
      </c>
    </row>
    <row r="202" spans="1:15" ht="15.95" customHeight="1" x14ac:dyDescent="0.25">
      <c r="A202" s="4">
        <v>43738.667939814812</v>
      </c>
      <c r="B202" s="1" t="s">
        <v>2704</v>
      </c>
      <c r="C202" s="1" t="s">
        <v>3175</v>
      </c>
      <c r="D202" s="1" t="s">
        <v>3176</v>
      </c>
      <c r="E202" s="1" t="s">
        <v>2721</v>
      </c>
      <c r="F202" s="1">
        <v>3.69</v>
      </c>
      <c r="G202" s="1">
        <v>3.94</v>
      </c>
      <c r="H202" s="1">
        <v>3.18</v>
      </c>
      <c r="I202" s="1">
        <v>1</v>
      </c>
      <c r="J202" s="1" t="b">
        <v>0</v>
      </c>
      <c r="K202" s="1" t="b">
        <v>0</v>
      </c>
      <c r="L202" s="1" t="b">
        <v>0</v>
      </c>
      <c r="M202" s="1" t="b">
        <v>0</v>
      </c>
      <c r="N202" s="1" t="b">
        <v>1</v>
      </c>
      <c r="O202" s="1" t="b">
        <v>0</v>
      </c>
    </row>
    <row r="203" spans="1:15" ht="15.95" customHeight="1" x14ac:dyDescent="0.25">
      <c r="A203" s="4">
        <v>43738.668298611112</v>
      </c>
      <c r="B203" s="1" t="s">
        <v>2704</v>
      </c>
      <c r="C203" s="1" t="s">
        <v>3177</v>
      </c>
      <c r="D203" s="1" t="s">
        <v>3176</v>
      </c>
      <c r="E203" s="1" t="s">
        <v>2721</v>
      </c>
      <c r="F203" s="1">
        <v>3.69</v>
      </c>
      <c r="G203" s="1">
        <v>3.94</v>
      </c>
      <c r="H203" s="1">
        <v>3.18</v>
      </c>
      <c r="I203" s="1">
        <v>1</v>
      </c>
      <c r="J203" s="1" t="b">
        <v>1</v>
      </c>
      <c r="K203" s="1" t="b">
        <v>1</v>
      </c>
      <c r="L203" s="1" t="b">
        <v>0</v>
      </c>
      <c r="M203" s="1" t="b">
        <v>1</v>
      </c>
      <c r="N203" s="1" t="b">
        <v>1</v>
      </c>
      <c r="O203" s="1" t="b">
        <v>0</v>
      </c>
    </row>
    <row r="204" spans="1:15" ht="15.95" customHeight="1" x14ac:dyDescent="0.25">
      <c r="A204" s="4">
        <v>43738.668622685182</v>
      </c>
      <c r="B204" s="1" t="s">
        <v>2704</v>
      </c>
      <c r="C204" s="1" t="s">
        <v>3178</v>
      </c>
      <c r="D204" s="1" t="s">
        <v>3176</v>
      </c>
      <c r="E204" s="1" t="s">
        <v>2721</v>
      </c>
      <c r="F204" s="1">
        <v>3.69</v>
      </c>
      <c r="G204" s="1">
        <v>3.94</v>
      </c>
      <c r="H204" s="1">
        <v>3.18</v>
      </c>
      <c r="I204" s="1">
        <v>1</v>
      </c>
      <c r="J204" s="1" t="b">
        <v>0</v>
      </c>
      <c r="K204" s="1" t="b">
        <v>0</v>
      </c>
      <c r="L204" s="1" t="b">
        <v>0</v>
      </c>
      <c r="M204" s="1" t="b">
        <v>0</v>
      </c>
      <c r="N204" s="1" t="b">
        <v>1</v>
      </c>
      <c r="O204" s="1" t="b">
        <v>0</v>
      </c>
    </row>
    <row r="205" spans="1:15" ht="15.95" customHeight="1" x14ac:dyDescent="0.25">
      <c r="A205" s="4">
        <v>43738.668726851851</v>
      </c>
      <c r="B205" s="1" t="s">
        <v>2704</v>
      </c>
      <c r="C205" s="1" t="s">
        <v>3177</v>
      </c>
      <c r="D205" s="1" t="s">
        <v>3176</v>
      </c>
      <c r="E205" s="1" t="s">
        <v>2721</v>
      </c>
      <c r="F205" s="1">
        <v>3.69</v>
      </c>
      <c r="G205" s="1">
        <v>3.94</v>
      </c>
      <c r="H205" s="1">
        <v>3.18</v>
      </c>
      <c r="I205" s="1">
        <v>1</v>
      </c>
      <c r="J205" s="1" t="b">
        <v>1</v>
      </c>
      <c r="K205" s="1" t="b">
        <v>1</v>
      </c>
      <c r="L205" s="1" t="b">
        <v>0</v>
      </c>
      <c r="M205" s="1" t="b">
        <v>1</v>
      </c>
      <c r="N205" s="1" t="b">
        <v>1</v>
      </c>
      <c r="O205" s="1" t="b">
        <v>0</v>
      </c>
    </row>
    <row r="206" spans="1:15" ht="15.95" customHeight="1" x14ac:dyDescent="0.25">
      <c r="A206" s="4">
        <v>43738.669537037036</v>
      </c>
      <c r="B206" s="1" t="s">
        <v>2704</v>
      </c>
      <c r="C206" s="1" t="s">
        <v>2701</v>
      </c>
      <c r="D206" s="1" t="s">
        <v>2741</v>
      </c>
      <c r="E206" s="1">
        <v>0</v>
      </c>
      <c r="F206" s="1">
        <v>3.69</v>
      </c>
      <c r="G206" s="1">
        <v>3.94</v>
      </c>
      <c r="H206" s="1">
        <v>3.18</v>
      </c>
      <c r="I206" s="1">
        <v>1</v>
      </c>
      <c r="J206" s="1" t="b">
        <v>0</v>
      </c>
      <c r="K206" s="1" t="b">
        <v>0</v>
      </c>
      <c r="L206" s="1" t="b">
        <v>0</v>
      </c>
      <c r="M206" s="1" t="b">
        <v>0</v>
      </c>
      <c r="N206" s="1" t="b">
        <v>1</v>
      </c>
      <c r="O206" s="1" t="b">
        <v>0</v>
      </c>
    </row>
    <row r="207" spans="1:15" ht="15.95" customHeight="1" x14ac:dyDescent="0.25">
      <c r="A207" s="4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</row>
    <row r="208" spans="1:15" ht="15.95" customHeight="1" x14ac:dyDescent="0.25">
      <c r="A208" s="4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</row>
    <row r="209" spans="1:15" ht="15.95" customHeight="1" x14ac:dyDescent="0.25">
      <c r="A209" s="4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</row>
    <row r="210" spans="1:15" ht="15.95" customHeight="1" x14ac:dyDescent="0.25">
      <c r="A210" s="4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</row>
    <row r="211" spans="1:15" ht="15.95" customHeight="1" x14ac:dyDescent="0.25">
      <c r="A211" s="4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</row>
    <row r="212" spans="1:15" ht="15.95" customHeight="1" x14ac:dyDescent="0.25">
      <c r="A212" s="4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</row>
    <row r="213" spans="1:15" ht="15.95" customHeight="1" x14ac:dyDescent="0.25">
      <c r="A213" s="4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</row>
    <row r="214" spans="1:15" ht="15.95" customHeight="1" x14ac:dyDescent="0.25">
      <c r="A214" s="4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</row>
    <row r="215" spans="1:15" ht="15.95" customHeight="1" x14ac:dyDescent="0.25">
      <c r="A215" s="4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</row>
    <row r="216" spans="1:15" ht="15.95" customHeight="1" x14ac:dyDescent="0.25">
      <c r="A216" s="4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</row>
    <row r="217" spans="1:15" ht="15.95" customHeight="1" x14ac:dyDescent="0.25">
      <c r="A217" s="4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</row>
    <row r="218" spans="1:15" ht="15.95" customHeight="1" x14ac:dyDescent="0.25">
      <c r="A218" s="4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</row>
    <row r="219" spans="1:15" ht="15.95" customHeight="1" x14ac:dyDescent="0.25">
      <c r="A219" s="4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</row>
    <row r="220" spans="1:15" ht="15.95" customHeight="1" x14ac:dyDescent="0.25">
      <c r="A220" s="4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</row>
    <row r="221" spans="1:15" ht="15.95" customHeight="1" x14ac:dyDescent="0.25">
      <c r="A221" s="4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</row>
    <row r="222" spans="1:15" ht="15.95" customHeight="1" x14ac:dyDescent="0.25">
      <c r="A222" s="4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</row>
    <row r="223" spans="1:15" ht="15.95" customHeight="1" x14ac:dyDescent="0.25">
      <c r="A223" s="4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</row>
    <row r="224" spans="1:15" ht="15.95" customHeight="1" x14ac:dyDescent="0.25">
      <c r="A224" s="4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</row>
    <row r="225" spans="1:15" ht="15.95" customHeight="1" x14ac:dyDescent="0.25">
      <c r="A225" s="4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</row>
    <row r="226" spans="1:15" ht="15.95" customHeight="1" x14ac:dyDescent="0.25">
      <c r="A226" s="4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</row>
    <row r="227" spans="1:15" ht="15.95" customHeight="1" x14ac:dyDescent="0.25">
      <c r="A227" s="4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</row>
    <row r="228" spans="1:15" ht="15.95" customHeight="1" x14ac:dyDescent="0.25">
      <c r="A228" s="4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</row>
    <row r="229" spans="1:15" ht="15.95" customHeight="1" x14ac:dyDescent="0.25">
      <c r="A229" s="4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</row>
    <row r="230" spans="1:15" ht="15.95" customHeight="1" x14ac:dyDescent="0.25">
      <c r="A230" s="4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</row>
    <row r="231" spans="1:15" ht="15.95" customHeight="1" x14ac:dyDescent="0.25">
      <c r="A231" s="4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</row>
    <row r="232" spans="1:15" ht="15.95" customHeight="1" x14ac:dyDescent="0.25">
      <c r="A232" s="4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</row>
    <row r="233" spans="1:15" ht="15.95" customHeight="1" x14ac:dyDescent="0.25">
      <c r="A233" s="4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</row>
    <row r="234" spans="1:15" ht="15.95" customHeight="1" x14ac:dyDescent="0.25">
      <c r="A234" s="4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</row>
    <row r="235" spans="1:15" ht="15.95" customHeight="1" x14ac:dyDescent="0.25">
      <c r="A235" s="4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</row>
    <row r="236" spans="1:15" ht="15.95" customHeight="1" x14ac:dyDescent="0.25">
      <c r="A236" s="4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</row>
    <row r="237" spans="1:15" ht="15.95" customHeight="1" x14ac:dyDescent="0.25">
      <c r="A237" s="4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</row>
    <row r="238" spans="1:15" ht="15.95" customHeight="1" x14ac:dyDescent="0.25">
      <c r="A238" s="4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</row>
    <row r="239" spans="1:15" ht="15.95" customHeight="1" x14ac:dyDescent="0.25">
      <c r="A239" s="4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</row>
    <row r="240" spans="1:15" ht="15.95" customHeight="1" x14ac:dyDescent="0.25">
      <c r="A240" s="4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</row>
    <row r="241" spans="1:15" ht="15.95" customHeight="1" x14ac:dyDescent="0.25">
      <c r="A241" s="4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</row>
    <row r="242" spans="1:15" ht="15.95" customHeight="1" x14ac:dyDescent="0.25">
      <c r="A242" s="4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</row>
    <row r="243" spans="1:15" ht="15.95" customHeight="1" x14ac:dyDescent="0.25">
      <c r="A243" s="4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</row>
    <row r="244" spans="1:15" ht="15.95" customHeight="1" x14ac:dyDescent="0.25">
      <c r="A244" s="4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</row>
    <row r="245" spans="1:15" ht="15.95" customHeight="1" x14ac:dyDescent="0.25">
      <c r="A245" s="4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</row>
    <row r="246" spans="1:15" ht="15.95" customHeight="1" x14ac:dyDescent="0.25">
      <c r="A246" s="4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</row>
    <row r="247" spans="1:15" ht="15.95" customHeight="1" x14ac:dyDescent="0.25">
      <c r="A247" s="4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</row>
    <row r="248" spans="1:15" ht="15.95" customHeight="1" x14ac:dyDescent="0.25">
      <c r="A248" s="4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</row>
    <row r="249" spans="1:15" ht="15.95" customHeight="1" x14ac:dyDescent="0.25">
      <c r="A249" s="4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</row>
    <row r="250" spans="1:15" ht="15.95" customHeight="1" x14ac:dyDescent="0.25">
      <c r="A250" s="4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</row>
    <row r="251" spans="1:15" ht="15.95" customHeight="1" x14ac:dyDescent="0.25">
      <c r="A251" s="4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</row>
    <row r="252" spans="1:15" ht="15.95" customHeight="1" x14ac:dyDescent="0.25">
      <c r="A252" s="4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</row>
    <row r="253" spans="1:15" ht="15.95" customHeight="1" x14ac:dyDescent="0.25">
      <c r="A253" s="4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</row>
    <row r="254" spans="1:15" ht="15.95" customHeight="1" x14ac:dyDescent="0.25">
      <c r="A254" s="4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</row>
    <row r="255" spans="1:15" ht="15.95" customHeight="1" x14ac:dyDescent="0.25">
      <c r="A255" s="4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</row>
    <row r="256" spans="1:15" ht="15.95" customHeight="1" x14ac:dyDescent="0.25">
      <c r="A256" s="4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</row>
    <row r="257" spans="1:15" ht="15.95" customHeight="1" x14ac:dyDescent="0.25">
      <c r="A257" s="4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</row>
    <row r="258" spans="1:15" ht="15.95" customHeight="1" x14ac:dyDescent="0.25">
      <c r="A258" s="4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</row>
    <row r="259" spans="1:15" ht="15.95" customHeight="1" x14ac:dyDescent="0.25">
      <c r="A259" s="4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</row>
    <row r="260" spans="1:15" ht="15.95" customHeight="1" x14ac:dyDescent="0.25">
      <c r="A260" s="4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</row>
    <row r="261" spans="1:15" ht="15.95" customHeight="1" x14ac:dyDescent="0.25">
      <c r="A261" s="4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</row>
    <row r="262" spans="1:15" ht="15.95" customHeight="1" x14ac:dyDescent="0.25">
      <c r="A262" s="4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</row>
    <row r="263" spans="1:15" ht="15.95" customHeight="1" x14ac:dyDescent="0.25">
      <c r="A263" s="4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</row>
    <row r="264" spans="1:15" ht="15.95" customHeight="1" x14ac:dyDescent="0.25">
      <c r="A264" s="4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</row>
    <row r="265" spans="1:15" ht="15.95" customHeight="1" x14ac:dyDescent="0.25">
      <c r="A265" s="4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</row>
    <row r="266" spans="1:15" ht="15.95" customHeight="1" x14ac:dyDescent="0.25">
      <c r="A266" s="4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</row>
    <row r="267" spans="1:15" ht="15.95" customHeight="1" x14ac:dyDescent="0.25">
      <c r="A267" s="4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</row>
    <row r="268" spans="1:15" ht="15.95" customHeight="1" x14ac:dyDescent="0.25">
      <c r="A268" s="4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</row>
    <row r="269" spans="1:15" ht="15.95" customHeight="1" x14ac:dyDescent="0.25">
      <c r="A269" s="4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</row>
    <row r="270" spans="1:15" ht="15.95" customHeight="1" x14ac:dyDescent="0.25">
      <c r="A270" s="4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</row>
    <row r="271" spans="1:15" ht="15.95" customHeight="1" x14ac:dyDescent="0.25">
      <c r="A271" s="4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</row>
    <row r="272" spans="1:15" ht="15.95" customHeight="1" x14ac:dyDescent="0.25">
      <c r="A272" s="4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</row>
    <row r="273" spans="1:15" ht="15.95" customHeight="1" x14ac:dyDescent="0.25">
      <c r="A273" s="4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</row>
    <row r="274" spans="1:15" ht="15.95" customHeight="1" x14ac:dyDescent="0.25">
      <c r="A274" s="4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</row>
    <row r="275" spans="1:15" ht="15.95" customHeight="1" x14ac:dyDescent="0.25">
      <c r="A275" s="4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</row>
    <row r="276" spans="1:15" ht="15.95" customHeight="1" x14ac:dyDescent="0.25">
      <c r="A276" s="4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</row>
    <row r="277" spans="1:15" ht="15.95" customHeight="1" x14ac:dyDescent="0.25">
      <c r="A277" s="4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</row>
    <row r="278" spans="1:15" ht="15.95" customHeight="1" x14ac:dyDescent="0.25">
      <c r="A278" s="4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</row>
    <row r="279" spans="1:15" ht="15.95" customHeight="1" x14ac:dyDescent="0.25">
      <c r="A279" s="4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</row>
    <row r="280" spans="1:15" ht="15.95" customHeight="1" x14ac:dyDescent="0.25">
      <c r="A280" s="4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</row>
    <row r="281" spans="1:15" ht="15.95" customHeight="1" x14ac:dyDescent="0.25">
      <c r="A281" s="4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</row>
    <row r="282" spans="1:15" ht="15.95" customHeight="1" x14ac:dyDescent="0.25">
      <c r="A282" s="4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</row>
    <row r="283" spans="1:15" ht="15.95" customHeight="1" x14ac:dyDescent="0.25">
      <c r="A283" s="4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</row>
    <row r="284" spans="1:15" ht="15.95" customHeight="1" x14ac:dyDescent="0.25">
      <c r="A284" s="4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</row>
    <row r="285" spans="1:15" ht="15.95" customHeight="1" x14ac:dyDescent="0.25">
      <c r="A285" s="4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</row>
    <row r="286" spans="1:15" ht="15.95" customHeight="1" x14ac:dyDescent="0.25">
      <c r="A286" s="4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</row>
    <row r="287" spans="1:15" ht="15.95" customHeight="1" x14ac:dyDescent="0.25">
      <c r="A287" s="4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</row>
    <row r="288" spans="1:15" ht="15.95" customHeight="1" x14ac:dyDescent="0.25">
      <c r="A288" s="4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</row>
    <row r="289" spans="1:15" ht="15.95" customHeight="1" x14ac:dyDescent="0.25">
      <c r="A289" s="4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</row>
    <row r="290" spans="1:15" ht="15.95" customHeight="1" x14ac:dyDescent="0.25">
      <c r="A290" s="4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</row>
    <row r="291" spans="1:15" ht="15.95" customHeight="1" x14ac:dyDescent="0.25">
      <c r="A291" s="4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</row>
    <row r="292" spans="1:15" ht="15.95" customHeight="1" x14ac:dyDescent="0.25">
      <c r="A292" s="4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</row>
    <row r="293" spans="1:15" ht="15.95" customHeight="1" x14ac:dyDescent="0.25">
      <c r="A293" s="4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</row>
    <row r="294" spans="1:15" ht="15.95" customHeight="1" x14ac:dyDescent="0.25">
      <c r="A294" s="4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</row>
    <row r="295" spans="1:15" ht="15.95" customHeight="1" x14ac:dyDescent="0.25">
      <c r="A295" s="4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</row>
    <row r="296" spans="1:15" ht="15.95" customHeight="1" x14ac:dyDescent="0.25">
      <c r="A296" s="4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</row>
    <row r="297" spans="1:15" ht="15.95" customHeight="1" x14ac:dyDescent="0.25">
      <c r="A297" s="4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</row>
    <row r="298" spans="1:15" ht="15.95" customHeight="1" x14ac:dyDescent="0.25">
      <c r="A298" s="4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</row>
    <row r="299" spans="1:15" ht="15.95" customHeight="1" x14ac:dyDescent="0.25">
      <c r="A299" s="4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</row>
    <row r="300" spans="1:15" ht="15.95" customHeight="1" x14ac:dyDescent="0.25">
      <c r="A300" s="4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</row>
    <row r="301" spans="1:15" ht="15.95" customHeight="1" x14ac:dyDescent="0.25">
      <c r="A301" s="4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</row>
    <row r="302" spans="1:15" ht="15.95" customHeight="1" x14ac:dyDescent="0.25">
      <c r="A302" s="4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</row>
    <row r="303" spans="1:15" ht="15.95" customHeight="1" x14ac:dyDescent="0.25">
      <c r="A303" s="4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</row>
    <row r="304" spans="1:15" ht="15.95" customHeight="1" x14ac:dyDescent="0.25">
      <c r="A304" s="4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</row>
    <row r="305" spans="1:15" ht="15.95" customHeight="1" x14ac:dyDescent="0.25">
      <c r="A305" s="4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</row>
    <row r="306" spans="1:15" ht="15.95" customHeight="1" x14ac:dyDescent="0.25">
      <c r="A306" s="4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</row>
    <row r="307" spans="1:15" ht="15.95" customHeight="1" x14ac:dyDescent="0.25">
      <c r="A307" s="4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</row>
    <row r="308" spans="1:15" ht="15.95" customHeight="1" x14ac:dyDescent="0.25">
      <c r="A308" s="4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</row>
    <row r="309" spans="1:15" ht="15.95" customHeight="1" x14ac:dyDescent="0.25">
      <c r="A309" s="4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</row>
    <row r="310" spans="1:15" ht="15.95" customHeight="1" x14ac:dyDescent="0.25">
      <c r="A310" s="4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</row>
    <row r="311" spans="1:15" ht="15.95" customHeight="1" x14ac:dyDescent="0.25">
      <c r="A311" s="4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</row>
    <row r="312" spans="1:15" ht="15.95" customHeight="1" x14ac:dyDescent="0.25">
      <c r="A312" s="4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</row>
    <row r="313" spans="1:15" ht="15.95" customHeight="1" x14ac:dyDescent="0.25">
      <c r="A313" s="4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</row>
    <row r="314" spans="1:15" ht="15.95" customHeight="1" x14ac:dyDescent="0.25">
      <c r="A314" s="4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</row>
    <row r="315" spans="1:15" ht="15.95" customHeight="1" x14ac:dyDescent="0.25">
      <c r="A315" s="4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</row>
    <row r="316" spans="1:15" ht="15.95" customHeight="1" x14ac:dyDescent="0.25">
      <c r="A316" s="4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</row>
    <row r="317" spans="1:15" ht="15.95" customHeight="1" x14ac:dyDescent="0.25">
      <c r="A317" s="4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</row>
    <row r="318" spans="1:15" ht="15.95" customHeight="1" x14ac:dyDescent="0.25">
      <c r="A318" s="4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</row>
    <row r="319" spans="1:15" ht="15.95" customHeight="1" x14ac:dyDescent="0.25">
      <c r="A319" s="4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</row>
    <row r="320" spans="1:15" ht="15.95" customHeight="1" x14ac:dyDescent="0.25">
      <c r="A320" s="4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</row>
    <row r="321" spans="1:15" ht="15.95" customHeight="1" x14ac:dyDescent="0.25">
      <c r="A321" s="4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</row>
    <row r="322" spans="1:15" ht="15.95" customHeight="1" x14ac:dyDescent="0.25">
      <c r="A322" s="4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</row>
    <row r="323" spans="1:15" ht="15.95" customHeight="1" x14ac:dyDescent="0.25">
      <c r="A323" s="4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</row>
    <row r="324" spans="1:15" ht="15.95" customHeight="1" x14ac:dyDescent="0.25">
      <c r="A324" s="4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</row>
    <row r="325" spans="1:15" ht="15.95" customHeight="1" x14ac:dyDescent="0.25">
      <c r="A325" s="4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</row>
    <row r="326" spans="1:15" ht="15.95" customHeight="1" x14ac:dyDescent="0.25">
      <c r="A326" s="4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</row>
    <row r="327" spans="1:15" ht="15.95" customHeight="1" x14ac:dyDescent="0.25">
      <c r="A327" s="4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</row>
    <row r="328" spans="1:15" ht="15.95" customHeight="1" x14ac:dyDescent="0.25">
      <c r="A328" s="4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</row>
    <row r="329" spans="1:15" ht="15.95" customHeight="1" x14ac:dyDescent="0.25">
      <c r="A329" s="4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</row>
    <row r="330" spans="1:15" ht="15.95" customHeight="1" x14ac:dyDescent="0.25">
      <c r="A330" s="4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</row>
    <row r="331" spans="1:15" ht="15.95" customHeight="1" x14ac:dyDescent="0.25">
      <c r="A331" s="4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</row>
    <row r="332" spans="1:15" ht="15.95" customHeight="1" x14ac:dyDescent="0.25">
      <c r="A332" s="4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</row>
    <row r="333" spans="1:15" ht="15.95" customHeight="1" x14ac:dyDescent="0.25">
      <c r="A333" s="4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</row>
    <row r="334" spans="1:15" ht="15.95" customHeight="1" x14ac:dyDescent="0.25">
      <c r="A334" s="4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</row>
    <row r="335" spans="1:15" ht="15.95" customHeight="1" x14ac:dyDescent="0.25">
      <c r="A335" s="4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</row>
    <row r="336" spans="1:15" ht="15.95" customHeight="1" x14ac:dyDescent="0.25">
      <c r="A336" s="4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</row>
    <row r="337" spans="1:15" ht="15.95" customHeight="1" x14ac:dyDescent="0.25">
      <c r="A337" s="4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</row>
    <row r="338" spans="1:15" ht="15.95" customHeight="1" x14ac:dyDescent="0.25">
      <c r="A338" s="4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</row>
    <row r="339" spans="1:15" ht="15.95" customHeight="1" x14ac:dyDescent="0.25">
      <c r="A339" s="4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</row>
    <row r="340" spans="1:15" ht="15.95" customHeight="1" x14ac:dyDescent="0.25">
      <c r="A340" s="4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</row>
    <row r="341" spans="1:15" ht="15.95" customHeight="1" x14ac:dyDescent="0.25">
      <c r="A341" s="4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</row>
    <row r="342" spans="1:15" ht="15.95" customHeight="1" x14ac:dyDescent="0.25">
      <c r="A342" s="4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</row>
    <row r="343" spans="1:15" ht="15.95" customHeight="1" x14ac:dyDescent="0.25">
      <c r="A343" s="4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</row>
    <row r="344" spans="1:15" ht="15.95" customHeight="1" x14ac:dyDescent="0.25">
      <c r="A344" s="4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</row>
    <row r="345" spans="1:15" ht="15.95" customHeight="1" x14ac:dyDescent="0.25">
      <c r="A345" s="4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</row>
    <row r="346" spans="1:15" ht="15.95" customHeight="1" x14ac:dyDescent="0.25">
      <c r="A346" s="4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</row>
    <row r="347" spans="1:15" ht="15.95" customHeight="1" x14ac:dyDescent="0.25">
      <c r="A347" s="4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</row>
    <row r="348" spans="1:15" ht="15.95" customHeight="1" x14ac:dyDescent="0.25">
      <c r="A348" s="4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</row>
    <row r="349" spans="1:15" ht="15.95" customHeight="1" x14ac:dyDescent="0.25">
      <c r="A349" s="4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</row>
    <row r="350" spans="1:15" ht="15.95" customHeight="1" x14ac:dyDescent="0.25">
      <c r="A350" s="4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</row>
    <row r="351" spans="1:15" ht="15.95" customHeight="1" x14ac:dyDescent="0.25">
      <c r="A351" s="4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</row>
    <row r="352" spans="1:15" ht="15.95" customHeight="1" x14ac:dyDescent="0.25">
      <c r="A352" s="4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</row>
    <row r="353" spans="1:15" ht="15.95" customHeight="1" x14ac:dyDescent="0.25">
      <c r="A353" s="4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</row>
    <row r="354" spans="1:15" ht="15.95" customHeight="1" x14ac:dyDescent="0.25">
      <c r="A354" s="4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</row>
    <row r="355" spans="1:15" ht="15.95" customHeight="1" x14ac:dyDescent="0.25">
      <c r="A355" s="4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</row>
    <row r="356" spans="1:15" ht="15.95" customHeight="1" x14ac:dyDescent="0.25">
      <c r="A356" s="4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</row>
    <row r="357" spans="1:15" ht="15.95" customHeight="1" x14ac:dyDescent="0.25">
      <c r="A357" s="4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</row>
    <row r="358" spans="1:15" ht="15.95" customHeight="1" x14ac:dyDescent="0.25">
      <c r="A358" s="4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</row>
    <row r="359" spans="1:15" ht="15.95" customHeight="1" x14ac:dyDescent="0.25">
      <c r="A359" s="4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</row>
    <row r="360" spans="1:15" ht="15.95" customHeight="1" x14ac:dyDescent="0.25">
      <c r="A360" s="4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</row>
    <row r="361" spans="1:15" ht="15.95" customHeight="1" x14ac:dyDescent="0.25">
      <c r="A361" s="4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</row>
    <row r="362" spans="1:15" ht="15.95" customHeight="1" x14ac:dyDescent="0.25">
      <c r="A362" s="4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</row>
    <row r="363" spans="1:15" ht="15.95" customHeight="1" x14ac:dyDescent="0.25">
      <c r="A363" s="4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</row>
    <row r="364" spans="1:15" ht="15.95" customHeight="1" x14ac:dyDescent="0.25">
      <c r="A364" s="4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</row>
    <row r="365" spans="1:15" ht="15.95" customHeight="1" x14ac:dyDescent="0.25">
      <c r="A365" s="4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</row>
    <row r="366" spans="1:15" ht="15.95" customHeight="1" x14ac:dyDescent="0.25">
      <c r="A366" s="4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</row>
    <row r="367" spans="1:15" ht="15.95" customHeight="1" x14ac:dyDescent="0.25">
      <c r="A367" s="4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</row>
    <row r="368" spans="1:15" ht="15.95" customHeight="1" x14ac:dyDescent="0.25">
      <c r="A368" s="4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</row>
    <row r="369" spans="1:15" ht="15.95" customHeight="1" x14ac:dyDescent="0.25">
      <c r="A369" s="4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</row>
    <row r="370" spans="1:15" ht="15.95" customHeight="1" x14ac:dyDescent="0.25">
      <c r="A370" s="4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</row>
    <row r="371" spans="1:15" ht="15.95" customHeight="1" x14ac:dyDescent="0.25">
      <c r="A371" s="4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</row>
    <row r="372" spans="1:15" ht="15.95" customHeight="1" x14ac:dyDescent="0.25">
      <c r="A372" s="4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</row>
    <row r="373" spans="1:15" ht="15.95" customHeight="1" x14ac:dyDescent="0.25">
      <c r="A373" s="4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</row>
    <row r="374" spans="1:15" ht="15.95" customHeight="1" x14ac:dyDescent="0.25">
      <c r="A374" s="4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</row>
    <row r="375" spans="1:15" ht="15.95" customHeight="1" x14ac:dyDescent="0.25">
      <c r="A375" s="4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</row>
    <row r="376" spans="1:15" ht="15.95" customHeight="1" x14ac:dyDescent="0.25">
      <c r="A376" s="4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</row>
    <row r="377" spans="1:15" ht="15.95" customHeight="1" x14ac:dyDescent="0.25">
      <c r="A377" s="4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</row>
    <row r="378" spans="1:15" ht="15.95" customHeight="1" x14ac:dyDescent="0.25">
      <c r="A378" s="4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</row>
    <row r="379" spans="1:15" ht="15.95" customHeight="1" x14ac:dyDescent="0.25">
      <c r="A379" s="4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</row>
    <row r="380" spans="1:15" ht="15.95" customHeight="1" x14ac:dyDescent="0.25">
      <c r="A380" s="4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</row>
    <row r="381" spans="1:15" ht="15.95" customHeight="1" x14ac:dyDescent="0.25">
      <c r="A381" s="4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</row>
    <row r="382" spans="1:15" ht="15.95" customHeight="1" x14ac:dyDescent="0.25">
      <c r="A382" s="4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</row>
    <row r="383" spans="1:15" ht="15.95" customHeight="1" x14ac:dyDescent="0.25">
      <c r="A383" s="4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</row>
    <row r="384" spans="1:15" ht="15.95" customHeight="1" x14ac:dyDescent="0.25">
      <c r="A384" s="4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</row>
    <row r="385" spans="1:15" ht="15.95" customHeight="1" x14ac:dyDescent="0.25">
      <c r="A385" s="4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</row>
    <row r="386" spans="1:15" ht="15.95" customHeight="1" x14ac:dyDescent="0.25">
      <c r="A386" s="4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</row>
    <row r="387" spans="1:15" ht="15.95" customHeight="1" x14ac:dyDescent="0.25">
      <c r="A387" s="4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</row>
    <row r="388" spans="1:15" ht="15.95" customHeight="1" x14ac:dyDescent="0.25">
      <c r="A388" s="4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</row>
    <row r="389" spans="1:15" ht="15.95" customHeight="1" x14ac:dyDescent="0.25">
      <c r="A389" s="4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</row>
    <row r="390" spans="1:15" ht="15.95" customHeight="1" x14ac:dyDescent="0.25">
      <c r="A390" s="4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</row>
    <row r="391" spans="1:15" ht="15.95" customHeight="1" x14ac:dyDescent="0.25">
      <c r="A391" s="4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</row>
    <row r="392" spans="1:15" ht="15.95" customHeight="1" x14ac:dyDescent="0.25">
      <c r="A392" s="4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</row>
    <row r="393" spans="1:15" ht="15.95" customHeight="1" x14ac:dyDescent="0.25">
      <c r="A393" s="4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</row>
    <row r="394" spans="1:15" ht="15.95" customHeight="1" x14ac:dyDescent="0.25">
      <c r="A394" s="4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</row>
    <row r="395" spans="1:15" ht="15.95" customHeight="1" x14ac:dyDescent="0.25">
      <c r="A395" s="4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</row>
    <row r="396" spans="1:15" ht="15.95" customHeight="1" x14ac:dyDescent="0.25">
      <c r="A396" s="4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</row>
    <row r="397" spans="1:15" ht="15.95" customHeight="1" x14ac:dyDescent="0.25">
      <c r="A397" s="4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</row>
    <row r="398" spans="1:15" ht="15.95" customHeight="1" x14ac:dyDescent="0.25">
      <c r="A398" s="4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</row>
    <row r="399" spans="1:15" ht="15.95" customHeight="1" x14ac:dyDescent="0.25">
      <c r="A399" s="4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</row>
    <row r="400" spans="1:15" ht="15.95" customHeight="1" x14ac:dyDescent="0.25">
      <c r="A400" s="4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</row>
    <row r="401" spans="1:15" ht="15.95" customHeight="1" x14ac:dyDescent="0.25">
      <c r="A401" s="4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</row>
    <row r="402" spans="1:15" ht="15.95" customHeight="1" x14ac:dyDescent="0.25">
      <c r="A402" s="4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</row>
    <row r="403" spans="1:15" ht="15.95" customHeight="1" x14ac:dyDescent="0.25">
      <c r="A403" s="4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</row>
    <row r="404" spans="1:15" ht="15.95" customHeight="1" x14ac:dyDescent="0.25">
      <c r="A404" s="4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</row>
    <row r="405" spans="1:15" ht="15.95" customHeight="1" x14ac:dyDescent="0.25">
      <c r="A405" s="4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</row>
    <row r="406" spans="1:15" ht="15.95" customHeight="1" x14ac:dyDescent="0.25">
      <c r="A406" s="4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</row>
    <row r="407" spans="1:15" ht="15.95" customHeight="1" x14ac:dyDescent="0.25">
      <c r="A407" s="4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</row>
    <row r="408" spans="1:15" ht="15.95" customHeight="1" x14ac:dyDescent="0.25">
      <c r="A408" s="4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</row>
    <row r="409" spans="1:15" ht="15.95" customHeight="1" x14ac:dyDescent="0.25">
      <c r="A409" s="4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</row>
    <row r="410" spans="1:15" ht="15.95" customHeight="1" x14ac:dyDescent="0.25">
      <c r="A410" s="4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</row>
    <row r="411" spans="1:15" ht="15.95" customHeight="1" x14ac:dyDescent="0.25">
      <c r="A411" s="4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</row>
    <row r="412" spans="1:15" ht="15.95" customHeight="1" x14ac:dyDescent="0.25">
      <c r="A412" s="4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</row>
    <row r="413" spans="1:15" ht="15.95" customHeight="1" x14ac:dyDescent="0.25">
      <c r="A413" s="4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</row>
    <row r="414" spans="1:15" ht="15.95" customHeight="1" x14ac:dyDescent="0.25">
      <c r="A414" s="4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</row>
    <row r="415" spans="1:15" ht="15.95" customHeight="1" x14ac:dyDescent="0.25">
      <c r="A415" s="4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</row>
    <row r="416" spans="1:15" ht="15.95" customHeight="1" x14ac:dyDescent="0.25">
      <c r="A416" s="4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</row>
    <row r="417" spans="1:15" ht="15.95" customHeight="1" x14ac:dyDescent="0.25">
      <c r="A417" s="4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</row>
    <row r="418" spans="1:15" ht="15.95" customHeight="1" x14ac:dyDescent="0.25">
      <c r="A418" s="4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</row>
    <row r="419" spans="1:15" ht="15.95" customHeight="1" x14ac:dyDescent="0.25">
      <c r="A419" s="4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</row>
    <row r="420" spans="1:15" ht="15.95" customHeight="1" x14ac:dyDescent="0.25">
      <c r="A420" s="4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</row>
    <row r="421" spans="1:15" ht="15.95" customHeight="1" x14ac:dyDescent="0.25">
      <c r="A421" s="4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</row>
    <row r="422" spans="1:15" ht="15.95" customHeight="1" x14ac:dyDescent="0.25">
      <c r="A422" s="4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</row>
    <row r="423" spans="1:15" ht="15.95" customHeight="1" x14ac:dyDescent="0.25">
      <c r="A423" s="4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</row>
    <row r="424" spans="1:15" ht="15.95" customHeight="1" x14ac:dyDescent="0.25">
      <c r="A424" s="4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</row>
    <row r="425" spans="1:15" ht="15.95" customHeight="1" x14ac:dyDescent="0.25">
      <c r="A425" s="4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</row>
    <row r="426" spans="1:15" ht="15.95" customHeight="1" x14ac:dyDescent="0.25">
      <c r="A426" s="4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</row>
    <row r="427" spans="1:15" ht="15.95" customHeight="1" x14ac:dyDescent="0.25">
      <c r="A427" s="4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</row>
    <row r="428" spans="1:15" ht="15.95" customHeight="1" x14ac:dyDescent="0.25">
      <c r="A428" s="4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</row>
    <row r="429" spans="1:15" ht="15.95" customHeight="1" x14ac:dyDescent="0.25">
      <c r="A429" s="4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</row>
    <row r="430" spans="1:15" ht="15.95" customHeight="1" x14ac:dyDescent="0.25">
      <c r="A430" s="4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</row>
    <row r="431" spans="1:15" ht="15.95" customHeight="1" x14ac:dyDescent="0.25">
      <c r="A431" s="4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</row>
    <row r="432" spans="1:15" ht="15.95" customHeight="1" x14ac:dyDescent="0.25">
      <c r="A432" s="4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</row>
    <row r="433" spans="1:15" ht="15.95" customHeight="1" x14ac:dyDescent="0.25">
      <c r="A433" s="4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</row>
    <row r="434" spans="1:15" ht="15.95" customHeight="1" x14ac:dyDescent="0.25">
      <c r="A434" s="4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</row>
    <row r="435" spans="1:15" ht="15.95" customHeight="1" x14ac:dyDescent="0.25">
      <c r="A435" s="4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</row>
    <row r="436" spans="1:15" ht="15.95" customHeight="1" x14ac:dyDescent="0.25">
      <c r="A436" s="4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</row>
    <row r="437" spans="1:15" ht="15.95" customHeight="1" x14ac:dyDescent="0.25">
      <c r="A437" s="4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</row>
    <row r="438" spans="1:15" ht="15.95" customHeight="1" x14ac:dyDescent="0.25">
      <c r="A438" s="4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</row>
    <row r="439" spans="1:15" ht="15.95" customHeight="1" x14ac:dyDescent="0.25">
      <c r="A439" s="4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</row>
    <row r="440" spans="1:15" ht="15.95" customHeight="1" x14ac:dyDescent="0.25">
      <c r="A440" s="4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</row>
    <row r="441" spans="1:15" ht="15.95" customHeight="1" x14ac:dyDescent="0.25">
      <c r="A441" s="4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</row>
    <row r="442" spans="1:15" ht="15.95" customHeight="1" x14ac:dyDescent="0.25">
      <c r="A442" s="4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</row>
    <row r="443" spans="1:15" ht="15.95" customHeight="1" x14ac:dyDescent="0.25">
      <c r="A443" s="4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</row>
    <row r="444" spans="1:15" ht="15.95" customHeight="1" x14ac:dyDescent="0.25">
      <c r="A444" s="4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</row>
    <row r="445" spans="1:15" ht="15.95" customHeight="1" x14ac:dyDescent="0.25">
      <c r="A445" s="4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</row>
    <row r="446" spans="1:15" ht="15.95" customHeight="1" x14ac:dyDescent="0.25">
      <c r="A446" s="4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</row>
    <row r="447" spans="1:15" ht="15.95" customHeight="1" x14ac:dyDescent="0.25">
      <c r="A447" s="4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</row>
    <row r="448" spans="1:15" ht="15.95" customHeight="1" x14ac:dyDescent="0.25">
      <c r="A448" s="4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</row>
    <row r="449" spans="1:15" ht="15.95" customHeight="1" x14ac:dyDescent="0.25">
      <c r="A449" s="4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</row>
    <row r="450" spans="1:15" ht="15.95" customHeight="1" x14ac:dyDescent="0.25">
      <c r="A450" s="4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</row>
    <row r="451" spans="1:15" ht="15.95" customHeight="1" x14ac:dyDescent="0.25">
      <c r="A451" s="4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</row>
    <row r="452" spans="1:15" ht="15.95" customHeight="1" x14ac:dyDescent="0.25">
      <c r="A452" s="4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</row>
    <row r="453" spans="1:15" ht="15.95" customHeight="1" x14ac:dyDescent="0.25">
      <c r="A453" s="4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</row>
    <row r="454" spans="1:15" ht="15.95" customHeight="1" x14ac:dyDescent="0.25">
      <c r="A454" s="4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</row>
    <row r="455" spans="1:15" ht="15.95" customHeight="1" x14ac:dyDescent="0.25">
      <c r="A455" s="4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</row>
    <row r="456" spans="1:15" ht="15.95" customHeight="1" x14ac:dyDescent="0.25">
      <c r="A456" s="4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</row>
    <row r="457" spans="1:15" ht="15.95" customHeight="1" x14ac:dyDescent="0.25">
      <c r="A457" s="4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</row>
    <row r="458" spans="1:15" ht="15.95" customHeight="1" x14ac:dyDescent="0.25">
      <c r="A458" s="4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</row>
    <row r="459" spans="1:15" ht="15.95" customHeight="1" x14ac:dyDescent="0.25">
      <c r="A459" s="4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</row>
    <row r="460" spans="1:15" ht="15.95" customHeight="1" x14ac:dyDescent="0.25">
      <c r="A460" s="4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</row>
    <row r="461" spans="1:15" ht="15.95" customHeight="1" x14ac:dyDescent="0.25">
      <c r="A461" s="4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</row>
    <row r="462" spans="1:15" ht="15.95" customHeight="1" x14ac:dyDescent="0.25">
      <c r="A462" s="4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</row>
    <row r="463" spans="1:15" ht="15.95" customHeight="1" x14ac:dyDescent="0.25">
      <c r="A463" s="4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</row>
    <row r="464" spans="1:15" ht="15.95" customHeight="1" x14ac:dyDescent="0.25">
      <c r="A464" s="4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</row>
    <row r="465" spans="1:15" ht="15.95" customHeight="1" x14ac:dyDescent="0.25">
      <c r="A465" s="4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</row>
    <row r="466" spans="1:15" ht="15.95" customHeight="1" x14ac:dyDescent="0.25">
      <c r="A466" s="4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</row>
    <row r="467" spans="1:15" ht="15.95" customHeight="1" x14ac:dyDescent="0.25">
      <c r="A467" s="4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</row>
    <row r="468" spans="1:15" ht="15.95" customHeight="1" x14ac:dyDescent="0.25">
      <c r="A468" s="4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</row>
    <row r="469" spans="1:15" ht="15.95" customHeight="1" x14ac:dyDescent="0.25">
      <c r="A469" s="4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</row>
    <row r="470" spans="1:15" ht="15.95" customHeight="1" x14ac:dyDescent="0.25">
      <c r="A470" s="4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</row>
    <row r="471" spans="1:15" ht="15.95" customHeight="1" x14ac:dyDescent="0.25">
      <c r="A471" s="4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</row>
    <row r="472" spans="1:15" ht="15.95" customHeight="1" x14ac:dyDescent="0.25">
      <c r="A472" s="4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</row>
    <row r="473" spans="1:15" ht="15.95" customHeight="1" x14ac:dyDescent="0.25">
      <c r="A473" s="4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</row>
    <row r="474" spans="1:15" ht="15.95" customHeight="1" x14ac:dyDescent="0.25">
      <c r="A474" s="4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</row>
    <row r="475" spans="1:15" ht="15.95" customHeight="1" x14ac:dyDescent="0.25">
      <c r="A475" s="4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</row>
    <row r="476" spans="1:15" ht="15.95" customHeight="1" x14ac:dyDescent="0.25">
      <c r="A476" s="4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</row>
    <row r="477" spans="1:15" ht="15.95" customHeight="1" x14ac:dyDescent="0.25">
      <c r="A477" s="4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</row>
    <row r="478" spans="1:15" ht="15.95" customHeight="1" x14ac:dyDescent="0.25">
      <c r="A478" s="4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</row>
    <row r="479" spans="1:15" ht="15.95" customHeight="1" x14ac:dyDescent="0.25">
      <c r="A479" s="4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</row>
    <row r="480" spans="1:15" ht="15.95" customHeight="1" x14ac:dyDescent="0.25">
      <c r="A480" s="4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</row>
    <row r="481" spans="1:15" ht="15.95" customHeight="1" x14ac:dyDescent="0.25">
      <c r="A481" s="4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</row>
    <row r="482" spans="1:15" ht="15.95" customHeight="1" x14ac:dyDescent="0.25">
      <c r="A482" s="4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</row>
    <row r="483" spans="1:15" ht="15.95" customHeight="1" x14ac:dyDescent="0.25">
      <c r="A483" s="4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</row>
    <row r="484" spans="1:15" ht="15.95" customHeight="1" x14ac:dyDescent="0.25">
      <c r="A484" s="4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</row>
    <row r="485" spans="1:15" ht="15.95" customHeight="1" x14ac:dyDescent="0.25">
      <c r="A485" s="4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</row>
    <row r="486" spans="1:15" ht="15.95" customHeight="1" x14ac:dyDescent="0.25">
      <c r="A486" s="4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</row>
    <row r="487" spans="1:15" ht="15.95" customHeight="1" x14ac:dyDescent="0.25">
      <c r="A487" s="4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</row>
    <row r="488" spans="1:15" ht="15.95" customHeight="1" x14ac:dyDescent="0.25">
      <c r="A488" s="4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</row>
    <row r="489" spans="1:15" ht="15.95" customHeight="1" x14ac:dyDescent="0.25">
      <c r="A489" s="4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</row>
    <row r="490" spans="1:15" ht="15.95" customHeight="1" x14ac:dyDescent="0.25">
      <c r="A490" s="4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</row>
    <row r="491" spans="1:15" ht="15.95" customHeight="1" x14ac:dyDescent="0.25">
      <c r="A491" s="4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</row>
    <row r="492" spans="1:15" ht="15.95" customHeight="1" x14ac:dyDescent="0.25">
      <c r="A492" s="4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</row>
    <row r="493" spans="1:15" ht="15.95" customHeight="1" x14ac:dyDescent="0.25">
      <c r="A493" s="4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</row>
    <row r="494" spans="1:15" ht="15.95" customHeight="1" x14ac:dyDescent="0.25">
      <c r="A494" s="4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</row>
    <row r="495" spans="1:15" ht="15.95" customHeight="1" x14ac:dyDescent="0.25">
      <c r="A495" s="4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</row>
    <row r="496" spans="1:15" ht="15.95" customHeight="1" x14ac:dyDescent="0.25">
      <c r="A496" s="4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</row>
    <row r="497" spans="1:15" ht="15.95" customHeight="1" x14ac:dyDescent="0.25">
      <c r="A497" s="4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</row>
    <row r="498" spans="1:15" ht="15.95" customHeight="1" x14ac:dyDescent="0.25">
      <c r="A498" s="4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</row>
    <row r="499" spans="1:15" ht="15.95" customHeight="1" x14ac:dyDescent="0.25">
      <c r="A499" s="4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</row>
    <row r="500" spans="1:15" ht="15.95" customHeight="1" x14ac:dyDescent="0.25">
      <c r="A500" s="4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</row>
    <row r="501" spans="1:15" ht="15.95" customHeight="1" x14ac:dyDescent="0.25">
      <c r="A501" s="4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</row>
    <row r="502" spans="1:15" ht="15.95" customHeight="1" x14ac:dyDescent="0.25">
      <c r="A502" s="4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</row>
    <row r="503" spans="1:15" ht="15.95" customHeight="1" x14ac:dyDescent="0.25">
      <c r="A503" s="4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</row>
    <row r="504" spans="1:15" ht="15.95" customHeight="1" x14ac:dyDescent="0.25">
      <c r="A504" s="4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</row>
    <row r="505" spans="1:15" ht="15.95" customHeight="1" x14ac:dyDescent="0.25">
      <c r="A505" s="4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</row>
    <row r="506" spans="1:15" ht="15.95" customHeight="1" x14ac:dyDescent="0.25">
      <c r="A506" s="4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</row>
    <row r="507" spans="1:15" ht="15.95" customHeight="1" x14ac:dyDescent="0.25">
      <c r="A507" s="4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</row>
    <row r="508" spans="1:15" ht="15.95" customHeight="1" x14ac:dyDescent="0.25">
      <c r="A508" s="4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</row>
    <row r="509" spans="1:15" ht="15.95" customHeight="1" x14ac:dyDescent="0.25">
      <c r="A509" s="4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</row>
    <row r="510" spans="1:15" ht="15.95" customHeight="1" x14ac:dyDescent="0.25">
      <c r="A510" s="4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</row>
    <row r="511" spans="1:15" ht="15.95" customHeight="1" x14ac:dyDescent="0.25">
      <c r="A511" s="4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</row>
    <row r="512" spans="1:15" ht="15.95" customHeight="1" x14ac:dyDescent="0.25">
      <c r="A512" s="4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</row>
    <row r="513" spans="1:15" ht="15.95" customHeight="1" x14ac:dyDescent="0.25">
      <c r="A513" s="4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</row>
    <row r="514" spans="1:15" ht="15.95" customHeight="1" x14ac:dyDescent="0.25">
      <c r="A514" s="4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</row>
    <row r="515" spans="1:15" ht="15.95" customHeight="1" x14ac:dyDescent="0.25">
      <c r="A515" s="4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</row>
    <row r="516" spans="1:15" ht="15.95" customHeight="1" x14ac:dyDescent="0.25">
      <c r="A516" s="4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</row>
    <row r="517" spans="1:15" ht="15.95" customHeight="1" x14ac:dyDescent="0.25">
      <c r="A517" s="4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</row>
    <row r="518" spans="1:15" ht="15.95" customHeight="1" x14ac:dyDescent="0.25">
      <c r="A518" s="4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</row>
    <row r="519" spans="1:15" ht="15.95" customHeight="1" x14ac:dyDescent="0.25">
      <c r="A519" s="4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</row>
    <row r="520" spans="1:15" ht="15.95" customHeight="1" x14ac:dyDescent="0.25">
      <c r="A520" s="4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</row>
    <row r="521" spans="1:15" ht="15.95" customHeight="1" x14ac:dyDescent="0.25">
      <c r="A521" s="4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</row>
    <row r="522" spans="1:15" ht="15.95" customHeight="1" x14ac:dyDescent="0.25">
      <c r="A522" s="4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</row>
    <row r="523" spans="1:15" ht="15.95" customHeight="1" x14ac:dyDescent="0.25">
      <c r="A523" s="4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</row>
    <row r="524" spans="1:15" ht="15.95" customHeight="1" x14ac:dyDescent="0.25">
      <c r="A524" s="4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</row>
    <row r="525" spans="1:15" ht="15.95" customHeight="1" x14ac:dyDescent="0.25">
      <c r="A525" s="4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</row>
    <row r="526" spans="1:15" ht="15.95" customHeight="1" x14ac:dyDescent="0.25">
      <c r="A526" s="4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</row>
    <row r="527" spans="1:15" ht="15.95" customHeight="1" x14ac:dyDescent="0.25">
      <c r="A527" s="4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</row>
    <row r="528" spans="1:15" ht="15.95" customHeight="1" x14ac:dyDescent="0.25">
      <c r="A528" s="4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</row>
    <row r="529" spans="1:15" ht="15.95" customHeight="1" x14ac:dyDescent="0.25">
      <c r="A529" s="4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</row>
    <row r="530" spans="1:15" ht="15.95" customHeight="1" x14ac:dyDescent="0.25">
      <c r="A530" s="4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</row>
    <row r="531" spans="1:15" ht="15.95" customHeight="1" x14ac:dyDescent="0.25">
      <c r="A531" s="4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</row>
    <row r="532" spans="1:15" ht="15.95" customHeight="1" x14ac:dyDescent="0.25">
      <c r="A532" s="4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</row>
    <row r="533" spans="1:15" ht="15.95" customHeight="1" x14ac:dyDescent="0.25">
      <c r="A533" s="4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</row>
    <row r="534" spans="1:15" ht="15.95" customHeight="1" x14ac:dyDescent="0.25">
      <c r="A534" s="4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</row>
    <row r="535" spans="1:15" ht="15.95" customHeight="1" x14ac:dyDescent="0.25">
      <c r="A535" s="4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</row>
    <row r="536" spans="1:15" ht="15.95" customHeight="1" x14ac:dyDescent="0.25">
      <c r="A536" s="4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</row>
    <row r="537" spans="1:15" ht="15.95" customHeight="1" x14ac:dyDescent="0.25">
      <c r="A537" s="4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</row>
    <row r="538" spans="1:15" ht="15.95" customHeight="1" x14ac:dyDescent="0.25">
      <c r="A538" s="4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</row>
    <row r="539" spans="1:15" ht="15.95" customHeight="1" x14ac:dyDescent="0.25">
      <c r="A539" s="4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</row>
    <row r="540" spans="1:15" ht="15.95" customHeight="1" x14ac:dyDescent="0.25">
      <c r="A540" s="4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</row>
    <row r="541" spans="1:15" ht="15.95" customHeight="1" x14ac:dyDescent="0.25">
      <c r="A541" s="4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</row>
    <row r="542" spans="1:15" ht="15.95" customHeight="1" x14ac:dyDescent="0.25">
      <c r="A542" s="4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</row>
    <row r="543" spans="1:15" ht="15.95" customHeight="1" x14ac:dyDescent="0.25">
      <c r="A543" s="4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</row>
    <row r="544" spans="1:15" ht="15.95" customHeight="1" x14ac:dyDescent="0.25">
      <c r="A544" s="4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</row>
    <row r="545" spans="1:15" ht="15.95" customHeight="1" x14ac:dyDescent="0.25">
      <c r="A545" s="4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</row>
    <row r="546" spans="1:15" ht="15.95" customHeight="1" x14ac:dyDescent="0.25">
      <c r="A546" s="4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</row>
    <row r="547" spans="1:15" ht="15.95" customHeight="1" x14ac:dyDescent="0.25">
      <c r="A547" s="4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</row>
    <row r="548" spans="1:15" ht="15.95" customHeight="1" x14ac:dyDescent="0.25">
      <c r="A548" s="4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</row>
    <row r="549" spans="1:15" ht="15.95" customHeight="1" x14ac:dyDescent="0.25">
      <c r="A549" s="4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</row>
    <row r="550" spans="1:15" ht="15.95" customHeight="1" x14ac:dyDescent="0.25">
      <c r="A550" s="4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</row>
    <row r="551" spans="1:15" ht="15.95" customHeight="1" x14ac:dyDescent="0.25">
      <c r="A551" s="4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</row>
    <row r="552" spans="1:15" ht="15.95" customHeight="1" x14ac:dyDescent="0.25">
      <c r="A552" s="4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</row>
    <row r="553" spans="1:15" ht="15.95" customHeight="1" x14ac:dyDescent="0.25">
      <c r="A553" s="4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</row>
    <row r="554" spans="1:15" ht="15.95" customHeight="1" x14ac:dyDescent="0.25">
      <c r="A554" s="4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</row>
    <row r="555" spans="1:15" ht="15.95" customHeight="1" x14ac:dyDescent="0.25">
      <c r="A555" s="4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</row>
    <row r="556" spans="1:15" ht="15.95" customHeight="1" x14ac:dyDescent="0.25">
      <c r="A556" s="4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</row>
    <row r="557" spans="1:15" ht="15.95" customHeight="1" x14ac:dyDescent="0.25">
      <c r="A557" s="4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</row>
    <row r="558" spans="1:15" ht="15.95" customHeight="1" x14ac:dyDescent="0.25">
      <c r="A558" s="4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</row>
    <row r="559" spans="1:15" ht="15.95" customHeight="1" x14ac:dyDescent="0.25">
      <c r="A559" s="4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</row>
    <row r="560" spans="1:15" ht="15.95" customHeight="1" x14ac:dyDescent="0.25">
      <c r="A560" s="4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</row>
    <row r="561" spans="1:15" ht="15.95" customHeight="1" x14ac:dyDescent="0.25">
      <c r="A561" s="4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</row>
    <row r="562" spans="1:15" ht="15.95" customHeight="1" x14ac:dyDescent="0.25">
      <c r="A562" s="4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</row>
    <row r="563" spans="1:15" ht="15.95" customHeight="1" x14ac:dyDescent="0.25">
      <c r="A563" s="4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</row>
    <row r="564" spans="1:15" ht="15.95" customHeight="1" x14ac:dyDescent="0.25">
      <c r="A564" s="4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</row>
    <row r="565" spans="1:15" ht="15.95" customHeight="1" x14ac:dyDescent="0.25">
      <c r="A565" s="4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</row>
    <row r="566" spans="1:15" ht="15.95" customHeight="1" x14ac:dyDescent="0.25">
      <c r="A566" s="4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</row>
    <row r="567" spans="1:15" ht="15.95" customHeight="1" x14ac:dyDescent="0.25">
      <c r="A567" s="4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</row>
    <row r="568" spans="1:15" ht="15.95" customHeight="1" x14ac:dyDescent="0.25">
      <c r="A568" s="4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</row>
    <row r="569" spans="1:15" ht="15.95" customHeight="1" x14ac:dyDescent="0.25">
      <c r="A569" s="4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</row>
    <row r="570" spans="1:15" ht="15.95" customHeight="1" x14ac:dyDescent="0.25">
      <c r="A570" s="4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</row>
    <row r="571" spans="1:15" ht="15.95" customHeight="1" x14ac:dyDescent="0.25">
      <c r="A571" s="4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</row>
    <row r="572" spans="1:15" ht="15.95" customHeight="1" x14ac:dyDescent="0.25">
      <c r="A572" s="4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</row>
    <row r="573" spans="1:15" ht="15.95" customHeight="1" x14ac:dyDescent="0.25">
      <c r="A573" s="4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</row>
    <row r="574" spans="1:15" ht="15.95" customHeight="1" x14ac:dyDescent="0.25">
      <c r="A574" s="4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</row>
    <row r="575" spans="1:15" ht="15.95" customHeight="1" x14ac:dyDescent="0.25">
      <c r="A575" s="4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</row>
    <row r="576" spans="1:15" ht="15.95" customHeight="1" x14ac:dyDescent="0.25">
      <c r="A576" s="4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</row>
    <row r="577" spans="1:15" ht="15.95" customHeight="1" x14ac:dyDescent="0.25">
      <c r="A577" s="4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</row>
    <row r="578" spans="1:15" ht="15.95" customHeight="1" x14ac:dyDescent="0.25">
      <c r="A578" s="4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</row>
    <row r="579" spans="1:15" ht="15.95" customHeight="1" x14ac:dyDescent="0.25">
      <c r="A579" s="4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</row>
    <row r="580" spans="1:15" ht="15.95" customHeight="1" x14ac:dyDescent="0.25">
      <c r="A580" s="4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</row>
    <row r="581" spans="1:15" ht="15.95" customHeight="1" x14ac:dyDescent="0.25">
      <c r="A581" s="4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</row>
    <row r="582" spans="1:15" ht="15.95" customHeight="1" x14ac:dyDescent="0.25">
      <c r="A582" s="4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</row>
    <row r="583" spans="1:15" ht="15.95" customHeight="1" x14ac:dyDescent="0.25">
      <c r="A583" s="4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</row>
    <row r="584" spans="1:15" ht="15.95" customHeight="1" x14ac:dyDescent="0.25">
      <c r="A584" s="4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</row>
    <row r="585" spans="1:15" ht="15.95" customHeight="1" x14ac:dyDescent="0.25">
      <c r="A585" s="4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</row>
    <row r="586" spans="1:15" ht="15.95" customHeight="1" x14ac:dyDescent="0.25">
      <c r="A586" s="4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</row>
    <row r="587" spans="1:15" ht="15.95" customHeight="1" x14ac:dyDescent="0.25">
      <c r="A587" s="4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</row>
    <row r="588" spans="1:15" ht="15.95" customHeight="1" x14ac:dyDescent="0.25">
      <c r="A588" s="4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</row>
    <row r="589" spans="1:15" ht="15.95" customHeight="1" x14ac:dyDescent="0.25">
      <c r="A589" s="4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</row>
    <row r="590" spans="1:15" ht="15.95" customHeight="1" x14ac:dyDescent="0.25">
      <c r="A590" s="4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</row>
    <row r="591" spans="1:15" ht="15.95" customHeight="1" x14ac:dyDescent="0.25">
      <c r="A591" s="4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</row>
    <row r="592" spans="1:15" ht="15.95" customHeight="1" x14ac:dyDescent="0.25">
      <c r="A592" s="4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</row>
    <row r="593" spans="1:15" ht="15.95" customHeight="1" x14ac:dyDescent="0.25">
      <c r="A593" s="4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</row>
    <row r="594" spans="1:15" ht="15.95" customHeight="1" x14ac:dyDescent="0.25">
      <c r="A594" s="4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</row>
    <row r="595" spans="1:15" ht="15.95" customHeight="1" x14ac:dyDescent="0.25">
      <c r="A595" s="4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</row>
    <row r="596" spans="1:15" ht="15.95" customHeight="1" x14ac:dyDescent="0.25">
      <c r="A596" s="4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</row>
    <row r="597" spans="1:15" ht="15.95" customHeight="1" x14ac:dyDescent="0.25">
      <c r="A597" s="4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</row>
    <row r="598" spans="1:15" ht="15.95" customHeight="1" x14ac:dyDescent="0.25">
      <c r="A598" s="4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</row>
    <row r="599" spans="1:15" ht="15.95" customHeight="1" x14ac:dyDescent="0.25">
      <c r="A599" s="4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</row>
    <row r="600" spans="1:15" ht="15.95" customHeight="1" x14ac:dyDescent="0.25">
      <c r="A600" s="4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</row>
    <row r="601" spans="1:15" ht="15.95" customHeight="1" x14ac:dyDescent="0.25">
      <c r="A601" s="4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</row>
    <row r="602" spans="1:15" ht="15.95" customHeight="1" x14ac:dyDescent="0.25">
      <c r="A602" s="4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</row>
    <row r="603" spans="1:15" ht="15.95" customHeight="1" x14ac:dyDescent="0.25">
      <c r="A603" s="4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</row>
    <row r="604" spans="1:15" ht="15.95" customHeight="1" x14ac:dyDescent="0.25">
      <c r="A604" s="4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</row>
    <row r="605" spans="1:15" ht="15.95" customHeight="1" x14ac:dyDescent="0.25">
      <c r="A605" s="4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</row>
    <row r="606" spans="1:15" ht="15.95" customHeight="1" x14ac:dyDescent="0.25">
      <c r="A606" s="4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</row>
    <row r="607" spans="1:15" ht="15.95" customHeight="1" x14ac:dyDescent="0.25">
      <c r="A607" s="4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</row>
    <row r="608" spans="1:15" ht="15.95" customHeight="1" x14ac:dyDescent="0.25">
      <c r="A608" s="4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</row>
    <row r="609" spans="1:15" ht="15.95" customHeight="1" x14ac:dyDescent="0.25">
      <c r="A609" s="4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</row>
    <row r="610" spans="1:15" ht="15.95" customHeight="1" x14ac:dyDescent="0.25">
      <c r="A610" s="4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</row>
    <row r="611" spans="1:15" ht="15.95" customHeight="1" x14ac:dyDescent="0.25">
      <c r="A611" s="4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</row>
    <row r="612" spans="1:15" ht="15.95" customHeight="1" x14ac:dyDescent="0.25">
      <c r="A612" s="4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</row>
    <row r="613" spans="1:15" ht="15.95" customHeight="1" x14ac:dyDescent="0.25">
      <c r="A613" s="4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</row>
    <row r="614" spans="1:15" ht="15.95" customHeight="1" x14ac:dyDescent="0.25">
      <c r="A614" s="4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</row>
    <row r="615" spans="1:15" ht="15.95" customHeight="1" x14ac:dyDescent="0.25">
      <c r="A615" s="4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</row>
    <row r="616" spans="1:15" ht="15.95" customHeight="1" x14ac:dyDescent="0.25">
      <c r="A616" s="4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</row>
    <row r="617" spans="1:15" ht="15.95" customHeight="1" x14ac:dyDescent="0.25">
      <c r="A617" s="4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</row>
    <row r="618" spans="1:15" ht="15.95" customHeight="1" x14ac:dyDescent="0.25">
      <c r="A618" s="4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</row>
    <row r="619" spans="1:15" ht="15.95" customHeight="1" x14ac:dyDescent="0.25">
      <c r="A619" s="4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</row>
    <row r="620" spans="1:15" ht="15.95" customHeight="1" x14ac:dyDescent="0.25">
      <c r="A620" s="4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</row>
    <row r="621" spans="1:15" ht="15.95" customHeight="1" x14ac:dyDescent="0.25">
      <c r="A621" s="4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</row>
    <row r="622" spans="1:15" ht="15.95" customHeight="1" x14ac:dyDescent="0.25">
      <c r="A622" s="4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</row>
    <row r="623" spans="1:15" ht="15.95" customHeight="1" x14ac:dyDescent="0.25">
      <c r="A623" s="4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</row>
    <row r="624" spans="1:15" ht="15.95" customHeight="1" x14ac:dyDescent="0.25">
      <c r="A624" s="4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</row>
    <row r="625" spans="1:15" ht="15.95" customHeight="1" x14ac:dyDescent="0.25">
      <c r="A625" s="4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</row>
    <row r="626" spans="1:15" ht="15.95" customHeight="1" x14ac:dyDescent="0.25">
      <c r="A626" s="4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</row>
    <row r="627" spans="1:15" ht="15.95" customHeight="1" x14ac:dyDescent="0.25">
      <c r="A627" s="4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</row>
    <row r="628" spans="1:15" ht="15.95" customHeight="1" x14ac:dyDescent="0.25">
      <c r="A628" s="4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</row>
    <row r="629" spans="1:15" ht="15.95" customHeight="1" x14ac:dyDescent="0.25">
      <c r="A629" s="4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</row>
    <row r="630" spans="1:15" ht="15.95" customHeight="1" x14ac:dyDescent="0.25">
      <c r="A630" s="4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</row>
    <row r="631" spans="1:15" ht="15.95" customHeight="1" x14ac:dyDescent="0.25">
      <c r="A631" s="4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</row>
    <row r="632" spans="1:15" ht="15.95" customHeight="1" x14ac:dyDescent="0.25">
      <c r="A632" s="4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</row>
    <row r="633" spans="1:15" ht="15.95" customHeight="1" x14ac:dyDescent="0.25">
      <c r="A633" s="4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</row>
    <row r="634" spans="1:15" ht="15.95" customHeight="1" x14ac:dyDescent="0.25">
      <c r="A634" s="4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</row>
    <row r="635" spans="1:15" ht="15.95" customHeight="1" x14ac:dyDescent="0.25">
      <c r="A635" s="4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</row>
    <row r="636" spans="1:15" ht="15.95" customHeight="1" x14ac:dyDescent="0.25">
      <c r="A636" s="4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</row>
    <row r="637" spans="1:15" ht="15.95" customHeight="1" x14ac:dyDescent="0.25">
      <c r="A637" s="4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</row>
    <row r="638" spans="1:15" ht="15.95" customHeight="1" x14ac:dyDescent="0.25">
      <c r="A638" s="4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</row>
    <row r="639" spans="1:15" ht="15.95" customHeight="1" x14ac:dyDescent="0.25">
      <c r="A639" s="4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</row>
    <row r="640" spans="1:15" ht="15.95" customHeight="1" x14ac:dyDescent="0.25">
      <c r="A640" s="4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</row>
    <row r="641" spans="1:15" ht="15.95" customHeight="1" x14ac:dyDescent="0.25">
      <c r="A641" s="4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</row>
    <row r="642" spans="1:15" ht="15.95" customHeight="1" x14ac:dyDescent="0.25">
      <c r="A642" s="4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</row>
    <row r="643" spans="1:15" ht="15.95" customHeight="1" x14ac:dyDescent="0.25">
      <c r="A643" s="4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</row>
    <row r="644" spans="1:15" ht="15.95" customHeight="1" x14ac:dyDescent="0.25">
      <c r="A644" s="4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</row>
    <row r="645" spans="1:15" ht="15.95" customHeight="1" x14ac:dyDescent="0.25">
      <c r="A645" s="4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</row>
    <row r="646" spans="1:15" ht="15.95" customHeight="1" x14ac:dyDescent="0.25">
      <c r="A646" s="4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</row>
    <row r="647" spans="1:15" ht="15.95" customHeight="1" x14ac:dyDescent="0.25">
      <c r="A647" s="4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</row>
    <row r="648" spans="1:15" ht="15.95" customHeight="1" x14ac:dyDescent="0.25">
      <c r="A648" s="4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</row>
    <row r="649" spans="1:15" ht="15.95" customHeight="1" x14ac:dyDescent="0.25">
      <c r="A649" s="4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</row>
    <row r="650" spans="1:15" ht="15.95" customHeight="1" x14ac:dyDescent="0.25">
      <c r="A650" s="4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</row>
    <row r="651" spans="1:15" ht="15.95" customHeight="1" x14ac:dyDescent="0.25">
      <c r="A651" s="4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</row>
    <row r="652" spans="1:15" ht="15.95" customHeight="1" x14ac:dyDescent="0.25">
      <c r="A652" s="4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</row>
    <row r="653" spans="1:15" ht="15.95" customHeight="1" x14ac:dyDescent="0.25">
      <c r="A653" s="4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</row>
    <row r="654" spans="1:15" ht="15.95" customHeight="1" x14ac:dyDescent="0.25">
      <c r="A654" s="4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</row>
    <row r="655" spans="1:15" ht="15.95" customHeight="1" x14ac:dyDescent="0.25">
      <c r="A655" s="4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</row>
    <row r="656" spans="1:15" ht="15.95" customHeight="1" x14ac:dyDescent="0.25">
      <c r="A656" s="4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</row>
    <row r="657" spans="1:15" ht="15.95" customHeight="1" x14ac:dyDescent="0.25">
      <c r="A657" s="4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</row>
    <row r="658" spans="1:15" ht="15.95" customHeight="1" x14ac:dyDescent="0.25">
      <c r="A658" s="4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</row>
    <row r="659" spans="1:15" ht="15.95" customHeight="1" x14ac:dyDescent="0.25">
      <c r="A659" s="4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</row>
    <row r="660" spans="1:15" ht="15.95" customHeight="1" x14ac:dyDescent="0.25">
      <c r="A660" s="4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</row>
    <row r="661" spans="1:15" ht="15.95" customHeight="1" x14ac:dyDescent="0.25">
      <c r="A661" s="4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</row>
    <row r="662" spans="1:15" ht="15.95" customHeight="1" x14ac:dyDescent="0.25">
      <c r="A662" s="4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</row>
    <row r="663" spans="1:15" ht="15.95" customHeight="1" x14ac:dyDescent="0.25">
      <c r="A663" s="4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</row>
    <row r="664" spans="1:15" ht="15.95" customHeight="1" x14ac:dyDescent="0.25">
      <c r="A664" s="4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</row>
    <row r="665" spans="1:15" ht="15.95" customHeight="1" x14ac:dyDescent="0.25">
      <c r="A665" s="4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</row>
    <row r="666" spans="1:15" ht="15.95" customHeight="1" x14ac:dyDescent="0.25">
      <c r="A666" s="4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</row>
    <row r="667" spans="1:15" ht="15.95" customHeight="1" x14ac:dyDescent="0.25">
      <c r="A667" s="4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</row>
    <row r="668" spans="1:15" ht="15.95" customHeight="1" x14ac:dyDescent="0.25">
      <c r="A668" s="4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</row>
    <row r="669" spans="1:15" ht="15.95" customHeight="1" x14ac:dyDescent="0.25">
      <c r="A669" s="4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</row>
    <row r="670" spans="1:15" ht="15.95" customHeight="1" x14ac:dyDescent="0.25">
      <c r="A670" s="4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</row>
    <row r="671" spans="1:15" ht="15.95" customHeight="1" x14ac:dyDescent="0.25">
      <c r="A671" s="4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</row>
    <row r="672" spans="1:15" ht="15.95" customHeight="1" x14ac:dyDescent="0.25">
      <c r="A672" s="4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</row>
    <row r="673" spans="1:15" ht="15.95" customHeight="1" x14ac:dyDescent="0.25">
      <c r="A673" s="4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</row>
    <row r="674" spans="1:15" ht="15.95" customHeight="1" x14ac:dyDescent="0.25">
      <c r="A674" s="4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</row>
    <row r="675" spans="1:15" ht="15.95" customHeight="1" x14ac:dyDescent="0.25">
      <c r="A675" s="4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</row>
    <row r="676" spans="1:15" ht="15.95" customHeight="1" x14ac:dyDescent="0.25">
      <c r="A676" s="4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</row>
    <row r="677" spans="1:15" ht="15.95" customHeight="1" x14ac:dyDescent="0.25">
      <c r="A677" s="4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</row>
    <row r="678" spans="1:15" ht="15.95" customHeight="1" x14ac:dyDescent="0.25">
      <c r="A678" s="4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</row>
    <row r="679" spans="1:15" ht="15.95" customHeight="1" x14ac:dyDescent="0.25">
      <c r="A679" s="4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</row>
    <row r="680" spans="1:15" ht="15.95" customHeight="1" x14ac:dyDescent="0.25">
      <c r="A680" s="4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</row>
    <row r="681" spans="1:15" ht="15.95" customHeight="1" x14ac:dyDescent="0.25">
      <c r="A681" s="4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</row>
    <row r="682" spans="1:15" ht="15.95" customHeight="1" x14ac:dyDescent="0.25">
      <c r="A682" s="4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</row>
    <row r="683" spans="1:15" ht="15.95" customHeight="1" x14ac:dyDescent="0.25">
      <c r="A683" s="4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</row>
    <row r="684" spans="1:15" ht="15.95" customHeight="1" x14ac:dyDescent="0.25">
      <c r="A684" s="4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</row>
    <row r="685" spans="1:15" ht="15.95" customHeight="1" x14ac:dyDescent="0.25">
      <c r="A685" s="4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</row>
    <row r="686" spans="1:15" ht="15.95" customHeight="1" x14ac:dyDescent="0.25">
      <c r="A686" s="4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</row>
    <row r="687" spans="1:15" ht="15.95" customHeight="1" x14ac:dyDescent="0.25">
      <c r="A687" s="4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</row>
    <row r="688" spans="1:15" ht="15.95" customHeight="1" x14ac:dyDescent="0.25">
      <c r="A688" s="4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</row>
    <row r="689" spans="1:15" ht="15.95" customHeight="1" x14ac:dyDescent="0.25">
      <c r="A689" s="4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</row>
    <row r="690" spans="1:15" ht="15.95" customHeight="1" x14ac:dyDescent="0.25">
      <c r="A690" s="4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</row>
    <row r="691" spans="1:15" ht="15.95" customHeight="1" x14ac:dyDescent="0.25">
      <c r="A691" s="4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</row>
    <row r="692" spans="1:15" ht="15.95" customHeight="1" x14ac:dyDescent="0.25">
      <c r="A692" s="4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</row>
    <row r="693" spans="1:15" ht="15.95" customHeight="1" x14ac:dyDescent="0.25">
      <c r="A693" s="4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</row>
    <row r="694" spans="1:15" ht="15.95" customHeight="1" x14ac:dyDescent="0.25">
      <c r="A694" s="4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</row>
    <row r="695" spans="1:15" ht="15.95" customHeight="1" x14ac:dyDescent="0.25">
      <c r="A695" s="4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</row>
    <row r="696" spans="1:15" ht="15.95" customHeight="1" x14ac:dyDescent="0.25">
      <c r="A696" s="4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</row>
    <row r="697" spans="1:15" ht="15.95" customHeight="1" x14ac:dyDescent="0.25">
      <c r="A697" s="4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</row>
    <row r="698" spans="1:15" ht="15.95" customHeight="1" x14ac:dyDescent="0.25">
      <c r="A698" s="4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</row>
    <row r="699" spans="1:15" ht="15.95" customHeight="1" x14ac:dyDescent="0.25">
      <c r="A699" s="4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</row>
    <row r="700" spans="1:15" ht="15.95" customHeight="1" x14ac:dyDescent="0.25">
      <c r="A700" s="4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</row>
    <row r="701" spans="1:15" ht="15.95" customHeight="1" x14ac:dyDescent="0.25">
      <c r="A701" s="4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</row>
    <row r="702" spans="1:15" ht="15.95" customHeight="1" x14ac:dyDescent="0.25">
      <c r="A702" s="4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</row>
    <row r="703" spans="1:15" ht="15.95" customHeight="1" x14ac:dyDescent="0.25">
      <c r="A703" s="4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</row>
    <row r="704" spans="1:15" ht="15.95" customHeight="1" x14ac:dyDescent="0.25">
      <c r="A704" s="4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</row>
    <row r="705" spans="1:15" ht="15.95" customHeight="1" x14ac:dyDescent="0.25">
      <c r="A705" s="4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</row>
    <row r="706" spans="1:15" ht="15.95" customHeight="1" x14ac:dyDescent="0.25">
      <c r="A706" s="4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</row>
    <row r="707" spans="1:15" ht="15.95" customHeight="1" x14ac:dyDescent="0.25">
      <c r="A707" s="4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</row>
    <row r="708" spans="1:15" ht="15.95" customHeight="1" x14ac:dyDescent="0.25">
      <c r="A708" s="4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</row>
    <row r="709" spans="1:15" ht="15.95" customHeight="1" x14ac:dyDescent="0.25">
      <c r="A709" s="4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</row>
    <row r="710" spans="1:15" ht="15.95" customHeight="1" x14ac:dyDescent="0.25">
      <c r="A710" s="4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</row>
    <row r="711" spans="1:15" ht="15.95" customHeight="1" x14ac:dyDescent="0.25">
      <c r="A711" s="4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</row>
    <row r="712" spans="1:15" ht="15.95" customHeight="1" x14ac:dyDescent="0.25">
      <c r="A712" s="4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</row>
    <row r="713" spans="1:15" ht="15.95" customHeight="1" x14ac:dyDescent="0.25">
      <c r="A713" s="4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</row>
    <row r="714" spans="1:15" ht="15.95" customHeight="1" x14ac:dyDescent="0.25">
      <c r="A714" s="4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</row>
    <row r="715" spans="1:15" ht="15.95" customHeight="1" x14ac:dyDescent="0.25">
      <c r="A715" s="4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</row>
    <row r="716" spans="1:15" ht="15.95" customHeight="1" x14ac:dyDescent="0.25">
      <c r="A716" s="4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</row>
    <row r="717" spans="1:15" ht="15.95" customHeight="1" x14ac:dyDescent="0.25">
      <c r="A717" s="4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</row>
    <row r="718" spans="1:15" ht="15.95" customHeight="1" x14ac:dyDescent="0.25">
      <c r="A718" s="4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</row>
    <row r="719" spans="1:15" ht="15.95" customHeight="1" x14ac:dyDescent="0.25">
      <c r="A719" s="4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</row>
    <row r="720" spans="1:15" ht="15.95" customHeight="1" x14ac:dyDescent="0.25">
      <c r="A720" s="4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</row>
    <row r="721" spans="1:15" ht="15.95" customHeight="1" x14ac:dyDescent="0.25">
      <c r="A721" s="4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</row>
    <row r="722" spans="1:15" ht="15.95" customHeight="1" x14ac:dyDescent="0.25">
      <c r="A722" s="4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</row>
    <row r="723" spans="1:15" ht="15.95" customHeight="1" x14ac:dyDescent="0.25">
      <c r="A723" s="4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</row>
    <row r="724" spans="1:15" ht="15.95" customHeight="1" x14ac:dyDescent="0.25">
      <c r="A724" s="4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</row>
    <row r="725" spans="1:15" ht="15.95" customHeight="1" x14ac:dyDescent="0.25">
      <c r="A725" s="4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</row>
    <row r="726" spans="1:15" ht="15.95" customHeight="1" x14ac:dyDescent="0.25">
      <c r="A726" s="4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</row>
    <row r="727" spans="1:15" ht="15.95" customHeight="1" x14ac:dyDescent="0.25">
      <c r="A727" s="4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</row>
    <row r="728" spans="1:15" ht="15.95" customHeight="1" x14ac:dyDescent="0.25">
      <c r="A728" s="4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</row>
    <row r="729" spans="1:15" ht="15.95" customHeight="1" x14ac:dyDescent="0.25">
      <c r="A729" s="4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</row>
    <row r="730" spans="1:15" ht="15.95" customHeight="1" x14ac:dyDescent="0.25">
      <c r="A730" s="4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</row>
    <row r="731" spans="1:15" ht="15.95" customHeight="1" x14ac:dyDescent="0.25">
      <c r="A731" s="4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</row>
    <row r="732" spans="1:15" ht="15.95" customHeight="1" x14ac:dyDescent="0.25">
      <c r="A732" s="4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</row>
    <row r="733" spans="1:15" ht="15.95" customHeight="1" x14ac:dyDescent="0.25">
      <c r="A733" s="4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</row>
    <row r="734" spans="1:15" ht="15.95" customHeight="1" x14ac:dyDescent="0.25">
      <c r="A734" s="4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</row>
    <row r="735" spans="1:15" ht="15.95" customHeight="1" x14ac:dyDescent="0.25">
      <c r="A735" s="4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</row>
    <row r="736" spans="1:15" ht="15.95" customHeight="1" x14ac:dyDescent="0.25">
      <c r="A736" s="4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</row>
    <row r="737" spans="1:15" ht="15.95" customHeight="1" x14ac:dyDescent="0.25">
      <c r="A737" s="4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</row>
    <row r="738" spans="1:15" ht="15.95" customHeight="1" x14ac:dyDescent="0.25">
      <c r="A738" s="4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</row>
    <row r="739" spans="1:15" ht="15.95" customHeight="1" x14ac:dyDescent="0.25">
      <c r="A739" s="4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</row>
    <row r="740" spans="1:15" ht="15.95" customHeight="1" x14ac:dyDescent="0.25">
      <c r="A740" s="4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</row>
    <row r="741" spans="1:15" ht="15.95" customHeight="1" x14ac:dyDescent="0.25">
      <c r="A741" s="4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</row>
    <row r="742" spans="1:15" ht="15.95" customHeight="1" x14ac:dyDescent="0.25">
      <c r="A742" s="4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</row>
    <row r="743" spans="1:15" ht="15.95" customHeight="1" x14ac:dyDescent="0.25">
      <c r="A743" s="4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</row>
    <row r="744" spans="1:15" ht="15.95" customHeight="1" x14ac:dyDescent="0.25">
      <c r="A744" s="4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</row>
    <row r="745" spans="1:15" ht="15.95" customHeight="1" x14ac:dyDescent="0.25">
      <c r="A745" s="4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</row>
    <row r="746" spans="1:15" ht="15.95" customHeight="1" x14ac:dyDescent="0.25">
      <c r="A746" s="4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</row>
    <row r="747" spans="1:15" ht="15.95" customHeight="1" x14ac:dyDescent="0.25">
      <c r="A747" s="4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</row>
    <row r="748" spans="1:15" ht="15.95" customHeight="1" x14ac:dyDescent="0.25">
      <c r="A748" s="4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</row>
    <row r="749" spans="1:15" ht="15.95" customHeight="1" x14ac:dyDescent="0.25">
      <c r="A749" s="4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</row>
    <row r="750" spans="1:15" ht="15.95" customHeight="1" x14ac:dyDescent="0.25">
      <c r="A750" s="4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</row>
    <row r="751" spans="1:15" ht="15.95" customHeight="1" x14ac:dyDescent="0.25">
      <c r="A751" s="4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</row>
    <row r="752" spans="1:15" ht="15.95" customHeight="1" x14ac:dyDescent="0.25">
      <c r="A752" s="4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</row>
    <row r="753" spans="1:15" ht="15.95" customHeight="1" x14ac:dyDescent="0.25">
      <c r="A753" s="4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</row>
    <row r="754" spans="1:15" ht="15.95" customHeight="1" x14ac:dyDescent="0.25">
      <c r="A754" s="4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</row>
    <row r="755" spans="1:15" ht="15.95" customHeight="1" x14ac:dyDescent="0.25">
      <c r="A755" s="4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</row>
    <row r="756" spans="1:15" ht="15.95" customHeight="1" x14ac:dyDescent="0.25">
      <c r="A756" s="4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</row>
    <row r="757" spans="1:15" ht="15.95" customHeight="1" x14ac:dyDescent="0.25">
      <c r="A757" s="4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</row>
    <row r="758" spans="1:15" ht="15.95" customHeight="1" x14ac:dyDescent="0.25">
      <c r="A758" s="4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</row>
    <row r="759" spans="1:15" ht="15.95" customHeight="1" x14ac:dyDescent="0.25">
      <c r="A759" s="4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</row>
    <row r="760" spans="1:15" ht="15.95" customHeight="1" x14ac:dyDescent="0.25">
      <c r="A760" s="4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</row>
    <row r="761" spans="1:15" ht="15.95" customHeight="1" x14ac:dyDescent="0.25">
      <c r="A761" s="4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</row>
    <row r="762" spans="1:15" ht="15.95" customHeight="1" x14ac:dyDescent="0.25">
      <c r="A762" s="4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</row>
    <row r="763" spans="1:15" ht="15.95" customHeight="1" x14ac:dyDescent="0.25">
      <c r="A763" s="4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</row>
    <row r="764" spans="1:15" ht="15.95" customHeight="1" x14ac:dyDescent="0.25">
      <c r="A764" s="4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</row>
    <row r="765" spans="1:15" ht="15.95" customHeight="1" x14ac:dyDescent="0.25">
      <c r="A765" s="4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</row>
    <row r="766" spans="1:15" ht="15.95" customHeight="1" x14ac:dyDescent="0.25">
      <c r="A766" s="4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</row>
    <row r="767" spans="1:15" ht="15.95" customHeight="1" x14ac:dyDescent="0.25">
      <c r="A767" s="4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</row>
    <row r="768" spans="1:15" ht="15.95" customHeight="1" x14ac:dyDescent="0.25">
      <c r="A768" s="4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</row>
    <row r="769" spans="1:15" ht="15.95" customHeight="1" x14ac:dyDescent="0.25">
      <c r="A769" s="4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</row>
    <row r="770" spans="1:15" ht="15.95" customHeight="1" x14ac:dyDescent="0.25">
      <c r="A770" s="4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</row>
    <row r="771" spans="1:15" ht="15.95" customHeight="1" x14ac:dyDescent="0.25">
      <c r="A771" s="4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</row>
    <row r="772" spans="1:15" ht="15.95" customHeight="1" x14ac:dyDescent="0.25">
      <c r="A772" s="4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</row>
    <row r="773" spans="1:15" ht="15.95" customHeight="1" x14ac:dyDescent="0.25">
      <c r="A773" s="4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</row>
    <row r="774" spans="1:15" ht="15.95" customHeight="1" x14ac:dyDescent="0.25">
      <c r="A774" s="4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</row>
    <row r="775" spans="1:15" ht="15.95" customHeight="1" x14ac:dyDescent="0.25">
      <c r="A775" s="4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</row>
    <row r="776" spans="1:15" ht="15.95" customHeight="1" x14ac:dyDescent="0.25">
      <c r="A776" s="4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</row>
    <row r="777" spans="1:15" ht="15.95" customHeight="1" x14ac:dyDescent="0.25">
      <c r="A777" s="4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</row>
    <row r="778" spans="1:15" ht="15.95" customHeight="1" x14ac:dyDescent="0.25">
      <c r="A778" s="4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</row>
    <row r="779" spans="1:15" ht="15.95" customHeight="1" x14ac:dyDescent="0.25">
      <c r="A779" s="4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</row>
    <row r="780" spans="1:15" ht="15.95" customHeight="1" x14ac:dyDescent="0.25">
      <c r="A780" s="4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</row>
    <row r="781" spans="1:15" ht="15.95" customHeight="1" x14ac:dyDescent="0.25">
      <c r="A781" s="4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</row>
    <row r="782" spans="1:15" ht="15.95" customHeight="1" x14ac:dyDescent="0.25">
      <c r="A782" s="4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</row>
    <row r="783" spans="1:15" ht="15.95" customHeight="1" x14ac:dyDescent="0.25">
      <c r="A783" s="4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</row>
    <row r="784" spans="1:15" ht="15.95" customHeight="1" x14ac:dyDescent="0.25">
      <c r="A784" s="4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</row>
    <row r="785" spans="1:15" ht="15.95" customHeight="1" x14ac:dyDescent="0.25">
      <c r="A785" s="4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</row>
    <row r="786" spans="1:15" ht="15.95" customHeight="1" x14ac:dyDescent="0.25">
      <c r="A786" s="4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</row>
    <row r="787" spans="1:15" ht="15.95" customHeight="1" x14ac:dyDescent="0.25">
      <c r="A787" s="4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</row>
    <row r="788" spans="1:15" ht="15.95" customHeight="1" x14ac:dyDescent="0.25">
      <c r="A788" s="4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</row>
    <row r="789" spans="1:15" ht="15.95" customHeight="1" x14ac:dyDescent="0.25">
      <c r="A789" s="4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</row>
    <row r="790" spans="1:15" ht="15.95" customHeight="1" x14ac:dyDescent="0.25">
      <c r="A790" s="4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</row>
    <row r="791" spans="1:15" ht="15.95" customHeight="1" x14ac:dyDescent="0.25">
      <c r="A791" s="4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</row>
    <row r="792" spans="1:15" ht="15.95" customHeight="1" x14ac:dyDescent="0.25">
      <c r="A792" s="4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</row>
    <row r="793" spans="1:15" ht="15.95" customHeight="1" x14ac:dyDescent="0.25">
      <c r="A793" s="4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</row>
    <row r="794" spans="1:15" ht="15.95" customHeight="1" x14ac:dyDescent="0.25">
      <c r="A794" s="4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</row>
    <row r="795" spans="1:15" ht="15.95" customHeight="1" x14ac:dyDescent="0.25">
      <c r="A795" s="4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</row>
    <row r="796" spans="1:15" ht="15.95" customHeight="1" x14ac:dyDescent="0.25">
      <c r="A796" s="4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</row>
    <row r="797" spans="1:15" ht="15.95" customHeight="1" x14ac:dyDescent="0.25">
      <c r="A797" s="4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</row>
    <row r="798" spans="1:15" ht="15.95" customHeight="1" x14ac:dyDescent="0.25">
      <c r="A798" s="4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</row>
    <row r="799" spans="1:15" ht="15.95" customHeight="1" x14ac:dyDescent="0.25">
      <c r="A799" s="4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</row>
    <row r="800" spans="1:15" ht="15.95" customHeight="1" x14ac:dyDescent="0.25">
      <c r="A800" s="4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</row>
    <row r="801" spans="1:15" ht="15.95" customHeight="1" x14ac:dyDescent="0.25">
      <c r="A801" s="4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</row>
    <row r="802" spans="1:15" ht="15.95" customHeight="1" x14ac:dyDescent="0.25">
      <c r="A802" s="4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</row>
    <row r="803" spans="1:15" ht="15.95" customHeight="1" x14ac:dyDescent="0.25">
      <c r="A803" s="4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</row>
    <row r="804" spans="1:15" ht="15.95" customHeight="1" x14ac:dyDescent="0.25">
      <c r="A804" s="4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</row>
    <row r="805" spans="1:15" ht="15.95" customHeight="1" x14ac:dyDescent="0.25">
      <c r="A805" s="4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</row>
    <row r="806" spans="1:15" ht="15.95" customHeight="1" x14ac:dyDescent="0.25">
      <c r="A806" s="4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</row>
    <row r="807" spans="1:15" ht="15.95" customHeight="1" x14ac:dyDescent="0.25">
      <c r="A807" s="4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</row>
    <row r="808" spans="1:15" ht="15.95" customHeight="1" x14ac:dyDescent="0.25">
      <c r="A808" s="4"/>
      <c r="B808" s="1"/>
      <c r="C808" s="1"/>
      <c r="D808" s="1"/>
      <c r="E808" s="10"/>
      <c r="F808" s="1"/>
      <c r="G808" s="1"/>
      <c r="H808" s="1"/>
      <c r="I808" s="1"/>
      <c r="J808" s="1"/>
      <c r="K808" s="1"/>
      <c r="L808" s="1"/>
      <c r="M808" s="1"/>
      <c r="N808" s="1"/>
      <c r="O808" s="1"/>
    </row>
    <row r="809" spans="1:15" ht="15.95" customHeight="1" x14ac:dyDescent="0.25">
      <c r="A809" s="4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</row>
    <row r="810" spans="1:15" ht="15.95" customHeight="1" x14ac:dyDescent="0.25">
      <c r="A810" s="4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</row>
    <row r="811" spans="1:15" ht="15.95" customHeight="1" x14ac:dyDescent="0.25">
      <c r="A811" s="4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</row>
    <row r="812" spans="1:15" ht="15.95" customHeight="1" x14ac:dyDescent="0.25">
      <c r="A812" s="4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</row>
    <row r="813" spans="1:15" ht="15.95" customHeight="1" x14ac:dyDescent="0.25">
      <c r="A813" s="4"/>
      <c r="B813" s="1"/>
      <c r="C813" s="1"/>
      <c r="D813" s="1"/>
      <c r="E813" s="10"/>
      <c r="F813" s="1"/>
      <c r="G813" s="1"/>
      <c r="H813" s="1"/>
      <c r="I813" s="1"/>
      <c r="J813" s="1"/>
      <c r="K813" s="1"/>
      <c r="L813" s="1"/>
      <c r="M813" s="1"/>
      <c r="N813" s="1"/>
      <c r="O813" s="1"/>
    </row>
    <row r="814" spans="1:15" ht="15.95" customHeight="1" x14ac:dyDescent="0.25">
      <c r="A814" s="4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</row>
    <row r="815" spans="1:15" ht="15.95" customHeight="1" x14ac:dyDescent="0.25">
      <c r="A815" s="4"/>
      <c r="B815" s="1"/>
      <c r="C815" s="1"/>
      <c r="D815" s="1"/>
      <c r="E815" s="10"/>
      <c r="F815" s="1"/>
      <c r="G815" s="1"/>
      <c r="H815" s="1"/>
      <c r="I815" s="1"/>
      <c r="J815" s="1"/>
      <c r="K815" s="1"/>
      <c r="L815" s="1"/>
      <c r="M815" s="1"/>
      <c r="N815" s="1"/>
      <c r="O815" s="1"/>
    </row>
    <row r="816" spans="1:15" ht="15.95" customHeight="1" x14ac:dyDescent="0.25">
      <c r="A816" s="4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</row>
    <row r="817" spans="1:15" ht="15.95" customHeight="1" x14ac:dyDescent="0.25">
      <c r="A817" s="4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</row>
    <row r="818" spans="1:15" ht="15.95" customHeight="1" x14ac:dyDescent="0.25">
      <c r="A818" s="4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</row>
    <row r="819" spans="1:15" ht="15.95" customHeight="1" x14ac:dyDescent="0.25">
      <c r="A819" s="4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</row>
    <row r="820" spans="1:15" ht="15.95" customHeight="1" x14ac:dyDescent="0.25">
      <c r="A820" s="4"/>
      <c r="B820" s="1"/>
      <c r="C820" s="1"/>
      <c r="D820" s="1"/>
      <c r="E820" s="10"/>
      <c r="F820" s="1"/>
      <c r="G820" s="1"/>
      <c r="H820" s="1"/>
      <c r="I820" s="1"/>
      <c r="J820" s="1"/>
      <c r="K820" s="1"/>
      <c r="L820" s="1"/>
      <c r="M820" s="1"/>
      <c r="N820" s="1"/>
      <c r="O820" s="1"/>
    </row>
    <row r="821" spans="1:15" ht="15.95" customHeight="1" x14ac:dyDescent="0.25">
      <c r="A821" s="4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</row>
    <row r="822" spans="1:15" ht="15.95" customHeight="1" x14ac:dyDescent="0.25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</row>
    <row r="823" spans="1:15" ht="15.95" customHeight="1" x14ac:dyDescent="0.25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</row>
    <row r="824" spans="1:15" ht="15.95" customHeight="1" x14ac:dyDescent="0.25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</row>
    <row r="825" spans="1:15" ht="15.95" customHeight="1" x14ac:dyDescent="0.25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</row>
    <row r="826" spans="1:15" ht="15.95" customHeight="1" x14ac:dyDescent="0.25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</row>
    <row r="827" spans="1:15" ht="15.95" customHeight="1" x14ac:dyDescent="0.25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</row>
    <row r="828" spans="1:15" ht="15.95" customHeight="1" x14ac:dyDescent="0.25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</row>
    <row r="829" spans="1:15" ht="15.95" customHeight="1" x14ac:dyDescent="0.25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</row>
    <row r="830" spans="1:15" ht="15.95" customHeight="1" x14ac:dyDescent="0.25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</row>
    <row r="831" spans="1:15" ht="15.95" customHeight="1" x14ac:dyDescent="0.25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</row>
    <row r="832" spans="1:15" ht="15.95" customHeight="1" x14ac:dyDescent="0.25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</row>
    <row r="833" spans="1:15" ht="15.95" customHeight="1" x14ac:dyDescent="0.25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</row>
    <row r="834" spans="1:15" ht="15.95" customHeight="1" x14ac:dyDescent="0.25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</row>
    <row r="835" spans="1:15" ht="15.95" customHeight="1" x14ac:dyDescent="0.25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</row>
    <row r="836" spans="1:15" ht="15.95" customHeight="1" x14ac:dyDescent="0.25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</row>
    <row r="837" spans="1:15" ht="15.95" customHeight="1" x14ac:dyDescent="0.25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</row>
    <row r="838" spans="1:15" ht="15.95" customHeight="1" x14ac:dyDescent="0.25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</row>
    <row r="839" spans="1:15" ht="15.95" customHeight="1" x14ac:dyDescent="0.25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</row>
    <row r="840" spans="1:15" ht="15.95" customHeight="1" x14ac:dyDescent="0.25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</row>
    <row r="841" spans="1:15" ht="15.95" customHeight="1" x14ac:dyDescent="0.25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</row>
    <row r="842" spans="1:15" ht="15.95" customHeight="1" x14ac:dyDescent="0.25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</row>
    <row r="843" spans="1:15" ht="15.95" customHeight="1" x14ac:dyDescent="0.25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</row>
    <row r="844" spans="1:15" ht="15.95" customHeight="1" x14ac:dyDescent="0.25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</row>
    <row r="845" spans="1:15" ht="15.95" customHeight="1" x14ac:dyDescent="0.25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</row>
    <row r="846" spans="1:15" ht="15.95" customHeight="1" x14ac:dyDescent="0.25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</row>
    <row r="847" spans="1:15" ht="15.95" customHeight="1" x14ac:dyDescent="0.25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</row>
    <row r="848" spans="1:15" ht="15.95" customHeight="1" x14ac:dyDescent="0.25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</row>
    <row r="849" spans="1:15" ht="15.95" customHeight="1" x14ac:dyDescent="0.25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</row>
    <row r="850" spans="1:15" ht="15.95" customHeight="1" x14ac:dyDescent="0.25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</row>
    <row r="851" spans="1:15" ht="15.95" customHeight="1" x14ac:dyDescent="0.25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</row>
    <row r="852" spans="1:15" ht="15.95" customHeight="1" x14ac:dyDescent="0.25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</row>
    <row r="853" spans="1:15" ht="15.95" customHeight="1" x14ac:dyDescent="0.25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</row>
    <row r="854" spans="1:15" ht="15.95" customHeight="1" x14ac:dyDescent="0.25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</row>
    <row r="855" spans="1:15" ht="15.95" customHeight="1" x14ac:dyDescent="0.25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</row>
    <row r="856" spans="1:15" ht="15.95" customHeight="1" x14ac:dyDescent="0.25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</row>
    <row r="857" spans="1:15" ht="15.95" customHeight="1" x14ac:dyDescent="0.25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</row>
    <row r="858" spans="1:15" ht="15.95" customHeight="1" x14ac:dyDescent="0.25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</row>
    <row r="859" spans="1:15" ht="15.95" customHeight="1" x14ac:dyDescent="0.25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</row>
    <row r="860" spans="1:15" ht="15.95" customHeight="1" x14ac:dyDescent="0.25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</row>
    <row r="861" spans="1:15" ht="15.95" customHeight="1" x14ac:dyDescent="0.25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</row>
    <row r="862" spans="1:15" ht="15.95" customHeight="1" x14ac:dyDescent="0.25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</row>
    <row r="863" spans="1:15" ht="15.95" customHeight="1" x14ac:dyDescent="0.25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</row>
    <row r="864" spans="1:15" ht="15.95" customHeight="1" x14ac:dyDescent="0.25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</row>
    <row r="865" spans="1:15" ht="15.95" customHeight="1" x14ac:dyDescent="0.25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</row>
    <row r="866" spans="1:15" ht="15.95" customHeight="1" x14ac:dyDescent="0.25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</row>
    <row r="867" spans="1:15" ht="15.95" customHeight="1" x14ac:dyDescent="0.25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</row>
    <row r="868" spans="1:15" ht="15.95" customHeight="1" x14ac:dyDescent="0.25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</row>
    <row r="869" spans="1:15" ht="15.95" customHeight="1" x14ac:dyDescent="0.25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</row>
    <row r="870" spans="1:15" ht="15.95" customHeight="1" x14ac:dyDescent="0.25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</row>
    <row r="871" spans="1:15" ht="15.95" customHeight="1" x14ac:dyDescent="0.25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</row>
    <row r="872" spans="1:15" ht="15.95" customHeight="1" x14ac:dyDescent="0.25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</row>
    <row r="873" spans="1:15" ht="15.95" customHeight="1" x14ac:dyDescent="0.25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</row>
    <row r="874" spans="1:15" ht="15.95" customHeight="1" x14ac:dyDescent="0.25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</row>
    <row r="875" spans="1:15" ht="15.95" customHeight="1" x14ac:dyDescent="0.25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</row>
    <row r="876" spans="1:15" ht="15.95" customHeight="1" x14ac:dyDescent="0.25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</row>
    <row r="877" spans="1:15" ht="15.95" customHeight="1" x14ac:dyDescent="0.25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</row>
    <row r="878" spans="1:15" ht="15.95" customHeight="1" x14ac:dyDescent="0.25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</row>
    <row r="879" spans="1:15" ht="15.95" customHeight="1" x14ac:dyDescent="0.25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</row>
    <row r="880" spans="1:15" ht="15.95" customHeight="1" x14ac:dyDescent="0.25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</row>
    <row r="881" spans="1:15" ht="15.95" customHeight="1" x14ac:dyDescent="0.25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</row>
    <row r="882" spans="1:15" ht="15.95" customHeight="1" x14ac:dyDescent="0.25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</row>
    <row r="883" spans="1:15" ht="15.95" customHeight="1" x14ac:dyDescent="0.25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</row>
    <row r="884" spans="1:15" ht="15.95" customHeight="1" x14ac:dyDescent="0.25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</row>
    <row r="885" spans="1:15" ht="15.95" customHeight="1" x14ac:dyDescent="0.25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</row>
    <row r="886" spans="1:15" ht="15.95" customHeight="1" x14ac:dyDescent="0.25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</row>
    <row r="887" spans="1:15" ht="15.95" customHeight="1" x14ac:dyDescent="0.25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</row>
    <row r="888" spans="1:15" ht="15.95" customHeight="1" x14ac:dyDescent="0.25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</row>
    <row r="889" spans="1:15" ht="15.95" customHeight="1" x14ac:dyDescent="0.25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</row>
    <row r="890" spans="1:15" ht="15.95" customHeight="1" x14ac:dyDescent="0.25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</row>
    <row r="891" spans="1:15" ht="15.95" customHeight="1" x14ac:dyDescent="0.25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</row>
    <row r="892" spans="1:15" ht="15.95" customHeight="1" x14ac:dyDescent="0.25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</row>
    <row r="893" spans="1:15" ht="15.95" customHeight="1" x14ac:dyDescent="0.25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</row>
    <row r="894" spans="1:15" ht="15.95" customHeight="1" x14ac:dyDescent="0.25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</row>
    <row r="895" spans="1:15" ht="15.95" customHeight="1" x14ac:dyDescent="0.25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</row>
    <row r="896" spans="1:15" ht="15.95" customHeight="1" x14ac:dyDescent="0.25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</row>
    <row r="897" spans="1:15" ht="15.95" customHeight="1" x14ac:dyDescent="0.25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</row>
    <row r="898" spans="1:15" ht="15.95" customHeight="1" x14ac:dyDescent="0.25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</row>
    <row r="899" spans="1:15" ht="15.95" customHeight="1" x14ac:dyDescent="0.25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</row>
    <row r="900" spans="1:15" ht="15.95" customHeight="1" x14ac:dyDescent="0.25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</row>
    <row r="901" spans="1:15" ht="15.95" customHeight="1" x14ac:dyDescent="0.25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</row>
    <row r="902" spans="1:15" ht="15.95" customHeight="1" x14ac:dyDescent="0.25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</row>
    <row r="903" spans="1:15" ht="15.95" customHeight="1" x14ac:dyDescent="0.25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</row>
    <row r="904" spans="1:15" ht="15.95" customHeight="1" x14ac:dyDescent="0.25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</row>
    <row r="905" spans="1:15" ht="15.95" customHeight="1" x14ac:dyDescent="0.25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</row>
    <row r="906" spans="1:15" ht="15.95" customHeight="1" x14ac:dyDescent="0.25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</row>
    <row r="907" spans="1:15" ht="15.95" customHeight="1" x14ac:dyDescent="0.25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</row>
    <row r="908" spans="1:15" ht="15.95" customHeight="1" x14ac:dyDescent="0.25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</row>
    <row r="909" spans="1:15" ht="15.95" customHeight="1" x14ac:dyDescent="0.25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</row>
    <row r="910" spans="1:15" ht="15.95" customHeight="1" x14ac:dyDescent="0.25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</row>
    <row r="911" spans="1:15" ht="15.95" customHeight="1" x14ac:dyDescent="0.25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</row>
    <row r="912" spans="1:15" ht="15.95" customHeight="1" x14ac:dyDescent="0.25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</row>
    <row r="913" spans="1:15" ht="15.95" customHeight="1" x14ac:dyDescent="0.25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</row>
    <row r="914" spans="1:15" ht="15.95" customHeight="1" x14ac:dyDescent="0.25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</row>
    <row r="915" spans="1:15" ht="15.95" customHeight="1" x14ac:dyDescent="0.25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</row>
    <row r="916" spans="1:15" ht="15.95" customHeight="1" x14ac:dyDescent="0.25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</row>
    <row r="917" spans="1:15" ht="15.95" customHeight="1" x14ac:dyDescent="0.25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</row>
    <row r="918" spans="1:15" ht="15.95" customHeight="1" x14ac:dyDescent="0.25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</row>
    <row r="919" spans="1:15" ht="15.95" customHeight="1" x14ac:dyDescent="0.25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</row>
    <row r="920" spans="1:15" ht="15.95" customHeight="1" x14ac:dyDescent="0.25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</row>
    <row r="921" spans="1:15" ht="15.95" customHeight="1" x14ac:dyDescent="0.25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</row>
    <row r="922" spans="1:15" ht="15.95" customHeight="1" x14ac:dyDescent="0.25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</row>
    <row r="923" spans="1:15" ht="15.95" customHeight="1" x14ac:dyDescent="0.25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</row>
    <row r="924" spans="1:15" ht="15.95" customHeight="1" x14ac:dyDescent="0.25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</row>
    <row r="925" spans="1:15" ht="15.95" customHeight="1" x14ac:dyDescent="0.25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</row>
    <row r="926" spans="1:15" ht="15.95" customHeight="1" x14ac:dyDescent="0.25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</row>
    <row r="927" spans="1:15" ht="15.95" customHeight="1" x14ac:dyDescent="0.25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</row>
    <row r="928" spans="1:15" ht="15.95" customHeight="1" x14ac:dyDescent="0.25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</row>
    <row r="929" spans="1:15" ht="15.95" customHeight="1" x14ac:dyDescent="0.25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</row>
    <row r="930" spans="1:15" ht="15.95" customHeight="1" x14ac:dyDescent="0.25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</row>
    <row r="931" spans="1:15" ht="15.95" customHeight="1" x14ac:dyDescent="0.25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</row>
    <row r="932" spans="1:15" ht="15.95" customHeight="1" x14ac:dyDescent="0.25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</row>
    <row r="933" spans="1:15" ht="15.95" customHeight="1" x14ac:dyDescent="0.25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</row>
    <row r="934" spans="1:15" ht="15.95" customHeight="1" x14ac:dyDescent="0.25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</row>
    <row r="935" spans="1:15" ht="15.95" customHeight="1" x14ac:dyDescent="0.25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</row>
    <row r="936" spans="1:15" ht="15.95" customHeight="1" x14ac:dyDescent="0.25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</row>
    <row r="937" spans="1:15" ht="15.95" customHeight="1" x14ac:dyDescent="0.25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</row>
    <row r="938" spans="1:15" ht="15.95" customHeight="1" x14ac:dyDescent="0.25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</row>
    <row r="939" spans="1:15" ht="15.95" customHeight="1" x14ac:dyDescent="0.25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</row>
    <row r="940" spans="1:15" ht="15.95" customHeight="1" x14ac:dyDescent="0.25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</row>
    <row r="941" spans="1:15" ht="15.95" customHeight="1" x14ac:dyDescent="0.25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</row>
    <row r="942" spans="1:15" ht="15.95" customHeight="1" x14ac:dyDescent="0.25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</row>
    <row r="943" spans="1:15" ht="15.95" customHeight="1" x14ac:dyDescent="0.25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</row>
    <row r="944" spans="1:15" ht="15.95" customHeight="1" x14ac:dyDescent="0.25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</row>
    <row r="945" spans="1:15" ht="15.95" customHeight="1" x14ac:dyDescent="0.25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</row>
    <row r="946" spans="1:15" ht="15.95" customHeight="1" x14ac:dyDescent="0.25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</row>
    <row r="947" spans="1:15" ht="15.95" customHeight="1" x14ac:dyDescent="0.25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</row>
    <row r="948" spans="1:15" ht="15.95" customHeight="1" x14ac:dyDescent="0.25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</row>
    <row r="949" spans="1:15" ht="15.95" customHeight="1" x14ac:dyDescent="0.25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</row>
    <row r="950" spans="1:15" ht="15.95" customHeight="1" x14ac:dyDescent="0.25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</row>
    <row r="951" spans="1:15" ht="15.95" customHeight="1" x14ac:dyDescent="0.25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</row>
    <row r="952" spans="1:15" ht="15.95" customHeight="1" x14ac:dyDescent="0.25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</row>
    <row r="953" spans="1:15" ht="15.95" customHeight="1" x14ac:dyDescent="0.25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</row>
    <row r="954" spans="1:15" ht="15.95" customHeight="1" x14ac:dyDescent="0.25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</row>
    <row r="955" spans="1:15" ht="15.95" customHeight="1" x14ac:dyDescent="0.25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</row>
    <row r="956" spans="1:15" ht="15.95" customHeight="1" x14ac:dyDescent="0.25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</row>
    <row r="957" spans="1:15" ht="15.95" customHeight="1" x14ac:dyDescent="0.25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</row>
    <row r="958" spans="1:15" ht="15.95" customHeight="1" x14ac:dyDescent="0.25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</row>
    <row r="959" spans="1:15" ht="15.95" customHeight="1" x14ac:dyDescent="0.25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</row>
    <row r="960" spans="1:15" ht="15.95" customHeight="1" x14ac:dyDescent="0.25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</row>
    <row r="961" spans="1:15" ht="15.95" customHeight="1" x14ac:dyDescent="0.25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</row>
    <row r="962" spans="1:15" ht="15.95" customHeight="1" x14ac:dyDescent="0.25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</row>
    <row r="963" spans="1:15" ht="15.95" customHeight="1" x14ac:dyDescent="0.25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</row>
    <row r="964" spans="1:15" ht="15.95" customHeight="1" x14ac:dyDescent="0.25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</row>
    <row r="965" spans="1:15" ht="15.95" customHeight="1" x14ac:dyDescent="0.25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</row>
    <row r="966" spans="1:15" ht="15.95" customHeight="1" x14ac:dyDescent="0.25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</row>
    <row r="967" spans="1:15" ht="15.95" customHeight="1" x14ac:dyDescent="0.25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</row>
    <row r="968" spans="1:15" ht="15.95" customHeight="1" x14ac:dyDescent="0.25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</row>
    <row r="969" spans="1:15" ht="15.95" customHeight="1" x14ac:dyDescent="0.25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</row>
    <row r="970" spans="1:15" ht="15.95" customHeight="1" x14ac:dyDescent="0.25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</row>
    <row r="971" spans="1:15" ht="15.95" customHeight="1" x14ac:dyDescent="0.25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</row>
    <row r="972" spans="1:15" ht="15.95" customHeight="1" x14ac:dyDescent="0.25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</row>
    <row r="973" spans="1:15" ht="15.95" customHeight="1" x14ac:dyDescent="0.25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</row>
    <row r="974" spans="1:15" ht="15.95" customHeight="1" x14ac:dyDescent="0.25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</row>
    <row r="975" spans="1:15" ht="15.95" customHeight="1" x14ac:dyDescent="0.25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</row>
    <row r="976" spans="1:15" ht="15.95" customHeight="1" x14ac:dyDescent="0.25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</row>
    <row r="977" spans="1:15" ht="15.95" customHeight="1" x14ac:dyDescent="0.25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</row>
    <row r="978" spans="1:15" ht="15.95" customHeight="1" x14ac:dyDescent="0.25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</row>
    <row r="979" spans="1:15" ht="15.95" customHeight="1" x14ac:dyDescent="0.25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</row>
    <row r="980" spans="1:15" ht="15.95" customHeight="1" x14ac:dyDescent="0.25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</row>
    <row r="981" spans="1:15" ht="15.95" customHeight="1" x14ac:dyDescent="0.25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</row>
    <row r="982" spans="1:15" ht="15.95" customHeight="1" x14ac:dyDescent="0.25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</row>
    <row r="983" spans="1:15" ht="15.95" customHeight="1" x14ac:dyDescent="0.25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</row>
    <row r="984" spans="1:15" ht="15.95" customHeight="1" x14ac:dyDescent="0.25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</row>
    <row r="985" spans="1:15" ht="15.95" customHeight="1" x14ac:dyDescent="0.25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</row>
    <row r="986" spans="1:15" ht="15.95" customHeight="1" x14ac:dyDescent="0.25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</row>
    <row r="987" spans="1:15" ht="15.95" customHeight="1" x14ac:dyDescent="0.25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</row>
    <row r="988" spans="1:15" ht="15.95" customHeight="1" x14ac:dyDescent="0.25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</row>
    <row r="989" spans="1:15" ht="15.95" customHeight="1" x14ac:dyDescent="0.25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</row>
    <row r="990" spans="1:15" ht="15.95" customHeight="1" x14ac:dyDescent="0.25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</row>
    <row r="991" spans="1:15" ht="15.95" customHeight="1" x14ac:dyDescent="0.25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</row>
    <row r="992" spans="1:15" ht="15.95" customHeight="1" x14ac:dyDescent="0.25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</row>
    <row r="993" spans="1:15" ht="15.95" customHeight="1" x14ac:dyDescent="0.25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</row>
    <row r="994" spans="1:15" ht="15.95" customHeight="1" x14ac:dyDescent="0.25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</row>
    <row r="995" spans="1:15" ht="15.95" customHeight="1" x14ac:dyDescent="0.25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</row>
    <row r="996" spans="1:15" ht="15.95" customHeight="1" x14ac:dyDescent="0.25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</row>
    <row r="997" spans="1:15" ht="15.95" customHeight="1" x14ac:dyDescent="0.25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</row>
    <row r="998" spans="1:15" ht="15.95" customHeight="1" x14ac:dyDescent="0.25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</row>
    <row r="999" spans="1:15" ht="15.95" customHeight="1" x14ac:dyDescent="0.25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</row>
    <row r="1000" spans="1:15" ht="15.95" customHeight="1" x14ac:dyDescent="0.25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8">
    <tabColor theme="7" tint="0.39997558519241921"/>
  </sheetPr>
  <dimension ref="A1:V90"/>
  <sheetViews>
    <sheetView zoomScale="85" zoomScaleNormal="85" workbookViewId="0">
      <selection sqref="A1:A2"/>
    </sheetView>
  </sheetViews>
  <sheetFormatPr defaultRowHeight="15" outlineLevelCol="1" x14ac:dyDescent="0.25"/>
  <cols>
    <col min="1" max="2" width="8.7109375" customWidth="1"/>
    <col min="3" max="4" width="25.7109375" customWidth="1"/>
    <col min="5" max="6" width="8.7109375" customWidth="1"/>
    <col min="7" max="7" width="15.7109375" customWidth="1"/>
    <col min="8" max="10" width="10.7109375" customWidth="1"/>
    <col min="11" max="11" width="15.7109375" hidden="1" customWidth="1" outlineLevel="1"/>
    <col min="12" max="12" width="34.7109375" hidden="1" customWidth="1" outlineLevel="1"/>
    <col min="13" max="13" width="11.7109375" hidden="1" customWidth="1" outlineLevel="1"/>
    <col min="14" max="14" width="15.7109375" hidden="1" customWidth="1" outlineLevel="1"/>
    <col min="15" max="17" width="8.7109375" hidden="1" customWidth="1" outlineLevel="1"/>
    <col min="18" max="18" width="15.7109375" customWidth="1" collapsed="1"/>
    <col min="19" max="21" width="8.7109375" customWidth="1"/>
  </cols>
  <sheetData>
    <row r="1" spans="1:22" ht="15.75" x14ac:dyDescent="0.25">
      <c r="A1" s="87" t="s">
        <v>2635</v>
      </c>
      <c r="B1" s="85" t="s">
        <v>2636</v>
      </c>
      <c r="C1" s="85" t="s">
        <v>2637</v>
      </c>
      <c r="D1" s="85" t="s">
        <v>2638</v>
      </c>
      <c r="E1" s="85" t="s">
        <v>2639</v>
      </c>
      <c r="F1" s="85" t="s">
        <v>2640</v>
      </c>
      <c r="G1" s="85" t="s">
        <v>2641</v>
      </c>
      <c r="H1" s="89" t="s">
        <v>2643</v>
      </c>
      <c r="I1" s="90"/>
      <c r="J1" s="91"/>
      <c r="K1" s="89" t="s">
        <v>2647</v>
      </c>
      <c r="L1" s="90"/>
      <c r="M1" s="90"/>
      <c r="N1" s="90"/>
      <c r="O1" s="90"/>
      <c r="P1" s="90"/>
      <c r="Q1" s="91"/>
      <c r="R1" s="85" t="s">
        <v>2642</v>
      </c>
      <c r="S1" s="89" t="s">
        <v>2655</v>
      </c>
      <c r="T1" s="90"/>
      <c r="U1" s="92"/>
    </row>
    <row r="2" spans="1:22" ht="63" x14ac:dyDescent="0.25">
      <c r="A2" s="88"/>
      <c r="B2" s="86"/>
      <c r="C2" s="86"/>
      <c r="D2" s="86"/>
      <c r="E2" s="86"/>
      <c r="F2" s="86"/>
      <c r="G2" s="86"/>
      <c r="H2" s="60" t="s">
        <v>2644</v>
      </c>
      <c r="I2" s="60" t="s">
        <v>2645</v>
      </c>
      <c r="J2" s="60" t="s">
        <v>2646</v>
      </c>
      <c r="K2" s="60" t="s">
        <v>2648</v>
      </c>
      <c r="L2" s="60" t="s">
        <v>2649</v>
      </c>
      <c r="M2" s="60" t="s">
        <v>2650</v>
      </c>
      <c r="N2" s="60" t="s">
        <v>2651</v>
      </c>
      <c r="O2" s="60" t="s">
        <v>2652</v>
      </c>
      <c r="P2" s="60" t="s">
        <v>2653</v>
      </c>
      <c r="Q2" s="60" t="s">
        <v>2654</v>
      </c>
      <c r="R2" s="86"/>
      <c r="S2" s="60" t="s">
        <v>2656</v>
      </c>
      <c r="T2" s="60" t="s">
        <v>2657</v>
      </c>
      <c r="U2" s="61" t="s">
        <v>2658</v>
      </c>
    </row>
    <row r="3" spans="1:22" ht="15.75" x14ac:dyDescent="0.25">
      <c r="A3" s="27" t="str">
        <f t="shared" ref="A3:A9" si="0">A4</f>
        <v>Пфм1</v>
      </c>
      <c r="B3" s="19" t="s">
        <v>2663</v>
      </c>
      <c r="C3" s="19"/>
      <c r="D3" s="19" t="s">
        <v>2700</v>
      </c>
      <c r="E3" s="19"/>
      <c r="F3" s="19"/>
      <c r="G3" s="19"/>
      <c r="H3" s="19"/>
      <c r="I3" s="19"/>
      <c r="J3" s="19"/>
      <c r="K3" s="19"/>
      <c r="L3" s="19"/>
      <c r="M3" s="19"/>
      <c r="N3" s="19"/>
      <c r="O3" s="19"/>
      <c r="P3" s="19"/>
      <c r="Q3" s="19"/>
      <c r="R3" s="19"/>
      <c r="S3" s="19"/>
      <c r="T3" s="19"/>
      <c r="U3" s="26"/>
    </row>
    <row r="4" spans="1:22" ht="15.75" x14ac:dyDescent="0.25">
      <c r="A4" s="27" t="str">
        <f t="shared" si="0"/>
        <v>Пфм1</v>
      </c>
      <c r="B4" s="19" t="s">
        <v>2663</v>
      </c>
      <c r="C4" s="19" t="s">
        <v>2665</v>
      </c>
      <c r="D4" s="19" t="s">
        <v>2702</v>
      </c>
      <c r="E4" s="19">
        <v>1</v>
      </c>
      <c r="F4" s="19"/>
      <c r="G4" s="19"/>
      <c r="H4" s="19"/>
      <c r="I4" s="19"/>
      <c r="J4" s="19"/>
      <c r="K4" s="19"/>
      <c r="L4" s="19"/>
      <c r="M4" s="19"/>
      <c r="N4" s="19"/>
      <c r="O4" s="19"/>
      <c r="P4" s="19"/>
      <c r="Q4" s="19"/>
      <c r="R4" s="19"/>
      <c r="S4" s="19"/>
      <c r="T4" s="19"/>
      <c r="U4" s="26"/>
    </row>
    <row r="5" spans="1:22" ht="15.75" x14ac:dyDescent="0.25">
      <c r="A5" s="27" t="str">
        <f t="shared" si="0"/>
        <v>Пфм1</v>
      </c>
      <c r="B5" s="19" t="s">
        <v>2663</v>
      </c>
      <c r="C5" s="19"/>
      <c r="D5" s="19" t="s">
        <v>2699</v>
      </c>
      <c r="E5" s="19">
        <v>1</v>
      </c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19"/>
      <c r="U5" s="26"/>
    </row>
    <row r="6" spans="1:22" ht="15.75" x14ac:dyDescent="0.25">
      <c r="A6" s="27" t="str">
        <f t="shared" si="0"/>
        <v>Пфм1</v>
      </c>
      <c r="B6" s="19" t="s">
        <v>2663</v>
      </c>
      <c r="C6" s="19"/>
      <c r="D6" s="19" t="s">
        <v>2664</v>
      </c>
      <c r="E6" s="19">
        <v>1</v>
      </c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19"/>
      <c r="U6" s="26"/>
    </row>
    <row r="7" spans="1:22" ht="15.75" x14ac:dyDescent="0.25">
      <c r="A7" s="27" t="str">
        <f t="shared" si="0"/>
        <v>Пфм1</v>
      </c>
      <c r="B7" s="19" t="s">
        <v>2663</v>
      </c>
      <c r="C7" s="19"/>
      <c r="D7" s="19" t="s">
        <v>2698</v>
      </c>
      <c r="E7" s="19">
        <v>1</v>
      </c>
      <c r="F7" s="19"/>
      <c r="G7" s="19"/>
      <c r="H7" s="19"/>
      <c r="I7" s="19"/>
      <c r="J7" s="19"/>
      <c r="K7" s="19"/>
      <c r="L7" s="19"/>
      <c r="M7" s="19"/>
      <c r="N7" s="19"/>
      <c r="O7" s="19"/>
      <c r="P7" s="19"/>
      <c r="Q7" s="19"/>
      <c r="R7" s="19"/>
      <c r="S7" s="19"/>
      <c r="T7" s="19"/>
      <c r="U7" s="26"/>
    </row>
    <row r="8" spans="1:22" ht="15.75" x14ac:dyDescent="0.25">
      <c r="A8" s="27" t="str">
        <f t="shared" si="0"/>
        <v>Пфм1</v>
      </c>
      <c r="B8" s="19" t="s">
        <v>2663</v>
      </c>
      <c r="C8" s="19"/>
      <c r="D8" s="19" t="s">
        <v>2697</v>
      </c>
      <c r="E8" s="19">
        <v>1</v>
      </c>
      <c r="F8" s="19"/>
      <c r="G8" s="19"/>
      <c r="H8" s="19"/>
      <c r="I8" s="19"/>
      <c r="J8" s="19"/>
      <c r="K8" s="19"/>
      <c r="L8" s="19"/>
      <c r="M8" s="19"/>
      <c r="N8" s="19"/>
      <c r="O8" s="19"/>
      <c r="P8" s="19"/>
      <c r="Q8" s="19"/>
      <c r="R8" s="19"/>
      <c r="S8" s="19"/>
      <c r="T8" s="19"/>
      <c r="U8" s="26"/>
    </row>
    <row r="9" spans="1:22" ht="15.75" x14ac:dyDescent="0.25">
      <c r="A9" s="27" t="str">
        <f t="shared" si="0"/>
        <v>Пфм1</v>
      </c>
      <c r="B9" s="19" t="s">
        <v>2663</v>
      </c>
      <c r="C9" s="19"/>
      <c r="D9" s="19" t="s">
        <v>2696</v>
      </c>
      <c r="E9" s="19">
        <v>1</v>
      </c>
      <c r="F9" s="19"/>
      <c r="G9" s="19"/>
      <c r="H9" s="19"/>
      <c r="I9" s="19"/>
      <c r="J9" s="19"/>
      <c r="K9" s="19"/>
      <c r="L9" s="19"/>
      <c r="M9" s="19"/>
      <c r="N9" s="19"/>
      <c r="O9" s="19"/>
      <c r="P9" s="19"/>
      <c r="Q9" s="19"/>
      <c r="R9" s="19"/>
      <c r="S9" s="19"/>
      <c r="T9" s="19"/>
      <c r="U9" s="26"/>
    </row>
    <row r="10" spans="1:22" ht="31.5" x14ac:dyDescent="0.25">
      <c r="A10" s="25" t="str">
        <f>B10</f>
        <v>Пфм1</v>
      </c>
      <c r="B10" s="24" t="s">
        <v>2695</v>
      </c>
      <c r="C10" s="24"/>
      <c r="D10" s="24" t="s">
        <v>2694</v>
      </c>
      <c r="E10" s="24">
        <v>1</v>
      </c>
      <c r="F10" s="24"/>
      <c r="G10" s="24"/>
      <c r="H10" s="24"/>
      <c r="I10" s="24"/>
      <c r="J10" s="24"/>
      <c r="K10" s="24"/>
      <c r="L10" s="24"/>
      <c r="M10" s="24"/>
      <c r="N10" s="24"/>
      <c r="O10" s="24"/>
      <c r="P10" s="24"/>
      <c r="Q10" s="24"/>
      <c r="R10" s="24"/>
      <c r="S10" s="24"/>
      <c r="T10" s="24"/>
      <c r="U10" s="23"/>
    </row>
    <row r="11" spans="1:22" ht="15.75" x14ac:dyDescent="0.25">
      <c r="A11" s="62" t="str">
        <f t="shared" ref="A11:A18" si="1">A10</f>
        <v>Пфм1</v>
      </c>
      <c r="B11" s="60"/>
      <c r="C11" s="20" t="s">
        <v>2662</v>
      </c>
      <c r="D11" s="20" t="str">
        <f>D4</f>
        <v>Бетон В30</v>
      </c>
      <c r="E11" s="20">
        <v>60</v>
      </c>
      <c r="F11" s="19" t="s">
        <v>4</v>
      </c>
      <c r="G11" s="60" t="s">
        <v>3</v>
      </c>
      <c r="H11" s="60"/>
      <c r="I11" s="60"/>
      <c r="J11" s="60"/>
      <c r="K11" s="60"/>
      <c r="L11" s="60"/>
      <c r="M11" s="60"/>
      <c r="N11" s="60"/>
      <c r="O11" s="60"/>
      <c r="P11" s="60"/>
      <c r="Q11" s="60"/>
      <c r="R11" s="60"/>
      <c r="S11" s="60"/>
      <c r="T11" s="60"/>
      <c r="U11" s="61"/>
    </row>
    <row r="12" spans="1:22" ht="15.75" x14ac:dyDescent="0.25">
      <c r="A12" s="62" t="str">
        <f t="shared" si="1"/>
        <v>Пфм1</v>
      </c>
      <c r="B12" s="60">
        <v>2</v>
      </c>
      <c r="C12" s="60" t="s">
        <v>2660</v>
      </c>
      <c r="D12" s="60" t="s">
        <v>2693</v>
      </c>
      <c r="E12" s="60">
        <v>2</v>
      </c>
      <c r="F12" s="19">
        <v>1.208</v>
      </c>
      <c r="G12" s="60" t="s">
        <v>20</v>
      </c>
      <c r="H12" s="60">
        <v>10000</v>
      </c>
      <c r="I12" s="60">
        <v>14</v>
      </c>
      <c r="J12" s="60" t="s">
        <v>2</v>
      </c>
      <c r="K12" s="60"/>
      <c r="L12" s="60"/>
      <c r="M12" s="60"/>
      <c r="N12" s="60"/>
      <c r="O12" s="60"/>
      <c r="P12" s="60"/>
      <c r="Q12" s="60"/>
      <c r="R12" s="60"/>
      <c r="S12" s="60">
        <v>660</v>
      </c>
      <c r="T12" s="60">
        <v>795</v>
      </c>
      <c r="U12" s="61">
        <v>35</v>
      </c>
      <c r="V12">
        <v>2</v>
      </c>
    </row>
    <row r="13" spans="1:22" ht="15.75" x14ac:dyDescent="0.25">
      <c r="A13" s="62" t="str">
        <f t="shared" si="1"/>
        <v>Пфм1</v>
      </c>
      <c r="B13" s="60">
        <v>1</v>
      </c>
      <c r="C13" s="60" t="s">
        <v>2660</v>
      </c>
      <c r="D13" s="60" t="s">
        <v>2692</v>
      </c>
      <c r="E13" s="60">
        <v>2</v>
      </c>
      <c r="F13" s="19">
        <v>1.998</v>
      </c>
      <c r="G13" s="60" t="s">
        <v>20</v>
      </c>
      <c r="H13" s="60">
        <v>1000</v>
      </c>
      <c r="I13" s="60">
        <v>18</v>
      </c>
      <c r="J13" s="60" t="s">
        <v>2</v>
      </c>
      <c r="K13" s="60"/>
      <c r="L13" s="60"/>
      <c r="M13" s="60"/>
      <c r="N13" s="60"/>
      <c r="O13" s="60"/>
      <c r="P13" s="60"/>
      <c r="Q13" s="60"/>
      <c r="R13" s="60"/>
      <c r="S13" s="60">
        <v>850</v>
      </c>
      <c r="T13" s="60">
        <v>1020</v>
      </c>
      <c r="U13" s="61">
        <v>45</v>
      </c>
      <c r="V13">
        <v>1</v>
      </c>
    </row>
    <row r="14" spans="1:22" ht="15.75" x14ac:dyDescent="0.25">
      <c r="A14" s="62" t="str">
        <f>A13</f>
        <v>Пфм1</v>
      </c>
      <c r="B14" s="60">
        <v>10</v>
      </c>
      <c r="C14" s="60" t="s">
        <v>2660</v>
      </c>
      <c r="D14" s="60" t="s">
        <v>2691</v>
      </c>
      <c r="E14" s="60">
        <f>ROUNDUP(E5/200,0)</f>
        <v>1</v>
      </c>
      <c r="F14" s="19">
        <v>4.8339999999999996</v>
      </c>
      <c r="G14" s="60"/>
      <c r="H14" s="60">
        <f>Арм_Элемент_П(S14,E7,I14,J14)</f>
        <v>2540</v>
      </c>
      <c r="I14" s="60">
        <v>28</v>
      </c>
      <c r="J14" s="60" t="s">
        <v>2</v>
      </c>
      <c r="K14" s="60"/>
      <c r="L14" s="60"/>
      <c r="M14" s="60"/>
      <c r="N14" s="60"/>
      <c r="O14" s="60"/>
      <c r="P14" s="60"/>
      <c r="Q14" s="60"/>
      <c r="R14" s="60"/>
      <c r="S14" s="60">
        <v>1320</v>
      </c>
      <c r="T14" s="60">
        <v>1585</v>
      </c>
      <c r="U14" s="61">
        <v>112</v>
      </c>
      <c r="V14">
        <v>10</v>
      </c>
    </row>
    <row r="15" spans="1:22" ht="15.75" x14ac:dyDescent="0.25">
      <c r="A15" s="62" t="str">
        <f t="shared" si="1"/>
        <v>Пфм1</v>
      </c>
      <c r="B15" s="60">
        <v>8</v>
      </c>
      <c r="C15" s="60" t="s">
        <v>2660</v>
      </c>
      <c r="D15" s="60" t="s">
        <v>2690</v>
      </c>
      <c r="E15" s="60">
        <f>ROUNDUP(E8/200,0)</f>
        <v>1</v>
      </c>
      <c r="F15" s="19">
        <v>6.3129999999999997</v>
      </c>
      <c r="G15" s="60"/>
      <c r="H15" s="60">
        <f>Арм_Элемент_П(S15,E7,I15,J15)</f>
        <v>2900</v>
      </c>
      <c r="I15" s="60">
        <v>32</v>
      </c>
      <c r="J15" s="60" t="s">
        <v>2</v>
      </c>
      <c r="K15" s="60"/>
      <c r="L15" s="60"/>
      <c r="M15" s="60"/>
      <c r="N15" s="60"/>
      <c r="O15" s="60"/>
      <c r="P15" s="60"/>
      <c r="Q15" s="60"/>
      <c r="R15" s="60"/>
      <c r="S15" s="60">
        <v>1510</v>
      </c>
      <c r="T15" s="60">
        <v>1810</v>
      </c>
      <c r="U15" s="61">
        <v>128</v>
      </c>
      <c r="V15">
        <v>8</v>
      </c>
    </row>
    <row r="16" spans="1:22" ht="15.75" x14ac:dyDescent="0.25">
      <c r="A16" s="62" t="str">
        <f>A14</f>
        <v>Пфм1</v>
      </c>
      <c r="B16" s="21" t="str">
        <f>Изделия_спец.И!$B$15</f>
        <v>Кр3</v>
      </c>
      <c r="C16" s="21" t="str">
        <f>Изделия_спец.И!$C$15</f>
        <v>данный лист</v>
      </c>
      <c r="D16" s="21" t="str">
        <f>Изделия_спец.И!$D$15</f>
        <v>Каркас Кр3</v>
      </c>
      <c r="E16" s="21"/>
      <c r="F16" s="19"/>
      <c r="G16" s="60"/>
      <c r="H16" s="60"/>
      <c r="I16" s="60"/>
      <c r="J16" s="60"/>
      <c r="K16" s="60"/>
      <c r="L16" s="60"/>
      <c r="M16" s="60"/>
      <c r="N16" s="60"/>
      <c r="O16" s="60"/>
      <c r="P16" s="60"/>
      <c r="Q16" s="60"/>
      <c r="R16" s="60"/>
      <c r="S16" s="60"/>
      <c r="T16" s="60"/>
      <c r="U16" s="61"/>
    </row>
    <row r="17" spans="1:22" ht="15.75" x14ac:dyDescent="0.25">
      <c r="A17" s="62" t="str">
        <f>A15</f>
        <v>Пфм1</v>
      </c>
      <c r="B17" s="60">
        <v>16</v>
      </c>
      <c r="C17" s="60" t="s">
        <v>2660</v>
      </c>
      <c r="D17" s="60" t="s">
        <v>2689</v>
      </c>
      <c r="E17" s="60">
        <f>1964+3132</f>
        <v>5096</v>
      </c>
      <c r="F17" s="19">
        <v>1.208</v>
      </c>
      <c r="G17" s="60"/>
      <c r="H17" s="60">
        <f>4260</f>
        <v>4260</v>
      </c>
      <c r="I17" s="60">
        <v>14</v>
      </c>
      <c r="J17" s="60" t="s">
        <v>2</v>
      </c>
      <c r="K17" s="60"/>
      <c r="L17" s="60"/>
      <c r="M17" s="60"/>
      <c r="N17" s="60"/>
      <c r="O17" s="60"/>
      <c r="P17" s="60"/>
      <c r="Q17" s="60"/>
      <c r="R17" s="60"/>
      <c r="S17" s="60">
        <v>660</v>
      </c>
      <c r="T17" s="60">
        <v>795</v>
      </c>
      <c r="U17" s="61">
        <v>35</v>
      </c>
      <c r="V17">
        <v>16</v>
      </c>
    </row>
    <row r="18" spans="1:22" ht="31.5" x14ac:dyDescent="0.25">
      <c r="A18" s="62" t="str">
        <f t="shared" si="1"/>
        <v>Пфм1</v>
      </c>
      <c r="B18" s="60" t="s">
        <v>2682</v>
      </c>
      <c r="C18" s="60" t="s">
        <v>2688</v>
      </c>
      <c r="D18" s="60" t="s">
        <v>2687</v>
      </c>
      <c r="E18" s="60"/>
      <c r="F18" s="60">
        <v>20.3</v>
      </c>
      <c r="G18" s="60"/>
      <c r="H18" s="60"/>
      <c r="I18" s="60"/>
      <c r="J18" s="60"/>
      <c r="K18" s="60"/>
      <c r="L18" s="60"/>
      <c r="M18" s="60"/>
      <c r="N18" s="60"/>
      <c r="O18" s="60"/>
      <c r="P18" s="60"/>
      <c r="Q18" s="60"/>
      <c r="R18" s="60"/>
      <c r="S18" s="60"/>
      <c r="T18" s="60"/>
      <c r="U18" s="61"/>
    </row>
    <row r="19" spans="1:22" ht="15.75" x14ac:dyDescent="0.25">
      <c r="A19" s="11"/>
      <c r="B19" s="11"/>
      <c r="C19" s="11"/>
      <c r="D19" s="11"/>
      <c r="E19" s="11"/>
      <c r="F19" s="11"/>
      <c r="G19" s="11"/>
      <c r="H19" s="11"/>
      <c r="I19" s="11"/>
      <c r="J19" s="11"/>
      <c r="K19" s="11"/>
      <c r="L19" s="11"/>
      <c r="M19" s="11"/>
      <c r="N19" s="11"/>
      <c r="O19" s="11"/>
      <c r="P19" s="11"/>
      <c r="Q19" s="11"/>
      <c r="R19" s="11"/>
      <c r="S19" s="11"/>
      <c r="T19" s="11"/>
      <c r="U19" s="11"/>
    </row>
    <row r="20" spans="1:22" ht="15.75" x14ac:dyDescent="0.25">
      <c r="A20" s="11"/>
      <c r="B20" s="11"/>
      <c r="C20" s="11"/>
      <c r="D20" s="11"/>
      <c r="E20" s="11"/>
      <c r="F20" s="11"/>
      <c r="G20" s="11"/>
      <c r="H20" s="11"/>
      <c r="I20" s="11"/>
      <c r="J20" s="11"/>
      <c r="K20" s="11"/>
      <c r="L20" s="11"/>
      <c r="M20" s="11"/>
      <c r="N20" s="11"/>
      <c r="O20" s="11"/>
      <c r="P20" s="11"/>
      <c r="Q20" s="11"/>
      <c r="R20" s="11"/>
      <c r="S20" s="11"/>
      <c r="T20" s="11"/>
      <c r="U20" s="11"/>
    </row>
    <row r="21" spans="1:22" ht="15.75" x14ac:dyDescent="0.25">
      <c r="A21" s="11"/>
      <c r="B21" s="11"/>
      <c r="C21" s="11"/>
      <c r="D21" s="11"/>
      <c r="E21" s="11"/>
      <c r="F21" s="11"/>
      <c r="G21" s="11"/>
      <c r="H21" s="11"/>
      <c r="I21" s="11"/>
      <c r="J21" s="11"/>
      <c r="K21" s="11"/>
      <c r="L21" s="11"/>
      <c r="M21" s="11"/>
      <c r="N21" s="11"/>
      <c r="O21" s="11"/>
      <c r="P21" s="11"/>
      <c r="Q21" s="11"/>
      <c r="R21" s="11"/>
      <c r="S21" s="11"/>
      <c r="T21" s="11"/>
      <c r="U21" s="11"/>
    </row>
    <row r="22" spans="1:22" ht="31.5" x14ac:dyDescent="0.25">
      <c r="A22" s="27" t="s">
        <v>2663</v>
      </c>
      <c r="B22" s="19" t="s">
        <v>2663</v>
      </c>
      <c r="C22" s="19" t="s">
        <v>2744</v>
      </c>
      <c r="D22" s="19" t="s">
        <v>2745</v>
      </c>
      <c r="E22" s="19"/>
      <c r="F22" s="19"/>
      <c r="G22" s="19"/>
      <c r="H22" s="19"/>
      <c r="I22" s="19"/>
      <c r="J22" s="19"/>
      <c r="K22" s="19"/>
      <c r="L22" s="19"/>
      <c r="M22" s="19"/>
      <c r="N22" s="19"/>
      <c r="O22" s="19"/>
      <c r="P22" s="19"/>
      <c r="Q22" s="19"/>
      <c r="R22" s="19"/>
      <c r="S22" s="19"/>
      <c r="T22" s="19"/>
      <c r="U22" s="26"/>
    </row>
    <row r="23" spans="1:22" ht="15.75" x14ac:dyDescent="0.25">
      <c r="A23" s="11"/>
      <c r="B23" s="11"/>
      <c r="C23" s="11"/>
      <c r="D23" s="11"/>
      <c r="E23" s="11"/>
      <c r="F23" s="11"/>
      <c r="G23" s="11"/>
      <c r="H23" s="11"/>
      <c r="I23" s="11"/>
      <c r="J23" s="11"/>
      <c r="K23" s="11"/>
      <c r="L23" s="11"/>
      <c r="M23" s="11"/>
      <c r="N23" s="11"/>
      <c r="O23" s="11"/>
      <c r="P23" s="11"/>
      <c r="Q23" s="11"/>
      <c r="R23" s="11"/>
      <c r="S23" s="11"/>
      <c r="T23" s="11"/>
      <c r="U23" s="11"/>
    </row>
    <row r="24" spans="1:22" ht="15.75" x14ac:dyDescent="0.25">
      <c r="A24" s="11"/>
      <c r="B24" s="11"/>
      <c r="C24" s="11"/>
      <c r="D24" s="11"/>
      <c r="E24" s="11"/>
      <c r="F24" s="11"/>
      <c r="G24" s="11"/>
      <c r="H24" s="11"/>
      <c r="I24" s="11"/>
      <c r="J24" s="11"/>
      <c r="K24" s="11"/>
      <c r="L24" s="11"/>
      <c r="M24" s="11"/>
      <c r="N24" s="11"/>
      <c r="O24" s="11"/>
      <c r="P24" s="11"/>
      <c r="Q24" s="11"/>
      <c r="R24" s="11"/>
      <c r="S24" s="11"/>
      <c r="T24" s="11"/>
      <c r="U24" s="11"/>
    </row>
    <row r="25" spans="1:22" ht="15.75" x14ac:dyDescent="0.25">
      <c r="A25" s="27" t="s">
        <v>2695</v>
      </c>
      <c r="B25" s="19" t="s">
        <v>2663</v>
      </c>
      <c r="C25" s="19" t="s">
        <v>2746</v>
      </c>
      <c r="D25" s="19" t="s">
        <v>2747</v>
      </c>
      <c r="E25" s="19"/>
      <c r="F25" s="19"/>
      <c r="G25" s="19"/>
      <c r="H25" s="19"/>
      <c r="I25" s="19"/>
      <c r="J25" s="19"/>
      <c r="K25" s="19"/>
      <c r="L25" s="19"/>
      <c r="M25" s="19"/>
      <c r="N25" s="19"/>
      <c r="O25" s="19"/>
      <c r="P25" s="19"/>
      <c r="Q25" s="19"/>
      <c r="R25" s="19"/>
      <c r="S25" s="19"/>
      <c r="T25" s="19"/>
      <c r="U25" s="26"/>
    </row>
    <row r="26" spans="1:22" ht="15.75" x14ac:dyDescent="0.25">
      <c r="A26" s="31" t="s">
        <v>2695</v>
      </c>
      <c r="B26" s="32">
        <v>25</v>
      </c>
      <c r="C26" s="32" t="s">
        <v>2660</v>
      </c>
      <c r="D26" s="32" t="s">
        <v>2748</v>
      </c>
      <c r="E26" s="32">
        <v>32</v>
      </c>
      <c r="F26" s="32">
        <v>1.998</v>
      </c>
      <c r="G26" s="32"/>
      <c r="H26" s="32">
        <v>1850</v>
      </c>
      <c r="I26" s="32">
        <v>18</v>
      </c>
      <c r="J26" s="32" t="s">
        <v>2</v>
      </c>
      <c r="K26" s="32"/>
      <c r="L26" s="32"/>
      <c r="M26" s="32"/>
      <c r="N26" s="32"/>
      <c r="O26" s="32"/>
      <c r="P26" s="32"/>
      <c r="Q26" s="32"/>
      <c r="R26" s="32"/>
      <c r="S26" s="32">
        <v>850</v>
      </c>
      <c r="T26" s="32">
        <v>1020</v>
      </c>
      <c r="U26" s="33">
        <v>45</v>
      </c>
    </row>
    <row r="27" spans="1:22" ht="15.75" x14ac:dyDescent="0.25">
      <c r="A27" s="31" t="s">
        <v>2695</v>
      </c>
      <c r="B27" s="32"/>
      <c r="C27" s="32" t="s">
        <v>2660</v>
      </c>
      <c r="D27" s="32" t="s">
        <v>2749</v>
      </c>
      <c r="E27" s="32">
        <v>34</v>
      </c>
      <c r="F27" s="32">
        <v>0.88800000000000001</v>
      </c>
      <c r="G27" s="32"/>
      <c r="H27" s="32">
        <v>5150</v>
      </c>
      <c r="I27" s="32">
        <v>12</v>
      </c>
      <c r="J27" s="32" t="s">
        <v>2</v>
      </c>
      <c r="K27" s="32"/>
      <c r="L27" s="32"/>
      <c r="M27" s="32"/>
      <c r="N27" s="32"/>
      <c r="O27" s="32"/>
      <c r="P27" s="32"/>
      <c r="Q27" s="32"/>
      <c r="R27" s="32"/>
      <c r="S27" s="32">
        <v>570</v>
      </c>
      <c r="T27" s="32">
        <v>680</v>
      </c>
      <c r="U27" s="33">
        <v>30</v>
      </c>
    </row>
    <row r="28" spans="1:22" ht="15.75" x14ac:dyDescent="0.25">
      <c r="A28" s="31" t="s">
        <v>2695</v>
      </c>
      <c r="B28" s="32"/>
      <c r="C28" s="32" t="s">
        <v>2660</v>
      </c>
      <c r="D28" s="32" t="s">
        <v>2750</v>
      </c>
      <c r="E28" s="32">
        <v>6</v>
      </c>
      <c r="F28" s="32">
        <v>4.8339999999999996</v>
      </c>
      <c r="G28" s="32"/>
      <c r="H28" s="32">
        <v>5450</v>
      </c>
      <c r="I28" s="32">
        <v>28</v>
      </c>
      <c r="J28" s="32" t="s">
        <v>2</v>
      </c>
      <c r="K28" s="32"/>
      <c r="L28" s="32"/>
      <c r="M28" s="32"/>
      <c r="N28" s="32"/>
      <c r="O28" s="32"/>
      <c r="P28" s="32"/>
      <c r="Q28" s="32"/>
      <c r="R28" s="32"/>
      <c r="S28" s="32">
        <v>1320</v>
      </c>
      <c r="T28" s="32">
        <v>1585</v>
      </c>
      <c r="U28" s="33">
        <v>112</v>
      </c>
    </row>
    <row r="29" spans="1:22" ht="15.75" x14ac:dyDescent="0.25">
      <c r="A29" s="31" t="s">
        <v>2695</v>
      </c>
      <c r="B29" s="32"/>
      <c r="C29" s="32" t="s">
        <v>2660</v>
      </c>
      <c r="D29" s="32" t="s">
        <v>2751</v>
      </c>
      <c r="E29" s="32">
        <v>7</v>
      </c>
      <c r="F29" s="32">
        <v>0.88800000000000001</v>
      </c>
      <c r="G29" s="32" t="s">
        <v>20</v>
      </c>
      <c r="H29" s="32">
        <f>Арм_Длина_ПМ(27000,T29,11700)</f>
        <v>29040</v>
      </c>
      <c r="I29" s="32">
        <v>12</v>
      </c>
      <c r="J29" s="32" t="s">
        <v>2</v>
      </c>
      <c r="K29" s="32"/>
      <c r="L29" s="32"/>
      <c r="M29" s="32"/>
      <c r="N29" s="32"/>
      <c r="O29" s="32"/>
      <c r="P29" s="32"/>
      <c r="Q29" s="32"/>
      <c r="R29" s="32"/>
      <c r="S29" s="32">
        <v>570</v>
      </c>
      <c r="T29" s="32">
        <v>680</v>
      </c>
      <c r="U29" s="33">
        <v>30</v>
      </c>
    </row>
    <row r="30" spans="1:22" ht="15.75" x14ac:dyDescent="0.25">
      <c r="A30" s="31" t="s">
        <v>2695</v>
      </c>
      <c r="B30" s="32"/>
      <c r="C30" s="32" t="s">
        <v>2660</v>
      </c>
      <c r="D30" s="32" t="s">
        <v>2752</v>
      </c>
      <c r="E30" s="32">
        <v>64</v>
      </c>
      <c r="F30" s="32">
        <v>0.88800000000000001</v>
      </c>
      <c r="G30" s="32" t="s">
        <v>20</v>
      </c>
      <c r="H30" s="32">
        <f>Арм_Длина_ПМ(31500,T30,11700)</f>
        <v>33540</v>
      </c>
      <c r="I30" s="32">
        <v>12</v>
      </c>
      <c r="J30" s="32" t="s">
        <v>2</v>
      </c>
      <c r="K30" s="32"/>
      <c r="L30" s="32"/>
      <c r="M30" s="32"/>
      <c r="N30" s="32"/>
      <c r="O30" s="32"/>
      <c r="P30" s="32"/>
      <c r="Q30" s="32"/>
      <c r="R30" s="32"/>
      <c r="S30" s="32">
        <v>570</v>
      </c>
      <c r="T30" s="32">
        <v>680</v>
      </c>
      <c r="U30" s="33">
        <v>30</v>
      </c>
    </row>
    <row r="31" spans="1:22" ht="15.75" x14ac:dyDescent="0.25">
      <c r="A31" s="31" t="s">
        <v>2695</v>
      </c>
      <c r="B31" s="32"/>
      <c r="C31" s="32" t="s">
        <v>2660</v>
      </c>
      <c r="D31" s="32" t="s">
        <v>2753</v>
      </c>
      <c r="E31" s="32">
        <v>19</v>
      </c>
      <c r="F31" s="32">
        <v>0.88800000000000001</v>
      </c>
      <c r="G31" s="32"/>
      <c r="H31" s="32">
        <v>4800</v>
      </c>
      <c r="I31" s="32">
        <v>12</v>
      </c>
      <c r="J31" s="32" t="s">
        <v>2</v>
      </c>
      <c r="K31" s="32"/>
      <c r="L31" s="32"/>
      <c r="M31" s="32"/>
      <c r="N31" s="32"/>
      <c r="O31" s="32"/>
      <c r="P31" s="32"/>
      <c r="Q31" s="32"/>
      <c r="R31" s="32"/>
      <c r="S31" s="32">
        <v>570</v>
      </c>
      <c r="T31" s="32">
        <v>680</v>
      </c>
      <c r="U31" s="33">
        <v>30</v>
      </c>
    </row>
    <row r="32" spans="1:22" ht="15.75" x14ac:dyDescent="0.25">
      <c r="A32" s="31" t="s">
        <v>2695</v>
      </c>
      <c r="B32" s="32"/>
      <c r="C32" s="32" t="s">
        <v>2660</v>
      </c>
      <c r="D32" s="32" t="s">
        <v>2754</v>
      </c>
      <c r="E32" s="32">
        <v>6</v>
      </c>
      <c r="F32" s="32">
        <v>0.88800000000000001</v>
      </c>
      <c r="G32" s="32"/>
      <c r="H32" s="32">
        <v>2300</v>
      </c>
      <c r="I32" s="32">
        <v>12</v>
      </c>
      <c r="J32" s="32" t="s">
        <v>2</v>
      </c>
      <c r="K32" s="32"/>
      <c r="L32" s="32"/>
      <c r="M32" s="32"/>
      <c r="N32" s="32"/>
      <c r="O32" s="32"/>
      <c r="P32" s="32"/>
      <c r="Q32" s="32"/>
      <c r="R32" s="32"/>
      <c r="S32" s="32">
        <v>570</v>
      </c>
      <c r="T32" s="32">
        <v>680</v>
      </c>
      <c r="U32" s="33">
        <v>30</v>
      </c>
    </row>
    <row r="33" spans="1:21" ht="15.75" x14ac:dyDescent="0.25">
      <c r="A33" s="31" t="s">
        <v>2695</v>
      </c>
      <c r="B33" s="32"/>
      <c r="C33" s="32" t="s">
        <v>2660</v>
      </c>
      <c r="D33" s="32" t="s">
        <v>2755</v>
      </c>
      <c r="E33" s="32">
        <v>37</v>
      </c>
      <c r="F33" s="32">
        <v>0.88800000000000001</v>
      </c>
      <c r="G33" s="32"/>
      <c r="H33" s="32">
        <v>2850</v>
      </c>
      <c r="I33" s="32">
        <v>12</v>
      </c>
      <c r="J33" s="32" t="s">
        <v>2</v>
      </c>
      <c r="K33" s="32"/>
      <c r="L33" s="32"/>
      <c r="M33" s="32"/>
      <c r="N33" s="32"/>
      <c r="O33" s="32"/>
      <c r="P33" s="32"/>
      <c r="Q33" s="32"/>
      <c r="R33" s="32"/>
      <c r="S33" s="32">
        <v>570</v>
      </c>
      <c r="T33" s="32">
        <v>680</v>
      </c>
      <c r="U33" s="33">
        <v>30</v>
      </c>
    </row>
    <row r="34" spans="1:21" ht="15.75" x14ac:dyDescent="0.25">
      <c r="A34" s="31" t="s">
        <v>2695</v>
      </c>
      <c r="B34" s="32"/>
      <c r="C34" s="32" t="s">
        <v>2660</v>
      </c>
      <c r="D34" s="32" t="s">
        <v>2756</v>
      </c>
      <c r="E34" s="32">
        <v>37</v>
      </c>
      <c r="F34" s="32">
        <v>0.88800000000000001</v>
      </c>
      <c r="G34" s="32"/>
      <c r="H34" s="32">
        <v>2850</v>
      </c>
      <c r="I34" s="32">
        <v>12</v>
      </c>
      <c r="J34" s="32" t="s">
        <v>2</v>
      </c>
      <c r="K34" s="32"/>
      <c r="L34" s="32"/>
      <c r="M34" s="32"/>
      <c r="N34" s="32"/>
      <c r="O34" s="32"/>
      <c r="P34" s="32"/>
      <c r="Q34" s="32"/>
      <c r="R34" s="32"/>
      <c r="S34" s="32">
        <v>570</v>
      </c>
      <c r="T34" s="32">
        <v>680</v>
      </c>
      <c r="U34" s="33">
        <v>30</v>
      </c>
    </row>
    <row r="35" spans="1:21" ht="15.75" x14ac:dyDescent="0.25">
      <c r="A35" s="31" t="s">
        <v>2695</v>
      </c>
      <c r="B35" s="32"/>
      <c r="C35" s="32" t="s">
        <v>2660</v>
      </c>
      <c r="D35" s="32" t="s">
        <v>2757</v>
      </c>
      <c r="E35" s="32">
        <v>19</v>
      </c>
      <c r="F35" s="32">
        <v>0.88800000000000001</v>
      </c>
      <c r="G35" s="32"/>
      <c r="H35" s="32">
        <v>4800</v>
      </c>
      <c r="I35" s="32">
        <v>12</v>
      </c>
      <c r="J35" s="32" t="s">
        <v>2</v>
      </c>
      <c r="K35" s="32"/>
      <c r="L35" s="32"/>
      <c r="M35" s="32"/>
      <c r="N35" s="32"/>
      <c r="O35" s="32"/>
      <c r="P35" s="32"/>
      <c r="Q35" s="32"/>
      <c r="R35" s="32"/>
      <c r="S35" s="32">
        <v>570</v>
      </c>
      <c r="T35" s="32">
        <v>680</v>
      </c>
      <c r="U35" s="33">
        <v>30</v>
      </c>
    </row>
    <row r="36" spans="1:21" ht="15.75" x14ac:dyDescent="0.25">
      <c r="A36" s="31" t="s">
        <v>2695</v>
      </c>
      <c r="B36" s="32"/>
      <c r="C36" s="32" t="s">
        <v>2660</v>
      </c>
      <c r="D36" s="32" t="s">
        <v>2758</v>
      </c>
      <c r="E36" s="32">
        <v>7</v>
      </c>
      <c r="F36" s="32">
        <v>6.3129999999999997</v>
      </c>
      <c r="G36" s="32"/>
      <c r="H36" s="32">
        <v>6650</v>
      </c>
      <c r="I36" s="32">
        <v>32</v>
      </c>
      <c r="J36" s="32" t="s">
        <v>2</v>
      </c>
      <c r="K36" s="32"/>
      <c r="L36" s="32"/>
      <c r="M36" s="32"/>
      <c r="N36" s="32"/>
      <c r="O36" s="32"/>
      <c r="P36" s="32"/>
      <c r="Q36" s="32"/>
      <c r="R36" s="32"/>
      <c r="S36" s="32">
        <v>1510</v>
      </c>
      <c r="T36" s="32">
        <v>1810</v>
      </c>
      <c r="U36" s="33">
        <v>128</v>
      </c>
    </row>
    <row r="37" spans="1:21" ht="15.75" x14ac:dyDescent="0.25">
      <c r="A37" s="31" t="s">
        <v>2695</v>
      </c>
      <c r="B37" s="32"/>
      <c r="C37" s="32" t="s">
        <v>2660</v>
      </c>
      <c r="D37" s="32" t="s">
        <v>2759</v>
      </c>
      <c r="E37" s="32">
        <v>9</v>
      </c>
      <c r="F37" s="32">
        <v>1.998</v>
      </c>
      <c r="G37" s="32"/>
      <c r="H37" s="32">
        <v>2600</v>
      </c>
      <c r="I37" s="32">
        <v>18</v>
      </c>
      <c r="J37" s="32" t="s">
        <v>2</v>
      </c>
      <c r="K37" s="32"/>
      <c r="L37" s="32"/>
      <c r="M37" s="32"/>
      <c r="N37" s="32"/>
      <c r="O37" s="32"/>
      <c r="P37" s="32"/>
      <c r="Q37" s="32"/>
      <c r="R37" s="32"/>
      <c r="S37" s="32">
        <v>850</v>
      </c>
      <c r="T37" s="32">
        <v>1020</v>
      </c>
      <c r="U37" s="33">
        <v>45</v>
      </c>
    </row>
    <row r="38" spans="1:21" ht="15.75" x14ac:dyDescent="0.25">
      <c r="A38" s="31" t="s">
        <v>2695</v>
      </c>
      <c r="B38" s="32"/>
      <c r="C38" s="32" t="s">
        <v>2660</v>
      </c>
      <c r="D38" s="32" t="s">
        <v>2760</v>
      </c>
      <c r="E38" s="32">
        <v>7</v>
      </c>
      <c r="F38" s="32">
        <v>6.3129999999999997</v>
      </c>
      <c r="G38" s="32"/>
      <c r="H38" s="32">
        <v>6000</v>
      </c>
      <c r="I38" s="32">
        <v>32</v>
      </c>
      <c r="J38" s="32" t="s">
        <v>2</v>
      </c>
      <c r="K38" s="32"/>
      <c r="L38" s="32"/>
      <c r="M38" s="32"/>
      <c r="N38" s="32"/>
      <c r="O38" s="32"/>
      <c r="P38" s="32"/>
      <c r="Q38" s="32"/>
      <c r="R38" s="32"/>
      <c r="S38" s="32">
        <v>1510</v>
      </c>
      <c r="T38" s="32">
        <v>1810</v>
      </c>
      <c r="U38" s="33">
        <v>128</v>
      </c>
    </row>
    <row r="39" spans="1:21" ht="15.75" x14ac:dyDescent="0.25">
      <c r="A39" s="31" t="s">
        <v>2695</v>
      </c>
      <c r="B39" s="32"/>
      <c r="C39" s="32" t="s">
        <v>2660</v>
      </c>
      <c r="D39" s="32" t="s">
        <v>2761</v>
      </c>
      <c r="E39" s="32">
        <v>4</v>
      </c>
      <c r="F39" s="32">
        <v>1.998</v>
      </c>
      <c r="G39" s="32"/>
      <c r="H39" s="32">
        <v>2250</v>
      </c>
      <c r="I39" s="32">
        <v>18</v>
      </c>
      <c r="J39" s="32" t="s">
        <v>2</v>
      </c>
      <c r="K39" s="32"/>
      <c r="L39" s="32"/>
      <c r="M39" s="32"/>
      <c r="N39" s="32"/>
      <c r="O39" s="32"/>
      <c r="P39" s="32"/>
      <c r="Q39" s="32"/>
      <c r="R39" s="32"/>
      <c r="S39" s="32">
        <v>850</v>
      </c>
      <c r="T39" s="32">
        <v>1020</v>
      </c>
      <c r="U39" s="33">
        <v>45</v>
      </c>
    </row>
    <row r="40" spans="1:21" ht="15.75" x14ac:dyDescent="0.25">
      <c r="A40" s="31" t="s">
        <v>2695</v>
      </c>
      <c r="B40" s="32"/>
      <c r="C40" s="32" t="s">
        <v>2660</v>
      </c>
      <c r="D40" s="32" t="s">
        <v>2762</v>
      </c>
      <c r="E40" s="32">
        <v>19</v>
      </c>
      <c r="F40" s="32">
        <v>0.88800000000000001</v>
      </c>
      <c r="G40" s="32"/>
      <c r="H40" s="32">
        <v>5500</v>
      </c>
      <c r="I40" s="32">
        <v>12</v>
      </c>
      <c r="J40" s="32" t="s">
        <v>2</v>
      </c>
      <c r="K40" s="32"/>
      <c r="L40" s="32"/>
      <c r="M40" s="32"/>
      <c r="N40" s="32"/>
      <c r="O40" s="32"/>
      <c r="P40" s="32"/>
      <c r="Q40" s="32"/>
      <c r="R40" s="32"/>
      <c r="S40" s="32">
        <v>570</v>
      </c>
      <c r="T40" s="32">
        <v>680</v>
      </c>
      <c r="U40" s="33">
        <v>30</v>
      </c>
    </row>
    <row r="41" spans="1:21" ht="15.75" x14ac:dyDescent="0.25">
      <c r="A41" s="31" t="s">
        <v>2695</v>
      </c>
      <c r="B41" s="32"/>
      <c r="C41" s="32" t="s">
        <v>2660</v>
      </c>
      <c r="D41" s="32" t="s">
        <v>2763</v>
      </c>
      <c r="E41" s="32">
        <v>24</v>
      </c>
      <c r="F41" s="32">
        <v>0.88800000000000001</v>
      </c>
      <c r="G41" s="32"/>
      <c r="H41" s="32">
        <v>10100</v>
      </c>
      <c r="I41" s="32">
        <v>12</v>
      </c>
      <c r="J41" s="32" t="s">
        <v>2</v>
      </c>
      <c r="K41" s="32"/>
      <c r="L41" s="32"/>
      <c r="M41" s="32"/>
      <c r="N41" s="32"/>
      <c r="O41" s="32"/>
      <c r="P41" s="32"/>
      <c r="Q41" s="32"/>
      <c r="R41" s="32"/>
      <c r="S41" s="32">
        <v>570</v>
      </c>
      <c r="T41" s="32">
        <v>680</v>
      </c>
      <c r="U41" s="33">
        <v>30</v>
      </c>
    </row>
    <row r="42" spans="1:21" ht="15.75" x14ac:dyDescent="0.25">
      <c r="A42" s="31" t="s">
        <v>2695</v>
      </c>
      <c r="B42" s="32"/>
      <c r="C42" s="32" t="s">
        <v>2660</v>
      </c>
      <c r="D42" s="32" t="s">
        <v>2764</v>
      </c>
      <c r="E42" s="32">
        <v>13</v>
      </c>
      <c r="F42" s="32">
        <v>0.88800000000000001</v>
      </c>
      <c r="G42" s="32"/>
      <c r="H42" s="32">
        <v>3050</v>
      </c>
      <c r="I42" s="32">
        <v>12</v>
      </c>
      <c r="J42" s="32" t="s">
        <v>2</v>
      </c>
      <c r="K42" s="32"/>
      <c r="L42" s="32"/>
      <c r="M42" s="32"/>
      <c r="N42" s="32"/>
      <c r="O42" s="32"/>
      <c r="P42" s="32"/>
      <c r="Q42" s="32"/>
      <c r="R42" s="32"/>
      <c r="S42" s="32">
        <v>570</v>
      </c>
      <c r="T42" s="32">
        <v>680</v>
      </c>
      <c r="U42" s="33">
        <v>30</v>
      </c>
    </row>
    <row r="43" spans="1:21" ht="15.75" x14ac:dyDescent="0.25">
      <c r="A43" s="31" t="s">
        <v>2695</v>
      </c>
      <c r="B43" s="32"/>
      <c r="C43" s="32" t="s">
        <v>2660</v>
      </c>
      <c r="D43" s="32" t="s">
        <v>2765</v>
      </c>
      <c r="E43" s="32">
        <v>19</v>
      </c>
      <c r="F43" s="32">
        <v>0.88800000000000001</v>
      </c>
      <c r="G43" s="32" t="s">
        <v>20</v>
      </c>
      <c r="H43" s="32">
        <f>Арм_Длина_ПМ(31500,T43,11700)</f>
        <v>33540</v>
      </c>
      <c r="I43" s="32">
        <v>12</v>
      </c>
      <c r="J43" s="32" t="s">
        <v>2</v>
      </c>
      <c r="K43" s="32"/>
      <c r="L43" s="32"/>
      <c r="M43" s="32"/>
      <c r="N43" s="32"/>
      <c r="O43" s="32"/>
      <c r="P43" s="32"/>
      <c r="Q43" s="32"/>
      <c r="R43" s="32"/>
      <c r="S43" s="32">
        <v>570</v>
      </c>
      <c r="T43" s="32">
        <v>680</v>
      </c>
      <c r="U43" s="33">
        <v>30</v>
      </c>
    </row>
    <row r="44" spans="1:21" ht="15.75" x14ac:dyDescent="0.25">
      <c r="A44" s="31" t="s">
        <v>2695</v>
      </c>
      <c r="B44" s="32"/>
      <c r="C44" s="32" t="s">
        <v>2660</v>
      </c>
      <c r="D44" s="32" t="s">
        <v>2766</v>
      </c>
      <c r="E44" s="32">
        <v>24</v>
      </c>
      <c r="F44" s="32">
        <v>0.88800000000000001</v>
      </c>
      <c r="G44" s="32"/>
      <c r="H44" s="32">
        <v>7150</v>
      </c>
      <c r="I44" s="32">
        <v>12</v>
      </c>
      <c r="J44" s="32" t="s">
        <v>2</v>
      </c>
      <c r="K44" s="32"/>
      <c r="L44" s="32"/>
      <c r="M44" s="32"/>
      <c r="N44" s="32"/>
      <c r="O44" s="32"/>
      <c r="P44" s="32"/>
      <c r="Q44" s="32"/>
      <c r="R44" s="32"/>
      <c r="S44" s="32">
        <v>570</v>
      </c>
      <c r="T44" s="32">
        <v>680</v>
      </c>
      <c r="U44" s="33">
        <v>30</v>
      </c>
    </row>
    <row r="45" spans="1:21" ht="15.75" x14ac:dyDescent="0.25">
      <c r="A45" s="31" t="s">
        <v>2695</v>
      </c>
      <c r="B45" s="32"/>
      <c r="C45" s="32" t="s">
        <v>2660</v>
      </c>
      <c r="D45" s="32" t="s">
        <v>2767</v>
      </c>
      <c r="E45" s="32">
        <v>24</v>
      </c>
      <c r="F45" s="32">
        <v>0.88800000000000001</v>
      </c>
      <c r="G45" s="32"/>
      <c r="H45" s="32">
        <v>1500</v>
      </c>
      <c r="I45" s="32">
        <v>12</v>
      </c>
      <c r="J45" s="32" t="s">
        <v>2</v>
      </c>
      <c r="K45" s="32"/>
      <c r="L45" s="32"/>
      <c r="M45" s="32"/>
      <c r="N45" s="32"/>
      <c r="O45" s="32"/>
      <c r="P45" s="32"/>
      <c r="Q45" s="32"/>
      <c r="R45" s="32"/>
      <c r="S45" s="32">
        <v>570</v>
      </c>
      <c r="T45" s="32">
        <v>680</v>
      </c>
      <c r="U45" s="33">
        <v>30</v>
      </c>
    </row>
    <row r="46" spans="1:21" ht="15.75" x14ac:dyDescent="0.25">
      <c r="A46" s="31" t="s">
        <v>2695</v>
      </c>
      <c r="B46" s="32"/>
      <c r="C46" s="32" t="s">
        <v>2660</v>
      </c>
      <c r="D46" s="32" t="s">
        <v>2768</v>
      </c>
      <c r="E46" s="32">
        <v>24</v>
      </c>
      <c r="F46" s="32">
        <v>0.88800000000000001</v>
      </c>
      <c r="G46" s="32"/>
      <c r="H46" s="32">
        <v>1500</v>
      </c>
      <c r="I46" s="32">
        <v>12</v>
      </c>
      <c r="J46" s="32" t="s">
        <v>2</v>
      </c>
      <c r="K46" s="32"/>
      <c r="L46" s="32"/>
      <c r="M46" s="32"/>
      <c r="N46" s="32"/>
      <c r="O46" s="32"/>
      <c r="P46" s="32"/>
      <c r="Q46" s="32"/>
      <c r="R46" s="32"/>
      <c r="S46" s="32">
        <v>570</v>
      </c>
      <c r="T46" s="32">
        <v>680</v>
      </c>
      <c r="U46" s="33">
        <v>30</v>
      </c>
    </row>
    <row r="47" spans="1:21" ht="15.75" x14ac:dyDescent="0.25">
      <c r="A47" s="31" t="s">
        <v>2695</v>
      </c>
      <c r="B47" s="32"/>
      <c r="C47" s="32" t="s">
        <v>2660</v>
      </c>
      <c r="D47" s="32" t="s">
        <v>2769</v>
      </c>
      <c r="E47" s="32">
        <v>24</v>
      </c>
      <c r="F47" s="32">
        <v>0.88800000000000001</v>
      </c>
      <c r="G47" s="32"/>
      <c r="H47" s="32">
        <v>1500</v>
      </c>
      <c r="I47" s="32">
        <v>12</v>
      </c>
      <c r="J47" s="32" t="s">
        <v>2</v>
      </c>
      <c r="K47" s="32"/>
      <c r="L47" s="32"/>
      <c r="M47" s="32"/>
      <c r="N47" s="32"/>
      <c r="O47" s="32"/>
      <c r="P47" s="32"/>
      <c r="Q47" s="32"/>
      <c r="R47" s="32"/>
      <c r="S47" s="32">
        <v>570</v>
      </c>
      <c r="T47" s="32">
        <v>680</v>
      </c>
      <c r="U47" s="33">
        <v>30</v>
      </c>
    </row>
    <row r="48" spans="1:21" ht="15.75" x14ac:dyDescent="0.25">
      <c r="A48" s="31" t="s">
        <v>2695</v>
      </c>
      <c r="B48" s="32"/>
      <c r="C48" s="32" t="s">
        <v>2660</v>
      </c>
      <c r="D48" s="32" t="s">
        <v>2770</v>
      </c>
      <c r="E48" s="32">
        <v>24</v>
      </c>
      <c r="F48" s="32">
        <v>0.88800000000000001</v>
      </c>
      <c r="G48" s="32"/>
      <c r="H48" s="32">
        <v>1500</v>
      </c>
      <c r="I48" s="32">
        <v>12</v>
      </c>
      <c r="J48" s="32" t="s">
        <v>2</v>
      </c>
      <c r="K48" s="32"/>
      <c r="L48" s="32"/>
      <c r="M48" s="32"/>
      <c r="N48" s="32"/>
      <c r="O48" s="32"/>
      <c r="P48" s="32"/>
      <c r="Q48" s="32"/>
      <c r="R48" s="32"/>
      <c r="S48" s="32">
        <v>570</v>
      </c>
      <c r="T48" s="32">
        <v>680</v>
      </c>
      <c r="U48" s="33">
        <v>30</v>
      </c>
    </row>
    <row r="49" spans="1:21" ht="15.75" x14ac:dyDescent="0.25">
      <c r="A49" s="31" t="s">
        <v>2695</v>
      </c>
      <c r="B49" s="32"/>
      <c r="C49" s="32" t="s">
        <v>2660</v>
      </c>
      <c r="D49" s="32" t="s">
        <v>2771</v>
      </c>
      <c r="E49" s="32">
        <v>7</v>
      </c>
      <c r="F49" s="32">
        <v>0.88800000000000001</v>
      </c>
      <c r="G49" s="32"/>
      <c r="H49" s="32">
        <v>4750</v>
      </c>
      <c r="I49" s="32">
        <v>12</v>
      </c>
      <c r="J49" s="32" t="s">
        <v>2</v>
      </c>
      <c r="K49" s="32"/>
      <c r="L49" s="32"/>
      <c r="M49" s="32"/>
      <c r="N49" s="32"/>
      <c r="O49" s="32"/>
      <c r="P49" s="32"/>
      <c r="Q49" s="32"/>
      <c r="R49" s="32"/>
      <c r="S49" s="32">
        <v>570</v>
      </c>
      <c r="T49" s="32">
        <v>680</v>
      </c>
      <c r="U49" s="33">
        <v>30</v>
      </c>
    </row>
    <row r="50" spans="1:21" ht="15.75" x14ac:dyDescent="0.25">
      <c r="A50" s="31" t="s">
        <v>2695</v>
      </c>
      <c r="B50" s="32"/>
      <c r="C50" s="32" t="s">
        <v>2660</v>
      </c>
      <c r="D50" s="32" t="s">
        <v>2772</v>
      </c>
      <c r="E50" s="32">
        <v>7</v>
      </c>
      <c r="F50" s="32">
        <v>0.88800000000000001</v>
      </c>
      <c r="G50" s="32"/>
      <c r="H50" s="32">
        <v>4550</v>
      </c>
      <c r="I50" s="32">
        <v>12</v>
      </c>
      <c r="J50" s="32" t="s">
        <v>2</v>
      </c>
      <c r="K50" s="32"/>
      <c r="L50" s="32"/>
      <c r="M50" s="32"/>
      <c r="N50" s="32"/>
      <c r="O50" s="32"/>
      <c r="P50" s="32"/>
      <c r="Q50" s="32"/>
      <c r="R50" s="32"/>
      <c r="S50" s="32">
        <v>570</v>
      </c>
      <c r="T50" s="32">
        <v>680</v>
      </c>
      <c r="U50" s="33">
        <v>30</v>
      </c>
    </row>
    <row r="51" spans="1:21" ht="15.75" x14ac:dyDescent="0.25">
      <c r="A51" s="31" t="s">
        <v>2695</v>
      </c>
      <c r="B51" s="32"/>
      <c r="C51" s="32" t="s">
        <v>2660</v>
      </c>
      <c r="D51" s="32" t="s">
        <v>2773</v>
      </c>
      <c r="E51" s="32">
        <v>7</v>
      </c>
      <c r="F51" s="32">
        <v>0.88800000000000001</v>
      </c>
      <c r="G51" s="32"/>
      <c r="H51" s="32">
        <v>4750</v>
      </c>
      <c r="I51" s="32">
        <v>12</v>
      </c>
      <c r="J51" s="32" t="s">
        <v>2</v>
      </c>
      <c r="K51" s="32"/>
      <c r="L51" s="32"/>
      <c r="M51" s="32"/>
      <c r="N51" s="32"/>
      <c r="O51" s="32"/>
      <c r="P51" s="32"/>
      <c r="Q51" s="32"/>
      <c r="R51" s="32"/>
      <c r="S51" s="32">
        <v>570</v>
      </c>
      <c r="T51" s="32">
        <v>680</v>
      </c>
      <c r="U51" s="33">
        <v>30</v>
      </c>
    </row>
    <row r="52" spans="1:21" ht="15.75" x14ac:dyDescent="0.25">
      <c r="A52" s="31" t="s">
        <v>2695</v>
      </c>
      <c r="B52" s="32"/>
      <c r="C52" s="32" t="s">
        <v>2660</v>
      </c>
      <c r="D52" s="32" t="s">
        <v>2774</v>
      </c>
      <c r="E52" s="32">
        <v>7</v>
      </c>
      <c r="F52" s="32">
        <v>0.88800000000000001</v>
      </c>
      <c r="G52" s="32"/>
      <c r="H52" s="32">
        <v>4550</v>
      </c>
      <c r="I52" s="32">
        <v>12</v>
      </c>
      <c r="J52" s="32" t="s">
        <v>2</v>
      </c>
      <c r="K52" s="32"/>
      <c r="L52" s="32"/>
      <c r="M52" s="32"/>
      <c r="N52" s="32"/>
      <c r="O52" s="32"/>
      <c r="P52" s="32"/>
      <c r="Q52" s="32"/>
      <c r="R52" s="32"/>
      <c r="S52" s="32">
        <v>570</v>
      </c>
      <c r="T52" s="32">
        <v>680</v>
      </c>
      <c r="U52" s="33">
        <v>30</v>
      </c>
    </row>
    <row r="53" spans="1:21" ht="15.75" x14ac:dyDescent="0.25">
      <c r="A53" s="31" t="s">
        <v>2695</v>
      </c>
      <c r="B53" s="32"/>
      <c r="C53" s="32" t="s">
        <v>2660</v>
      </c>
      <c r="D53" s="32" t="s">
        <v>2775</v>
      </c>
      <c r="E53" s="32">
        <v>13</v>
      </c>
      <c r="F53" s="32">
        <v>6.3129999999999997</v>
      </c>
      <c r="G53" s="32"/>
      <c r="H53" s="32">
        <v>3100</v>
      </c>
      <c r="I53" s="32">
        <v>32</v>
      </c>
      <c r="J53" s="32" t="s">
        <v>2</v>
      </c>
      <c r="K53" s="32"/>
      <c r="L53" s="32"/>
      <c r="M53" s="32"/>
      <c r="N53" s="32"/>
      <c r="O53" s="32"/>
      <c r="P53" s="32"/>
      <c r="Q53" s="32"/>
      <c r="R53" s="32"/>
      <c r="S53" s="32">
        <v>1510</v>
      </c>
      <c r="T53" s="32">
        <v>1810</v>
      </c>
      <c r="U53" s="33">
        <v>128</v>
      </c>
    </row>
    <row r="54" spans="1:21" ht="15.75" x14ac:dyDescent="0.25">
      <c r="A54" s="31" t="s">
        <v>2695</v>
      </c>
      <c r="B54" s="32"/>
      <c r="C54" s="32" t="s">
        <v>2660</v>
      </c>
      <c r="D54" s="32" t="s">
        <v>2776</v>
      </c>
      <c r="E54" s="32">
        <v>13</v>
      </c>
      <c r="F54" s="32">
        <v>3.8530000000000002</v>
      </c>
      <c r="G54" s="32"/>
      <c r="H54" s="32">
        <v>5100</v>
      </c>
      <c r="I54" s="32">
        <v>25</v>
      </c>
      <c r="J54" s="32" t="s">
        <v>2</v>
      </c>
      <c r="K54" s="32"/>
      <c r="L54" s="32"/>
      <c r="M54" s="32"/>
      <c r="N54" s="32"/>
      <c r="O54" s="32"/>
      <c r="P54" s="32"/>
      <c r="Q54" s="32"/>
      <c r="R54" s="32"/>
      <c r="S54" s="32">
        <v>1180</v>
      </c>
      <c r="T54" s="32">
        <v>1415</v>
      </c>
      <c r="U54" s="33">
        <v>100</v>
      </c>
    </row>
    <row r="55" spans="1:21" ht="15.75" x14ac:dyDescent="0.25">
      <c r="A55" s="31" t="s">
        <v>2695</v>
      </c>
      <c r="B55" s="32"/>
      <c r="C55" s="32" t="s">
        <v>2660</v>
      </c>
      <c r="D55" s="32" t="s">
        <v>2777</v>
      </c>
      <c r="E55" s="32">
        <v>13</v>
      </c>
      <c r="F55" s="32">
        <v>6.3129999999999997</v>
      </c>
      <c r="G55" s="32"/>
      <c r="H55" s="32">
        <v>3350</v>
      </c>
      <c r="I55" s="32">
        <v>32</v>
      </c>
      <c r="J55" s="32" t="s">
        <v>2</v>
      </c>
      <c r="K55" s="32"/>
      <c r="L55" s="32"/>
      <c r="M55" s="32"/>
      <c r="N55" s="32"/>
      <c r="O55" s="32"/>
      <c r="P55" s="32"/>
      <c r="Q55" s="32"/>
      <c r="R55" s="32"/>
      <c r="S55" s="32">
        <v>1510</v>
      </c>
      <c r="T55" s="32">
        <v>1810</v>
      </c>
      <c r="U55" s="33">
        <v>128</v>
      </c>
    </row>
    <row r="56" spans="1:21" ht="15.75" x14ac:dyDescent="0.25">
      <c r="A56" s="31" t="s">
        <v>2695</v>
      </c>
      <c r="B56" s="32"/>
      <c r="C56" s="32" t="s">
        <v>2660</v>
      </c>
      <c r="D56" s="32" t="s">
        <v>2778</v>
      </c>
      <c r="E56" s="32">
        <v>8</v>
      </c>
      <c r="F56" s="32">
        <v>0.88800000000000001</v>
      </c>
      <c r="G56" s="32" t="s">
        <v>20</v>
      </c>
      <c r="H56" s="32">
        <f>Арм_Длина_ПМ(29400,T56,11700)</f>
        <v>31440</v>
      </c>
      <c r="I56" s="32">
        <v>12</v>
      </c>
      <c r="J56" s="32" t="s">
        <v>2</v>
      </c>
      <c r="K56" s="32"/>
      <c r="L56" s="32"/>
      <c r="M56" s="32"/>
      <c r="N56" s="32"/>
      <c r="O56" s="32"/>
      <c r="P56" s="32"/>
      <c r="Q56" s="32"/>
      <c r="R56" s="32"/>
      <c r="S56" s="32">
        <v>570</v>
      </c>
      <c r="T56" s="32">
        <v>680</v>
      </c>
      <c r="U56" s="33">
        <v>30</v>
      </c>
    </row>
    <row r="57" spans="1:21" ht="15.75" x14ac:dyDescent="0.25">
      <c r="A57" s="31" t="s">
        <v>2695</v>
      </c>
      <c r="B57" s="32"/>
      <c r="C57" s="32" t="s">
        <v>2660</v>
      </c>
      <c r="D57" s="32" t="s">
        <v>2779</v>
      </c>
      <c r="E57" s="32">
        <v>7</v>
      </c>
      <c r="F57" s="32">
        <v>1.998</v>
      </c>
      <c r="G57" s="32" t="s">
        <v>20</v>
      </c>
      <c r="H57" s="32">
        <f>Арм_Длина_ПМ(20000,T57,11700)</f>
        <v>22040</v>
      </c>
      <c r="I57" s="32">
        <v>18</v>
      </c>
      <c r="J57" s="32" t="s">
        <v>2</v>
      </c>
      <c r="K57" s="32"/>
      <c r="L57" s="32"/>
      <c r="M57" s="32"/>
      <c r="N57" s="32"/>
      <c r="O57" s="32"/>
      <c r="P57" s="32"/>
      <c r="Q57" s="32"/>
      <c r="R57" s="32"/>
      <c r="S57" s="32">
        <v>850</v>
      </c>
      <c r="T57" s="32">
        <v>1020</v>
      </c>
      <c r="U57" s="33">
        <v>45</v>
      </c>
    </row>
    <row r="58" spans="1:21" ht="15.75" x14ac:dyDescent="0.25">
      <c r="A58" s="31" t="s">
        <v>2695</v>
      </c>
      <c r="B58" s="32"/>
      <c r="C58" s="32" t="s">
        <v>2660</v>
      </c>
      <c r="D58" s="32" t="s">
        <v>2780</v>
      </c>
      <c r="E58" s="32">
        <v>7</v>
      </c>
      <c r="F58" s="32">
        <v>0.88800000000000001</v>
      </c>
      <c r="G58" s="32"/>
      <c r="H58" s="32">
        <v>8400</v>
      </c>
      <c r="I58" s="32">
        <v>12</v>
      </c>
      <c r="J58" s="32" t="s">
        <v>2</v>
      </c>
      <c r="K58" s="32"/>
      <c r="L58" s="32"/>
      <c r="M58" s="32"/>
      <c r="N58" s="32"/>
      <c r="O58" s="32"/>
      <c r="P58" s="32"/>
      <c r="Q58" s="32"/>
      <c r="R58" s="32"/>
      <c r="S58" s="32">
        <v>570</v>
      </c>
      <c r="T58" s="32">
        <v>680</v>
      </c>
      <c r="U58" s="33">
        <v>30</v>
      </c>
    </row>
    <row r="59" spans="1:21" ht="15.75" x14ac:dyDescent="0.25">
      <c r="A59" s="31" t="s">
        <v>2695</v>
      </c>
      <c r="B59" s="32"/>
      <c r="C59" s="32" t="s">
        <v>2660</v>
      </c>
      <c r="D59" s="32" t="s">
        <v>2781</v>
      </c>
      <c r="E59" s="32">
        <v>7</v>
      </c>
      <c r="F59" s="32">
        <v>0.88800000000000001</v>
      </c>
      <c r="G59" s="32"/>
      <c r="H59" s="32">
        <v>3200</v>
      </c>
      <c r="I59" s="32">
        <v>12</v>
      </c>
      <c r="J59" s="32" t="s">
        <v>2</v>
      </c>
      <c r="K59" s="32"/>
      <c r="L59" s="32"/>
      <c r="M59" s="32"/>
      <c r="N59" s="32"/>
      <c r="O59" s="32"/>
      <c r="P59" s="32"/>
      <c r="Q59" s="32"/>
      <c r="R59" s="32"/>
      <c r="S59" s="32">
        <v>570</v>
      </c>
      <c r="T59" s="32">
        <v>680</v>
      </c>
      <c r="U59" s="33">
        <v>30</v>
      </c>
    </row>
    <row r="60" spans="1:21" ht="15.75" x14ac:dyDescent="0.25">
      <c r="A60" s="31" t="s">
        <v>2695</v>
      </c>
      <c r="B60" s="32"/>
      <c r="C60" s="32" t="s">
        <v>2660</v>
      </c>
      <c r="D60" s="32" t="s">
        <v>2782</v>
      </c>
      <c r="E60" s="32">
        <v>4</v>
      </c>
      <c r="F60" s="32">
        <v>0.88800000000000001</v>
      </c>
      <c r="G60" s="32" t="s">
        <v>20</v>
      </c>
      <c r="H60" s="32">
        <f>Арм_Длина_ПМ(29900,T60,11700)</f>
        <v>31940</v>
      </c>
      <c r="I60" s="32">
        <v>12</v>
      </c>
      <c r="J60" s="32" t="s">
        <v>2</v>
      </c>
      <c r="K60" s="32"/>
      <c r="L60" s="32"/>
      <c r="M60" s="32"/>
      <c r="N60" s="32"/>
      <c r="O60" s="32"/>
      <c r="P60" s="32"/>
      <c r="Q60" s="32"/>
      <c r="R60" s="32"/>
      <c r="S60" s="32">
        <v>570</v>
      </c>
      <c r="T60" s="32">
        <v>680</v>
      </c>
      <c r="U60" s="33">
        <v>30</v>
      </c>
    </row>
    <row r="61" spans="1:21" ht="15.75" x14ac:dyDescent="0.25">
      <c r="A61" s="31" t="s">
        <v>2695</v>
      </c>
      <c r="B61" s="32"/>
      <c r="C61" s="32" t="s">
        <v>2660</v>
      </c>
      <c r="D61" s="32" t="s">
        <v>2783</v>
      </c>
      <c r="E61" s="32">
        <v>4</v>
      </c>
      <c r="F61" s="32">
        <v>0.88800000000000001</v>
      </c>
      <c r="G61" s="32" t="s">
        <v>20</v>
      </c>
      <c r="H61" s="32">
        <f>Арм_Длина_ПМ(29900,T61,11700)</f>
        <v>31940</v>
      </c>
      <c r="I61" s="32">
        <v>12</v>
      </c>
      <c r="J61" s="32" t="s">
        <v>2</v>
      </c>
      <c r="K61" s="32"/>
      <c r="L61" s="32"/>
      <c r="M61" s="32"/>
      <c r="N61" s="32"/>
      <c r="O61" s="32"/>
      <c r="P61" s="32"/>
      <c r="Q61" s="32"/>
      <c r="R61" s="32"/>
      <c r="S61" s="32">
        <v>570</v>
      </c>
      <c r="T61" s="32">
        <v>680</v>
      </c>
      <c r="U61" s="33">
        <v>30</v>
      </c>
    </row>
    <row r="62" spans="1:21" ht="15.75" x14ac:dyDescent="0.25">
      <c r="A62" s="31" t="s">
        <v>2695</v>
      </c>
      <c r="B62" s="32"/>
      <c r="C62" s="32" t="s">
        <v>2660</v>
      </c>
      <c r="D62" s="32" t="s">
        <v>2784</v>
      </c>
      <c r="E62" s="32">
        <v>4</v>
      </c>
      <c r="F62" s="32">
        <v>1.998</v>
      </c>
      <c r="G62" s="32" t="s">
        <v>20</v>
      </c>
      <c r="H62" s="32">
        <f>Арм_Длина_ПМ(20000,T62,11700)</f>
        <v>22040</v>
      </c>
      <c r="I62" s="32">
        <v>18</v>
      </c>
      <c r="J62" s="32" t="s">
        <v>2</v>
      </c>
      <c r="K62" s="32"/>
      <c r="L62" s="32"/>
      <c r="M62" s="32"/>
      <c r="N62" s="32"/>
      <c r="O62" s="32"/>
      <c r="P62" s="32"/>
      <c r="Q62" s="32"/>
      <c r="R62" s="32"/>
      <c r="S62" s="32">
        <v>850</v>
      </c>
      <c r="T62" s="32">
        <v>1020</v>
      </c>
      <c r="U62" s="33">
        <v>45</v>
      </c>
    </row>
    <row r="63" spans="1:21" ht="15.75" x14ac:dyDescent="0.25">
      <c r="A63" s="31" t="s">
        <v>2695</v>
      </c>
      <c r="B63" s="32"/>
      <c r="C63" s="32" t="s">
        <v>2660</v>
      </c>
      <c r="D63" s="32" t="s">
        <v>2785</v>
      </c>
      <c r="E63" s="32">
        <v>4</v>
      </c>
      <c r="F63" s="32">
        <v>0.88800000000000001</v>
      </c>
      <c r="G63" s="32"/>
      <c r="H63" s="32">
        <v>8400</v>
      </c>
      <c r="I63" s="32">
        <v>12</v>
      </c>
      <c r="J63" s="32" t="s">
        <v>2</v>
      </c>
      <c r="K63" s="32"/>
      <c r="L63" s="32"/>
      <c r="M63" s="32"/>
      <c r="N63" s="32"/>
      <c r="O63" s="32"/>
      <c r="P63" s="32"/>
      <c r="Q63" s="32"/>
      <c r="R63" s="32"/>
      <c r="S63" s="32">
        <v>570</v>
      </c>
      <c r="T63" s="32">
        <v>680</v>
      </c>
      <c r="U63" s="33">
        <v>30</v>
      </c>
    </row>
    <row r="64" spans="1:21" ht="15.75" x14ac:dyDescent="0.25">
      <c r="A64" s="31" t="s">
        <v>2695</v>
      </c>
      <c r="B64" s="32"/>
      <c r="C64" s="32" t="s">
        <v>2660</v>
      </c>
      <c r="D64" s="32" t="s">
        <v>2786</v>
      </c>
      <c r="E64" s="32">
        <v>4</v>
      </c>
      <c r="F64" s="32">
        <v>0.88800000000000001</v>
      </c>
      <c r="G64" s="32"/>
      <c r="H64" s="32">
        <v>3200</v>
      </c>
      <c r="I64" s="32">
        <v>12</v>
      </c>
      <c r="J64" s="32" t="s">
        <v>2</v>
      </c>
      <c r="K64" s="32"/>
      <c r="L64" s="32"/>
      <c r="M64" s="32"/>
      <c r="N64" s="32"/>
      <c r="O64" s="32"/>
      <c r="P64" s="32"/>
      <c r="Q64" s="32"/>
      <c r="R64" s="32"/>
      <c r="S64" s="32">
        <v>570</v>
      </c>
      <c r="T64" s="32">
        <v>680</v>
      </c>
      <c r="U64" s="33">
        <v>30</v>
      </c>
    </row>
    <row r="65" spans="1:21" ht="15.75" x14ac:dyDescent="0.25">
      <c r="A65" s="31" t="s">
        <v>2695</v>
      </c>
      <c r="B65" s="32"/>
      <c r="C65" s="32" t="s">
        <v>2660</v>
      </c>
      <c r="D65" s="32" t="s">
        <v>2787</v>
      </c>
      <c r="E65" s="32">
        <v>4</v>
      </c>
      <c r="F65" s="32">
        <v>0.88800000000000001</v>
      </c>
      <c r="G65" s="32" t="s">
        <v>20</v>
      </c>
      <c r="H65" s="32">
        <f>Арм_Длина_ПМ(29900,T65,11700)</f>
        <v>31940</v>
      </c>
      <c r="I65" s="32">
        <v>12</v>
      </c>
      <c r="J65" s="32" t="s">
        <v>2</v>
      </c>
      <c r="K65" s="32"/>
      <c r="L65" s="32"/>
      <c r="M65" s="32"/>
      <c r="N65" s="32"/>
      <c r="O65" s="32"/>
      <c r="P65" s="32"/>
      <c r="Q65" s="32"/>
      <c r="R65" s="32"/>
      <c r="S65" s="32">
        <v>570</v>
      </c>
      <c r="T65" s="32">
        <v>680</v>
      </c>
      <c r="U65" s="33">
        <v>30</v>
      </c>
    </row>
    <row r="66" spans="1:21" ht="15.75" x14ac:dyDescent="0.25">
      <c r="A66" s="31" t="s">
        <v>2695</v>
      </c>
      <c r="B66" s="32"/>
      <c r="C66" s="32" t="s">
        <v>2660</v>
      </c>
      <c r="D66" s="32" t="s">
        <v>2788</v>
      </c>
      <c r="E66" s="32">
        <v>4</v>
      </c>
      <c r="F66" s="32">
        <v>0.88800000000000001</v>
      </c>
      <c r="G66" s="32" t="s">
        <v>20</v>
      </c>
      <c r="H66" s="32">
        <f>Арм_Длина_ПМ(29900,T66,11700)</f>
        <v>31940</v>
      </c>
      <c r="I66" s="32">
        <v>12</v>
      </c>
      <c r="J66" s="32" t="s">
        <v>2</v>
      </c>
      <c r="K66" s="32"/>
      <c r="L66" s="32"/>
      <c r="M66" s="32"/>
      <c r="N66" s="32"/>
      <c r="O66" s="32"/>
      <c r="P66" s="32"/>
      <c r="Q66" s="32"/>
      <c r="R66" s="32"/>
      <c r="S66" s="32">
        <v>570</v>
      </c>
      <c r="T66" s="32">
        <v>680</v>
      </c>
      <c r="U66" s="33">
        <v>30</v>
      </c>
    </row>
    <row r="67" spans="1:21" ht="15.75" x14ac:dyDescent="0.25">
      <c r="A67" s="31" t="s">
        <v>2695</v>
      </c>
      <c r="B67" s="32"/>
      <c r="C67" s="32" t="s">
        <v>2660</v>
      </c>
      <c r="D67" s="32" t="s">
        <v>2789</v>
      </c>
      <c r="E67" s="32">
        <v>6</v>
      </c>
      <c r="F67" s="32">
        <v>4.8339999999999996</v>
      </c>
      <c r="G67" s="32"/>
      <c r="H67" s="32">
        <v>5450</v>
      </c>
      <c r="I67" s="32">
        <v>28</v>
      </c>
      <c r="J67" s="32" t="s">
        <v>2</v>
      </c>
      <c r="K67" s="32"/>
      <c r="L67" s="32"/>
      <c r="M67" s="32"/>
      <c r="N67" s="32"/>
      <c r="O67" s="32"/>
      <c r="P67" s="32"/>
      <c r="Q67" s="32"/>
      <c r="R67" s="32"/>
      <c r="S67" s="32">
        <v>1320</v>
      </c>
      <c r="T67" s="32">
        <v>1585</v>
      </c>
      <c r="U67" s="33">
        <v>112</v>
      </c>
    </row>
    <row r="68" spans="1:21" ht="15.75" x14ac:dyDescent="0.25">
      <c r="A68" s="31" t="s">
        <v>2695</v>
      </c>
      <c r="B68" s="32"/>
      <c r="C68" s="32" t="s">
        <v>2660</v>
      </c>
      <c r="D68" s="32" t="s">
        <v>2790</v>
      </c>
      <c r="E68" s="32">
        <v>32</v>
      </c>
      <c r="F68" s="32">
        <v>1.998</v>
      </c>
      <c r="G68" s="32"/>
      <c r="H68" s="32">
        <v>1850</v>
      </c>
      <c r="I68" s="32">
        <v>18</v>
      </c>
      <c r="J68" s="32" t="s">
        <v>2</v>
      </c>
      <c r="K68" s="32"/>
      <c r="L68" s="32"/>
      <c r="M68" s="32"/>
      <c r="N68" s="32"/>
      <c r="O68" s="32"/>
      <c r="P68" s="32"/>
      <c r="Q68" s="32"/>
      <c r="R68" s="32"/>
      <c r="S68" s="32">
        <v>850</v>
      </c>
      <c r="T68" s="32">
        <v>1020</v>
      </c>
      <c r="U68" s="33">
        <v>45</v>
      </c>
    </row>
    <row r="69" spans="1:21" ht="15.75" x14ac:dyDescent="0.25">
      <c r="A69" s="31" t="s">
        <v>2695</v>
      </c>
      <c r="B69" s="32"/>
      <c r="C69" s="32" t="s">
        <v>2660</v>
      </c>
      <c r="D69" s="32" t="s">
        <v>2791</v>
      </c>
      <c r="E69" s="32">
        <v>34</v>
      </c>
      <c r="F69" s="32">
        <v>0.88800000000000001</v>
      </c>
      <c r="G69" s="32"/>
      <c r="H69" s="32">
        <v>5150</v>
      </c>
      <c r="I69" s="32">
        <v>12</v>
      </c>
      <c r="J69" s="32" t="s">
        <v>2</v>
      </c>
      <c r="K69" s="32"/>
      <c r="L69" s="32"/>
      <c r="M69" s="32"/>
      <c r="N69" s="32"/>
      <c r="O69" s="32"/>
      <c r="P69" s="32"/>
      <c r="Q69" s="32"/>
      <c r="R69" s="32"/>
      <c r="S69" s="32">
        <v>570</v>
      </c>
      <c r="T69" s="32">
        <v>680</v>
      </c>
      <c r="U69" s="33">
        <v>30</v>
      </c>
    </row>
    <row r="70" spans="1:21" ht="15.75" x14ac:dyDescent="0.25">
      <c r="A70" s="31" t="s">
        <v>2695</v>
      </c>
      <c r="B70" s="32"/>
      <c r="C70" s="32" t="s">
        <v>2660</v>
      </c>
      <c r="D70" s="32" t="s">
        <v>2792</v>
      </c>
      <c r="E70" s="32">
        <v>16</v>
      </c>
      <c r="F70" s="32">
        <v>0.88800000000000001</v>
      </c>
      <c r="G70" s="32"/>
      <c r="H70" s="32">
        <v>2050</v>
      </c>
      <c r="I70" s="32">
        <v>12</v>
      </c>
      <c r="J70" s="32" t="s">
        <v>2</v>
      </c>
      <c r="K70" s="32"/>
      <c r="L70" s="32"/>
      <c r="M70" s="32"/>
      <c r="N70" s="32"/>
      <c r="O70" s="32"/>
      <c r="P70" s="32"/>
      <c r="Q70" s="32"/>
      <c r="R70" s="32"/>
      <c r="S70" s="32">
        <v>570</v>
      </c>
      <c r="T70" s="32">
        <v>680</v>
      </c>
      <c r="U70" s="33">
        <v>30</v>
      </c>
    </row>
    <row r="71" spans="1:21" ht="15.75" x14ac:dyDescent="0.25">
      <c r="A71" s="31" t="s">
        <v>2695</v>
      </c>
      <c r="B71" s="32"/>
      <c r="C71" s="32" t="s">
        <v>2660</v>
      </c>
      <c r="D71" s="32" t="s">
        <v>2793</v>
      </c>
      <c r="E71" s="32">
        <v>6</v>
      </c>
      <c r="F71" s="32">
        <v>0.88800000000000001</v>
      </c>
      <c r="G71" s="32"/>
      <c r="H71" s="32">
        <v>4000</v>
      </c>
      <c r="I71" s="32">
        <v>12</v>
      </c>
      <c r="J71" s="32" t="s">
        <v>2</v>
      </c>
      <c r="K71" s="32"/>
      <c r="L71" s="32"/>
      <c r="M71" s="32"/>
      <c r="N71" s="32"/>
      <c r="O71" s="32"/>
      <c r="P71" s="32"/>
      <c r="Q71" s="32"/>
      <c r="R71" s="32"/>
      <c r="S71" s="32">
        <v>570</v>
      </c>
      <c r="T71" s="32">
        <v>680</v>
      </c>
      <c r="U71" s="33">
        <v>30</v>
      </c>
    </row>
    <row r="72" spans="1:21" ht="15.75" x14ac:dyDescent="0.25">
      <c r="A72" s="31" t="s">
        <v>2695</v>
      </c>
      <c r="B72" s="32"/>
      <c r="C72" s="32" t="s">
        <v>2660</v>
      </c>
      <c r="D72" s="32" t="s">
        <v>2794</v>
      </c>
      <c r="E72" s="32">
        <v>22</v>
      </c>
      <c r="F72" s="32">
        <v>0.88800000000000001</v>
      </c>
      <c r="G72" s="32"/>
      <c r="H72" s="32">
        <v>4650</v>
      </c>
      <c r="I72" s="32">
        <v>12</v>
      </c>
      <c r="J72" s="32" t="s">
        <v>2</v>
      </c>
      <c r="K72" s="32"/>
      <c r="L72" s="32"/>
      <c r="M72" s="32"/>
      <c r="N72" s="32"/>
      <c r="O72" s="32"/>
      <c r="P72" s="32"/>
      <c r="Q72" s="32"/>
      <c r="R72" s="32"/>
      <c r="S72" s="32">
        <v>570</v>
      </c>
      <c r="T72" s="32">
        <v>680</v>
      </c>
      <c r="U72" s="33">
        <v>30</v>
      </c>
    </row>
    <row r="73" spans="1:21" ht="15.75" x14ac:dyDescent="0.25">
      <c r="A73" s="31" t="s">
        <v>2695</v>
      </c>
      <c r="B73" s="32"/>
      <c r="C73" s="32" t="s">
        <v>2660</v>
      </c>
      <c r="D73" s="32" t="s">
        <v>2795</v>
      </c>
      <c r="E73" s="32">
        <v>27</v>
      </c>
      <c r="F73" s="32">
        <v>0.88800000000000001</v>
      </c>
      <c r="G73" s="32"/>
      <c r="H73" s="32">
        <v>3500</v>
      </c>
      <c r="I73" s="32">
        <v>12</v>
      </c>
      <c r="J73" s="32" t="s">
        <v>2</v>
      </c>
      <c r="K73" s="32"/>
      <c r="L73" s="32"/>
      <c r="M73" s="32"/>
      <c r="N73" s="32"/>
      <c r="O73" s="32"/>
      <c r="P73" s="32"/>
      <c r="Q73" s="32"/>
      <c r="R73" s="32"/>
      <c r="S73" s="32">
        <v>570</v>
      </c>
      <c r="T73" s="32">
        <v>680</v>
      </c>
      <c r="U73" s="33">
        <v>30</v>
      </c>
    </row>
    <row r="74" spans="1:21" ht="15.75" x14ac:dyDescent="0.25">
      <c r="A74" s="31" t="s">
        <v>2695</v>
      </c>
      <c r="B74" s="32"/>
      <c r="C74" s="32" t="s">
        <v>2660</v>
      </c>
      <c r="D74" s="32" t="s">
        <v>2796</v>
      </c>
      <c r="E74" s="32">
        <v>27</v>
      </c>
      <c r="F74" s="32">
        <v>0.88800000000000001</v>
      </c>
      <c r="G74" s="32"/>
      <c r="H74" s="32">
        <v>3500</v>
      </c>
      <c r="I74" s="32">
        <v>12</v>
      </c>
      <c r="J74" s="32" t="s">
        <v>2</v>
      </c>
      <c r="K74" s="32"/>
      <c r="L74" s="32"/>
      <c r="M74" s="32"/>
      <c r="N74" s="32"/>
      <c r="O74" s="32"/>
      <c r="P74" s="32"/>
      <c r="Q74" s="32"/>
      <c r="R74" s="32"/>
      <c r="S74" s="32">
        <v>570</v>
      </c>
      <c r="T74" s="32">
        <v>680</v>
      </c>
      <c r="U74" s="33">
        <v>30</v>
      </c>
    </row>
    <row r="75" spans="1:21" ht="15.75" x14ac:dyDescent="0.25">
      <c r="A75" s="31" t="s">
        <v>2695</v>
      </c>
      <c r="B75" s="32"/>
      <c r="C75" s="32" t="s">
        <v>2660</v>
      </c>
      <c r="D75" s="32" t="s">
        <v>2797</v>
      </c>
      <c r="E75" s="32">
        <v>32</v>
      </c>
      <c r="F75" s="32">
        <v>1.998</v>
      </c>
      <c r="G75" s="32"/>
      <c r="H75" s="32">
        <v>1850</v>
      </c>
      <c r="I75" s="32">
        <v>18</v>
      </c>
      <c r="J75" s="32" t="s">
        <v>2</v>
      </c>
      <c r="K75" s="32"/>
      <c r="L75" s="32"/>
      <c r="M75" s="32"/>
      <c r="N75" s="32"/>
      <c r="O75" s="32"/>
      <c r="P75" s="32"/>
      <c r="Q75" s="32"/>
      <c r="R75" s="32"/>
      <c r="S75" s="32">
        <v>850</v>
      </c>
      <c r="T75" s="32">
        <v>1020</v>
      </c>
      <c r="U75" s="33">
        <v>45</v>
      </c>
    </row>
    <row r="76" spans="1:21" ht="15.75" x14ac:dyDescent="0.25">
      <c r="A76" s="31" t="s">
        <v>2695</v>
      </c>
      <c r="B76" s="32"/>
      <c r="C76" s="32" t="s">
        <v>2660</v>
      </c>
      <c r="D76" s="32" t="s">
        <v>2798</v>
      </c>
      <c r="E76" s="32">
        <v>31</v>
      </c>
      <c r="F76" s="32">
        <v>0.88800000000000001</v>
      </c>
      <c r="G76" s="32"/>
      <c r="H76" s="32">
        <v>6950</v>
      </c>
      <c r="I76" s="32">
        <v>12</v>
      </c>
      <c r="J76" s="32" t="s">
        <v>2</v>
      </c>
      <c r="K76" s="32"/>
      <c r="L76" s="32"/>
      <c r="M76" s="32"/>
      <c r="N76" s="32"/>
      <c r="O76" s="32"/>
      <c r="P76" s="32"/>
      <c r="Q76" s="32"/>
      <c r="R76" s="32"/>
      <c r="S76" s="32">
        <v>570</v>
      </c>
      <c r="T76" s="32">
        <v>680</v>
      </c>
      <c r="U76" s="33">
        <v>30</v>
      </c>
    </row>
    <row r="77" spans="1:21" ht="15.75" x14ac:dyDescent="0.25">
      <c r="A77" s="31" t="s">
        <v>2695</v>
      </c>
      <c r="B77" s="32"/>
      <c r="C77" s="32" t="s">
        <v>2660</v>
      </c>
      <c r="D77" s="32" t="s">
        <v>2799</v>
      </c>
      <c r="E77" s="32">
        <v>33</v>
      </c>
      <c r="F77" s="32">
        <v>0.88800000000000001</v>
      </c>
      <c r="G77" s="32"/>
      <c r="H77" s="32">
        <v>6950</v>
      </c>
      <c r="I77" s="32">
        <v>12</v>
      </c>
      <c r="J77" s="32" t="s">
        <v>2</v>
      </c>
      <c r="K77" s="32"/>
      <c r="L77" s="32"/>
      <c r="M77" s="32"/>
      <c r="N77" s="32"/>
      <c r="O77" s="32"/>
      <c r="P77" s="32"/>
      <c r="Q77" s="32"/>
      <c r="R77" s="32"/>
      <c r="S77" s="32">
        <v>570</v>
      </c>
      <c r="T77" s="32">
        <v>680</v>
      </c>
      <c r="U77" s="33">
        <v>30</v>
      </c>
    </row>
    <row r="78" spans="1:21" ht="15.75" x14ac:dyDescent="0.25">
      <c r="A78" s="31" t="s">
        <v>2695</v>
      </c>
      <c r="B78" s="32"/>
      <c r="C78" s="32" t="s">
        <v>2660</v>
      </c>
      <c r="D78" s="32" t="s">
        <v>2800</v>
      </c>
      <c r="E78" s="32">
        <v>27</v>
      </c>
      <c r="F78" s="32">
        <v>0.88800000000000001</v>
      </c>
      <c r="G78" s="32"/>
      <c r="H78" s="32">
        <v>6400</v>
      </c>
      <c r="I78" s="32">
        <v>12</v>
      </c>
      <c r="J78" s="32" t="s">
        <v>2</v>
      </c>
      <c r="K78" s="32"/>
      <c r="L78" s="32"/>
      <c r="M78" s="32"/>
      <c r="N78" s="32"/>
      <c r="O78" s="32"/>
      <c r="P78" s="32"/>
      <c r="Q78" s="32"/>
      <c r="R78" s="32"/>
      <c r="S78" s="32">
        <v>570</v>
      </c>
      <c r="T78" s="32">
        <v>680</v>
      </c>
      <c r="U78" s="33">
        <v>30</v>
      </c>
    </row>
    <row r="79" spans="1:21" ht="15.75" x14ac:dyDescent="0.25">
      <c r="A79" s="31" t="s">
        <v>2695</v>
      </c>
      <c r="B79" s="32"/>
      <c r="C79" s="32" t="s">
        <v>2660</v>
      </c>
      <c r="D79" s="32" t="s">
        <v>2801</v>
      </c>
      <c r="E79" s="32">
        <v>32</v>
      </c>
      <c r="F79" s="32">
        <v>1.998</v>
      </c>
      <c r="G79" s="32"/>
      <c r="H79" s="32">
        <v>1850</v>
      </c>
      <c r="I79" s="32">
        <v>18</v>
      </c>
      <c r="J79" s="32" t="s">
        <v>2</v>
      </c>
      <c r="K79" s="32"/>
      <c r="L79" s="32"/>
      <c r="M79" s="32"/>
      <c r="N79" s="32"/>
      <c r="O79" s="32"/>
      <c r="P79" s="32"/>
      <c r="Q79" s="32"/>
      <c r="R79" s="32"/>
      <c r="S79" s="32">
        <v>850</v>
      </c>
      <c r="T79" s="32">
        <v>1020</v>
      </c>
      <c r="U79" s="33">
        <v>45</v>
      </c>
    </row>
    <row r="80" spans="1:21" ht="15.75" x14ac:dyDescent="0.25">
      <c r="A80" s="31" t="s">
        <v>2695</v>
      </c>
      <c r="B80" s="32"/>
      <c r="C80" s="32" t="s">
        <v>2660</v>
      </c>
      <c r="D80" s="32" t="s">
        <v>2802</v>
      </c>
      <c r="E80" s="32">
        <v>23</v>
      </c>
      <c r="F80" s="32">
        <v>0.88800000000000001</v>
      </c>
      <c r="G80" s="32"/>
      <c r="H80" s="32">
        <v>8900</v>
      </c>
      <c r="I80" s="32">
        <v>12</v>
      </c>
      <c r="J80" s="32" t="s">
        <v>2</v>
      </c>
      <c r="K80" s="32"/>
      <c r="L80" s="32"/>
      <c r="M80" s="32"/>
      <c r="N80" s="32"/>
      <c r="O80" s="32"/>
      <c r="P80" s="32"/>
      <c r="Q80" s="32"/>
      <c r="R80" s="32"/>
      <c r="S80" s="32">
        <v>570</v>
      </c>
      <c r="T80" s="32">
        <v>680</v>
      </c>
      <c r="U80" s="33">
        <v>30</v>
      </c>
    </row>
    <row r="81" spans="1:21" ht="15.75" x14ac:dyDescent="0.25">
      <c r="A81" s="31" t="s">
        <v>2695</v>
      </c>
      <c r="B81" s="32"/>
      <c r="C81" s="32" t="s">
        <v>2660</v>
      </c>
      <c r="D81" s="32" t="s">
        <v>2803</v>
      </c>
      <c r="E81" s="32">
        <v>74</v>
      </c>
      <c r="F81" s="32">
        <v>0.88800000000000001</v>
      </c>
      <c r="G81" s="32" t="s">
        <v>20</v>
      </c>
      <c r="H81" s="32">
        <f>Арм_Длина_ПМ(31500,T81,11700)</f>
        <v>33540</v>
      </c>
      <c r="I81" s="32">
        <v>12</v>
      </c>
      <c r="J81" s="32" t="s">
        <v>2</v>
      </c>
      <c r="K81" s="32"/>
      <c r="L81" s="32"/>
      <c r="M81" s="32"/>
      <c r="N81" s="32"/>
      <c r="O81" s="32"/>
      <c r="P81" s="32"/>
      <c r="Q81" s="32"/>
      <c r="R81" s="32"/>
      <c r="S81" s="32">
        <v>570</v>
      </c>
      <c r="T81" s="32">
        <v>680</v>
      </c>
      <c r="U81" s="33">
        <v>30</v>
      </c>
    </row>
    <row r="82" spans="1:21" ht="15.75" x14ac:dyDescent="0.25">
      <c r="A82" s="31" t="s">
        <v>2695</v>
      </c>
      <c r="B82" s="32"/>
      <c r="C82" s="32" t="s">
        <v>2660</v>
      </c>
      <c r="D82" s="32" t="s">
        <v>2804</v>
      </c>
      <c r="E82" s="32">
        <v>10</v>
      </c>
      <c r="F82" s="32">
        <v>0.88800000000000001</v>
      </c>
      <c r="G82" s="32" t="s">
        <v>20</v>
      </c>
      <c r="H82" s="32">
        <f>Арм_Длина_ПМ(18950,T82,11700)</f>
        <v>20310</v>
      </c>
      <c r="I82" s="32">
        <v>12</v>
      </c>
      <c r="J82" s="32" t="s">
        <v>2</v>
      </c>
      <c r="K82" s="32"/>
      <c r="L82" s="32"/>
      <c r="M82" s="32"/>
      <c r="N82" s="32"/>
      <c r="O82" s="32"/>
      <c r="P82" s="32"/>
      <c r="Q82" s="32"/>
      <c r="R82" s="32"/>
      <c r="S82" s="32">
        <v>570</v>
      </c>
      <c r="T82" s="32">
        <v>680</v>
      </c>
      <c r="U82" s="33">
        <v>30</v>
      </c>
    </row>
    <row r="83" spans="1:21" ht="15.75" x14ac:dyDescent="0.25">
      <c r="A83" s="31" t="s">
        <v>2695</v>
      </c>
      <c r="B83" s="32"/>
      <c r="C83" s="32" t="s">
        <v>2660</v>
      </c>
      <c r="D83" s="32" t="s">
        <v>2805</v>
      </c>
      <c r="E83" s="32">
        <v>17</v>
      </c>
      <c r="F83" s="32">
        <v>0.88800000000000001</v>
      </c>
      <c r="G83" s="32" t="s">
        <v>20</v>
      </c>
      <c r="H83" s="32">
        <f>Арм_Длина_ПМ(26800,T83,11700)</f>
        <v>28840</v>
      </c>
      <c r="I83" s="32">
        <v>12</v>
      </c>
      <c r="J83" s="32" t="s">
        <v>2</v>
      </c>
      <c r="K83" s="32"/>
      <c r="L83" s="32"/>
      <c r="M83" s="32"/>
      <c r="N83" s="32"/>
      <c r="O83" s="32"/>
      <c r="P83" s="32"/>
      <c r="Q83" s="32"/>
      <c r="R83" s="32"/>
      <c r="S83" s="32">
        <v>570</v>
      </c>
      <c r="T83" s="32">
        <v>680</v>
      </c>
      <c r="U83" s="33">
        <v>30</v>
      </c>
    </row>
    <row r="84" spans="1:21" ht="15.75" x14ac:dyDescent="0.25">
      <c r="A84" s="31" t="s">
        <v>2695</v>
      </c>
      <c r="B84" s="32"/>
      <c r="C84" s="32" t="s">
        <v>2660</v>
      </c>
      <c r="D84" s="32" t="s">
        <v>2806</v>
      </c>
      <c r="E84" s="32">
        <v>17</v>
      </c>
      <c r="F84" s="32">
        <v>0.88800000000000001</v>
      </c>
      <c r="G84" s="32" t="s">
        <v>20</v>
      </c>
      <c r="H84" s="32">
        <f>Арм_Длина_ПМ(26800,T84,11700)</f>
        <v>28840</v>
      </c>
      <c r="I84" s="32">
        <v>12</v>
      </c>
      <c r="J84" s="32" t="s">
        <v>2</v>
      </c>
      <c r="K84" s="32"/>
      <c r="L84" s="32"/>
      <c r="M84" s="32"/>
      <c r="N84" s="32"/>
      <c r="O84" s="32"/>
      <c r="P84" s="32"/>
      <c r="Q84" s="32"/>
      <c r="R84" s="32"/>
      <c r="S84" s="32">
        <v>570</v>
      </c>
      <c r="T84" s="32">
        <v>680</v>
      </c>
      <c r="U84" s="33">
        <v>30</v>
      </c>
    </row>
    <row r="85" spans="1:21" ht="15.75" x14ac:dyDescent="0.25">
      <c r="A85" s="31" t="s">
        <v>2695</v>
      </c>
      <c r="B85" s="32"/>
      <c r="C85" s="32" t="s">
        <v>2660</v>
      </c>
      <c r="D85" s="32" t="s">
        <v>2807</v>
      </c>
      <c r="E85" s="32">
        <v>13</v>
      </c>
      <c r="F85" s="32">
        <v>3.8530000000000002</v>
      </c>
      <c r="G85" s="32"/>
      <c r="H85" s="32">
        <v>2500</v>
      </c>
      <c r="I85" s="32">
        <v>25</v>
      </c>
      <c r="J85" s="32" t="s">
        <v>2</v>
      </c>
      <c r="K85" s="32"/>
      <c r="L85" s="32"/>
      <c r="M85" s="32"/>
      <c r="N85" s="32"/>
      <c r="O85" s="32"/>
      <c r="P85" s="32"/>
      <c r="Q85" s="32"/>
      <c r="R85" s="32"/>
      <c r="S85" s="32">
        <v>1180</v>
      </c>
      <c r="T85" s="32">
        <v>1415</v>
      </c>
      <c r="U85" s="33">
        <v>100</v>
      </c>
    </row>
    <row r="86" spans="1:21" ht="15.75" x14ac:dyDescent="0.25">
      <c r="A86" s="31" t="s">
        <v>2695</v>
      </c>
      <c r="B86" s="32"/>
      <c r="C86" s="32" t="s">
        <v>2660</v>
      </c>
      <c r="D86" s="32" t="s">
        <v>2808</v>
      </c>
      <c r="E86" s="32">
        <v>5</v>
      </c>
      <c r="F86" s="32">
        <v>0.88800000000000001</v>
      </c>
      <c r="G86" s="32"/>
      <c r="H86" s="32">
        <v>3800</v>
      </c>
      <c r="I86" s="32">
        <v>12</v>
      </c>
      <c r="J86" s="32" t="s">
        <v>2</v>
      </c>
      <c r="K86" s="32"/>
      <c r="L86" s="32"/>
      <c r="M86" s="32"/>
      <c r="N86" s="32"/>
      <c r="O86" s="32"/>
      <c r="P86" s="32"/>
      <c r="Q86" s="32"/>
      <c r="R86" s="32"/>
      <c r="S86" s="32">
        <v>570</v>
      </c>
      <c r="T86" s="32">
        <v>680</v>
      </c>
      <c r="U86" s="33">
        <v>30</v>
      </c>
    </row>
    <row r="87" spans="1:21" ht="15.75" x14ac:dyDescent="0.25">
      <c r="A87" s="31" t="s">
        <v>2695</v>
      </c>
      <c r="B87" s="32"/>
      <c r="C87" s="32" t="s">
        <v>2660</v>
      </c>
      <c r="D87" s="32" t="s">
        <v>2809</v>
      </c>
      <c r="E87" s="32">
        <v>13</v>
      </c>
      <c r="F87" s="32">
        <v>3.8530000000000002</v>
      </c>
      <c r="G87" s="32"/>
      <c r="H87" s="32">
        <v>2500</v>
      </c>
      <c r="I87" s="32">
        <v>25</v>
      </c>
      <c r="J87" s="32" t="s">
        <v>2</v>
      </c>
      <c r="K87" s="32"/>
      <c r="L87" s="32"/>
      <c r="M87" s="32"/>
      <c r="N87" s="32"/>
      <c r="O87" s="32"/>
      <c r="P87" s="32"/>
      <c r="Q87" s="32"/>
      <c r="R87" s="32"/>
      <c r="S87" s="32">
        <v>1180</v>
      </c>
      <c r="T87" s="32">
        <v>1415</v>
      </c>
      <c r="U87" s="33">
        <v>100</v>
      </c>
    </row>
    <row r="88" spans="1:21" ht="15.75" x14ac:dyDescent="0.25">
      <c r="A88" s="31" t="s">
        <v>2695</v>
      </c>
      <c r="B88" s="32"/>
      <c r="C88" s="32" t="s">
        <v>2660</v>
      </c>
      <c r="D88" s="32" t="s">
        <v>2810</v>
      </c>
      <c r="E88" s="32">
        <v>4</v>
      </c>
      <c r="F88" s="32">
        <v>0.88800000000000001</v>
      </c>
      <c r="G88" s="32"/>
      <c r="H88" s="32">
        <v>3550</v>
      </c>
      <c r="I88" s="32">
        <v>12</v>
      </c>
      <c r="J88" s="32" t="s">
        <v>2</v>
      </c>
      <c r="K88" s="32"/>
      <c r="L88" s="32"/>
      <c r="M88" s="32"/>
      <c r="N88" s="32"/>
      <c r="O88" s="32"/>
      <c r="P88" s="32"/>
      <c r="Q88" s="32"/>
      <c r="R88" s="32"/>
      <c r="S88" s="32">
        <v>570</v>
      </c>
      <c r="T88" s="32">
        <v>680</v>
      </c>
      <c r="U88" s="33">
        <v>30</v>
      </c>
    </row>
    <row r="89" spans="1:21" ht="15.75" x14ac:dyDescent="0.25">
      <c r="A89" s="31" t="s">
        <v>2695</v>
      </c>
      <c r="B89" s="32"/>
      <c r="C89" s="32" t="s">
        <v>2660</v>
      </c>
      <c r="D89" s="32" t="s">
        <v>2811</v>
      </c>
      <c r="E89" s="32">
        <v>10</v>
      </c>
      <c r="F89" s="32">
        <v>0.88800000000000001</v>
      </c>
      <c r="G89" s="32" t="s">
        <v>20</v>
      </c>
      <c r="H89" s="32">
        <f>Арм_Длина_ПМ(18950,T89,11700)</f>
        <v>20310</v>
      </c>
      <c r="I89" s="32">
        <v>12</v>
      </c>
      <c r="J89" s="32" t="s">
        <v>2</v>
      </c>
      <c r="K89" s="32"/>
      <c r="L89" s="32"/>
      <c r="M89" s="32"/>
      <c r="N89" s="32"/>
      <c r="O89" s="32"/>
      <c r="P89" s="32"/>
      <c r="Q89" s="32"/>
      <c r="R89" s="32"/>
      <c r="S89" s="32">
        <v>570</v>
      </c>
      <c r="T89" s="32">
        <v>680</v>
      </c>
      <c r="U89" s="33">
        <v>30</v>
      </c>
    </row>
    <row r="90" spans="1:21" ht="32.25" thickBot="1" x14ac:dyDescent="0.3">
      <c r="A90" s="34" t="s">
        <v>2663</v>
      </c>
      <c r="B90" s="12" t="s">
        <v>2663</v>
      </c>
      <c r="C90" s="12" t="s">
        <v>2744</v>
      </c>
      <c r="D90" s="12" t="s">
        <v>2745</v>
      </c>
      <c r="E90" s="12"/>
      <c r="F90" s="12"/>
      <c r="G90" s="12"/>
      <c r="H90" s="12"/>
      <c r="I90" s="12"/>
      <c r="J90" s="12"/>
      <c r="K90" s="12"/>
      <c r="L90" s="12"/>
      <c r="M90" s="12"/>
      <c r="N90" s="12"/>
      <c r="O90" s="12"/>
      <c r="P90" s="12"/>
      <c r="Q90" s="12"/>
      <c r="R90" s="12"/>
      <c r="S90" s="12"/>
      <c r="T90" s="12"/>
      <c r="U90" s="35"/>
    </row>
  </sheetData>
  <mergeCells count="11">
    <mergeCell ref="G1:G2"/>
    <mergeCell ref="H1:J1"/>
    <mergeCell ref="K1:Q1"/>
    <mergeCell ref="R1:R2"/>
    <mergeCell ref="S1:U1"/>
    <mergeCell ref="F1:F2"/>
    <mergeCell ref="A1:A2"/>
    <mergeCell ref="B1:B2"/>
    <mergeCell ref="C1:C2"/>
    <mergeCell ref="D1:D2"/>
    <mergeCell ref="E1:E2"/>
  </mergeCells>
  <conditionalFormatting sqref="A1:H1 A3:U90 H2:Q2 K1 R1:S1 S2:U2">
    <cfRule type="containsText" dxfId="17" priority="11" stopIfTrue="1" operator="containsText" text="шт.)">
      <formula>NOT(ISERROR(SEARCH("шт.)",A1)))</formula>
    </cfRule>
    <cfRule type="containsText" dxfId="16" priority="10" stopIfTrue="1" operator="containsText" text=", на ">
      <formula>NOT(ISERROR(SEARCH(", на ",A1)))</formula>
    </cfRule>
    <cfRule type="containsText" dxfId="15" priority="9" stopIfTrue="1" operator="containsText" text="Элементы на отм.">
      <formula>NOT(ISERROR(SEARCH("Элементы на отм.",A1)))</formula>
    </cfRule>
    <cfRule type="containsText" dxfId="14" priority="8" stopIfTrue="1" operator="containsText" text=" Материалы ">
      <formula>NOT(ISERROR(SEARCH(" Материалы ",A1)))</formula>
    </cfRule>
    <cfRule type="containsText" dxfId="13" priority="7" stopIfTrue="1" operator="containsText" text=" Сборочные единицы ">
      <formula>NOT(ISERROR(SEARCH(" Сборочные единицы ",A1)))</formula>
    </cfRule>
    <cfRule type="containsText" dxfId="12" priority="6" stopIfTrue="1" operator="containsText" text=" Прокат ">
      <formula>NOT(ISERROR(SEARCH(" Прокат ",A1)))</formula>
    </cfRule>
    <cfRule type="containsText" dxfId="11" priority="5" stopIfTrue="1" operator="containsText" text=" Изделия ">
      <formula>NOT(ISERROR(SEARCH(" Изделия ",A1)))</formula>
    </cfRule>
    <cfRule type="containsText" dxfId="10" priority="4" stopIfTrue="1" operator="containsText" text="!!!">
      <formula>NOT(ISERROR(SEARCH("!!!",A1)))</formula>
    </cfRule>
    <cfRule type="containsText" dxfId="9" priority="3" stopIfTrue="1" operator="containsText" text="ИЗ ФАЙЛА">
      <formula>NOT(ISERROR(SEARCH("ИЗ ФАЙЛА",A1)))</formula>
    </cfRule>
    <cfRule type="containsText" dxfId="8" priority="2" stopIfTrue="1" operator="containsText" text="С ЛИСТА">
      <formula>NOT(ISERROR(SEARCH("С ЛИСТА",A1)))</formula>
    </cfRule>
  </conditionalFormatting>
  <conditionalFormatting sqref="A1:U1048576">
    <cfRule type="expression" dxfId="7" priority="1">
      <formula>ISERROR(A1)</formula>
    </cfRule>
  </conditionalFormatting>
  <pageMargins left="0.7" right="0.7" top="0.75" bottom="0.75" header="0.3" footer="0.3"/>
  <pageSetup paperSize="9" orientation="portrait" horizontalDpi="300" verticalDpi="300" r:id="rId1"/>
  <extLst>
    <ext xmlns:x14="http://schemas.microsoft.com/office/spreadsheetml/2009/9/main" uri="{CCE6A557-97BC-4b89-ADB6-D9C93CAAB3DF}">
      <x14:dataValidations xmlns:xm="http://schemas.microsoft.com/office/excel/2006/main" count="74">
        <x14:dataValidation type="list" errorStyle="warning" allowBlank="1" showInputMessage="1" showErrorMessage="1">
          <x14:formula1>
            <xm:f>'!System'!$AU$1:$AU$6</xm:f>
          </x14:formula1>
          <xm:sqref>G3:G90</xm:sqref>
        </x14:dataValidation>
        <x14:dataValidation type="list" allowBlank="1" showInputMessage="1" showErrorMessage="1">
          <x14:formula1>
            <xm:f>'!System'!$AA$1:$AI$1</xm:f>
          </x14:formula1>
          <xm:sqref>J3:J90</xm:sqref>
        </x14:dataValidation>
        <x14:dataValidation type="list" allowBlank="1" showInputMessage="1" showErrorMessage="1">
          <x14:formula1>
            <xm:f>'!System'!$A$1:$Y$1</xm:f>
          </x14:formula1>
          <xm:sqref>L3:L90</xm:sqref>
        </x14:dataValidation>
        <x14:dataValidation type="list" allowBlank="1" showInputMessage="1" showErrorMessage="1">
          <x14:formula1>
            <xm:f>'!System'!$AJ$1:$AT$1</xm:f>
          </x14:formula1>
          <xm:sqref>O3:O90</xm:sqref>
        </x14:dataValidation>
        <x14:dataValidation type="list" allowBlank="1" showInputMessage="1" showErrorMessage="1">
          <x14:formula1>
            <xm:f>'!System'!$AV$1:$AV$5</xm:f>
          </x14:formula1>
          <xm:sqref>P3:P90</xm:sqref>
        </x14:dataValidation>
        <x14:dataValidation type="list" allowBlank="1" showInputMessage="1" showErrorMessage="1">
          <x14:formula1>
            <xm:f>'!System'!$AA$2:$AA$17</xm:f>
          </x14:formula1>
          <xm:sqref>I12</xm:sqref>
        </x14:dataValidation>
        <x14:dataValidation type="list" allowBlank="1" showInputMessage="1" showErrorMessage="1">
          <x14:formula1>
            <xm:f>'!System'!$AA$2:$AA$17</xm:f>
          </x14:formula1>
          <xm:sqref>I13</xm:sqref>
        </x14:dataValidation>
        <x14:dataValidation type="list" allowBlank="1" showInputMessage="1" showErrorMessage="1">
          <x14:formula1>
            <xm:f>'!System'!$AA$2:$AA$17</xm:f>
          </x14:formula1>
          <xm:sqref>I14</xm:sqref>
        </x14:dataValidation>
        <x14:dataValidation type="list" allowBlank="1" showInputMessage="1" showErrorMessage="1">
          <x14:formula1>
            <xm:f>'!System'!$AA$2:$AA$17</xm:f>
          </x14:formula1>
          <xm:sqref>I15</xm:sqref>
        </x14:dataValidation>
        <x14:dataValidation type="list" allowBlank="1" showInputMessage="1" showErrorMessage="1">
          <x14:formula1>
            <xm:f>'!System'!$AA$2:$AA$17</xm:f>
          </x14:formula1>
          <xm:sqref>I17</xm:sqref>
        </x14:dataValidation>
        <x14:dataValidation type="list" allowBlank="1" showInputMessage="1" showErrorMessage="1">
          <x14:formula1>
            <xm:f>'!System'!$AA$2:$AA$17</xm:f>
          </x14:formula1>
          <xm:sqref>I26</xm:sqref>
        </x14:dataValidation>
        <x14:dataValidation type="list" allowBlank="1" showInputMessage="1" showErrorMessage="1">
          <x14:formula1>
            <xm:f>'!System'!$AA$2:$AA$17</xm:f>
          </x14:formula1>
          <xm:sqref>I27</xm:sqref>
        </x14:dataValidation>
        <x14:dataValidation type="list" allowBlank="1" showInputMessage="1" showErrorMessage="1">
          <x14:formula1>
            <xm:f>'!System'!$AA$2:$AA$17</xm:f>
          </x14:formula1>
          <xm:sqref>I28</xm:sqref>
        </x14:dataValidation>
        <x14:dataValidation type="list" allowBlank="1" showInputMessage="1" showErrorMessage="1">
          <x14:formula1>
            <xm:f>'!System'!$AA$2:$AA$17</xm:f>
          </x14:formula1>
          <xm:sqref>I29</xm:sqref>
        </x14:dataValidation>
        <x14:dataValidation type="list" allowBlank="1" showInputMessage="1" showErrorMessage="1">
          <x14:formula1>
            <xm:f>'!System'!$AA$2:$AA$17</xm:f>
          </x14:formula1>
          <xm:sqref>I30</xm:sqref>
        </x14:dataValidation>
        <x14:dataValidation type="list" allowBlank="1" showInputMessage="1" showErrorMessage="1">
          <x14:formula1>
            <xm:f>'!System'!$AA$2:$AA$17</xm:f>
          </x14:formula1>
          <xm:sqref>I31</xm:sqref>
        </x14:dataValidation>
        <x14:dataValidation type="list" allowBlank="1" showInputMessage="1" showErrorMessage="1">
          <x14:formula1>
            <xm:f>'!System'!$AA$2:$AA$17</xm:f>
          </x14:formula1>
          <xm:sqref>I32</xm:sqref>
        </x14:dataValidation>
        <x14:dataValidation type="list" allowBlank="1" showInputMessage="1" showErrorMessage="1">
          <x14:formula1>
            <xm:f>'!System'!$AA$2:$AA$17</xm:f>
          </x14:formula1>
          <xm:sqref>I33</xm:sqref>
        </x14:dataValidation>
        <x14:dataValidation type="list" allowBlank="1" showInputMessage="1" showErrorMessage="1">
          <x14:formula1>
            <xm:f>'!System'!$AA$2:$AA$17</xm:f>
          </x14:formula1>
          <xm:sqref>I34</xm:sqref>
        </x14:dataValidation>
        <x14:dataValidation type="list" allowBlank="1" showInputMessage="1" showErrorMessage="1">
          <x14:formula1>
            <xm:f>'!System'!$AA$2:$AA$17</xm:f>
          </x14:formula1>
          <xm:sqref>I35</xm:sqref>
        </x14:dataValidation>
        <x14:dataValidation type="list" allowBlank="1" showInputMessage="1" showErrorMessage="1">
          <x14:formula1>
            <xm:f>'!System'!$AA$2:$AA$17</xm:f>
          </x14:formula1>
          <xm:sqref>I36</xm:sqref>
        </x14:dataValidation>
        <x14:dataValidation type="list" allowBlank="1" showInputMessage="1" showErrorMessage="1">
          <x14:formula1>
            <xm:f>'!System'!$AA$2:$AA$17</xm:f>
          </x14:formula1>
          <xm:sqref>I37</xm:sqref>
        </x14:dataValidation>
        <x14:dataValidation type="list" allowBlank="1" showInputMessage="1" showErrorMessage="1">
          <x14:formula1>
            <xm:f>'!System'!$AA$2:$AA$17</xm:f>
          </x14:formula1>
          <xm:sqref>I38</xm:sqref>
        </x14:dataValidation>
        <x14:dataValidation type="list" allowBlank="1" showInputMessage="1" showErrorMessage="1">
          <x14:formula1>
            <xm:f>'!System'!$AA$2:$AA$17</xm:f>
          </x14:formula1>
          <xm:sqref>I39</xm:sqref>
        </x14:dataValidation>
        <x14:dataValidation type="list" allowBlank="1" showInputMessage="1" showErrorMessage="1">
          <x14:formula1>
            <xm:f>'!System'!$AA$2:$AA$17</xm:f>
          </x14:formula1>
          <xm:sqref>I40</xm:sqref>
        </x14:dataValidation>
        <x14:dataValidation type="list" allowBlank="1" showInputMessage="1" showErrorMessage="1">
          <x14:formula1>
            <xm:f>'!System'!$AA$2:$AA$17</xm:f>
          </x14:formula1>
          <xm:sqref>I41</xm:sqref>
        </x14:dataValidation>
        <x14:dataValidation type="list" allowBlank="1" showInputMessage="1" showErrorMessage="1">
          <x14:formula1>
            <xm:f>'!System'!$AA$2:$AA$17</xm:f>
          </x14:formula1>
          <xm:sqref>I42</xm:sqref>
        </x14:dataValidation>
        <x14:dataValidation type="list" allowBlank="1" showInputMessage="1" showErrorMessage="1">
          <x14:formula1>
            <xm:f>'!System'!$AA$2:$AA$17</xm:f>
          </x14:formula1>
          <xm:sqref>I43</xm:sqref>
        </x14:dataValidation>
        <x14:dataValidation type="list" allowBlank="1" showInputMessage="1" showErrorMessage="1">
          <x14:formula1>
            <xm:f>'!System'!$AA$2:$AA$17</xm:f>
          </x14:formula1>
          <xm:sqref>I44</xm:sqref>
        </x14:dataValidation>
        <x14:dataValidation type="list" allowBlank="1" showInputMessage="1" showErrorMessage="1">
          <x14:formula1>
            <xm:f>'!System'!$AA$2:$AA$17</xm:f>
          </x14:formula1>
          <xm:sqref>I45</xm:sqref>
        </x14:dataValidation>
        <x14:dataValidation type="list" allowBlank="1" showInputMessage="1" showErrorMessage="1">
          <x14:formula1>
            <xm:f>'!System'!$AA$2:$AA$17</xm:f>
          </x14:formula1>
          <xm:sqref>I46</xm:sqref>
        </x14:dataValidation>
        <x14:dataValidation type="list" allowBlank="1" showInputMessage="1" showErrorMessage="1">
          <x14:formula1>
            <xm:f>'!System'!$AA$2:$AA$17</xm:f>
          </x14:formula1>
          <xm:sqref>I47</xm:sqref>
        </x14:dataValidation>
        <x14:dataValidation type="list" allowBlank="1" showInputMessage="1" showErrorMessage="1">
          <x14:formula1>
            <xm:f>'!System'!$AA$2:$AA$17</xm:f>
          </x14:formula1>
          <xm:sqref>I48</xm:sqref>
        </x14:dataValidation>
        <x14:dataValidation type="list" allowBlank="1" showInputMessage="1" showErrorMessage="1">
          <x14:formula1>
            <xm:f>'!System'!$AA$2:$AA$17</xm:f>
          </x14:formula1>
          <xm:sqref>I49</xm:sqref>
        </x14:dataValidation>
        <x14:dataValidation type="list" allowBlank="1" showInputMessage="1" showErrorMessage="1">
          <x14:formula1>
            <xm:f>'!System'!$AA$2:$AA$17</xm:f>
          </x14:formula1>
          <xm:sqref>I50</xm:sqref>
        </x14:dataValidation>
        <x14:dataValidation type="list" allowBlank="1" showInputMessage="1" showErrorMessage="1">
          <x14:formula1>
            <xm:f>'!System'!$AA$2:$AA$17</xm:f>
          </x14:formula1>
          <xm:sqref>I51</xm:sqref>
        </x14:dataValidation>
        <x14:dataValidation type="list" allowBlank="1" showInputMessage="1" showErrorMessage="1">
          <x14:formula1>
            <xm:f>'!System'!$AA$2:$AA$17</xm:f>
          </x14:formula1>
          <xm:sqref>I52</xm:sqref>
        </x14:dataValidation>
        <x14:dataValidation type="list" allowBlank="1" showInputMessage="1" showErrorMessage="1">
          <x14:formula1>
            <xm:f>'!System'!$AA$2:$AA$17</xm:f>
          </x14:formula1>
          <xm:sqref>I53</xm:sqref>
        </x14:dataValidation>
        <x14:dataValidation type="list" allowBlank="1" showInputMessage="1" showErrorMessage="1">
          <x14:formula1>
            <xm:f>'!System'!$AA$2:$AA$17</xm:f>
          </x14:formula1>
          <xm:sqref>I54</xm:sqref>
        </x14:dataValidation>
        <x14:dataValidation type="list" allowBlank="1" showInputMessage="1" showErrorMessage="1">
          <x14:formula1>
            <xm:f>'!System'!$AA$2:$AA$17</xm:f>
          </x14:formula1>
          <xm:sqref>I55</xm:sqref>
        </x14:dataValidation>
        <x14:dataValidation type="list" allowBlank="1" showInputMessage="1" showErrorMessage="1">
          <x14:formula1>
            <xm:f>'!System'!$AA$2:$AA$17</xm:f>
          </x14:formula1>
          <xm:sqref>I56</xm:sqref>
        </x14:dataValidation>
        <x14:dataValidation type="list" allowBlank="1" showInputMessage="1" showErrorMessage="1">
          <x14:formula1>
            <xm:f>'!System'!$AA$2:$AA$17</xm:f>
          </x14:formula1>
          <xm:sqref>I57</xm:sqref>
        </x14:dataValidation>
        <x14:dataValidation type="list" allowBlank="1" showInputMessage="1" showErrorMessage="1">
          <x14:formula1>
            <xm:f>'!System'!$AA$2:$AA$17</xm:f>
          </x14:formula1>
          <xm:sqref>I58</xm:sqref>
        </x14:dataValidation>
        <x14:dataValidation type="list" allowBlank="1" showInputMessage="1" showErrorMessage="1">
          <x14:formula1>
            <xm:f>'!System'!$AA$2:$AA$17</xm:f>
          </x14:formula1>
          <xm:sqref>I59</xm:sqref>
        </x14:dataValidation>
        <x14:dataValidation type="list" allowBlank="1" showInputMessage="1" showErrorMessage="1">
          <x14:formula1>
            <xm:f>'!System'!$AA$2:$AA$17</xm:f>
          </x14:formula1>
          <xm:sqref>I60</xm:sqref>
        </x14:dataValidation>
        <x14:dataValidation type="list" allowBlank="1" showInputMessage="1" showErrorMessage="1">
          <x14:formula1>
            <xm:f>'!System'!$AA$2:$AA$17</xm:f>
          </x14:formula1>
          <xm:sqref>I61</xm:sqref>
        </x14:dataValidation>
        <x14:dataValidation type="list" allowBlank="1" showInputMessage="1" showErrorMessage="1">
          <x14:formula1>
            <xm:f>'!System'!$AA$2:$AA$17</xm:f>
          </x14:formula1>
          <xm:sqref>I62</xm:sqref>
        </x14:dataValidation>
        <x14:dataValidation type="list" allowBlank="1" showInputMessage="1" showErrorMessage="1">
          <x14:formula1>
            <xm:f>'!System'!$AA$2:$AA$17</xm:f>
          </x14:formula1>
          <xm:sqref>I63</xm:sqref>
        </x14:dataValidation>
        <x14:dataValidation type="list" allowBlank="1" showInputMessage="1" showErrorMessage="1">
          <x14:formula1>
            <xm:f>'!System'!$AA$2:$AA$17</xm:f>
          </x14:formula1>
          <xm:sqref>I64</xm:sqref>
        </x14:dataValidation>
        <x14:dataValidation type="list" allowBlank="1" showInputMessage="1" showErrorMessage="1">
          <x14:formula1>
            <xm:f>'!System'!$AA$2:$AA$17</xm:f>
          </x14:formula1>
          <xm:sqref>I65</xm:sqref>
        </x14:dataValidation>
        <x14:dataValidation type="list" allowBlank="1" showInputMessage="1" showErrorMessage="1">
          <x14:formula1>
            <xm:f>'!System'!$AA$2:$AA$17</xm:f>
          </x14:formula1>
          <xm:sqref>I66</xm:sqref>
        </x14:dataValidation>
        <x14:dataValidation type="list" allowBlank="1" showInputMessage="1" showErrorMessage="1">
          <x14:formula1>
            <xm:f>'!System'!$AA$2:$AA$17</xm:f>
          </x14:formula1>
          <xm:sqref>I67</xm:sqref>
        </x14:dataValidation>
        <x14:dataValidation type="list" allowBlank="1" showInputMessage="1" showErrorMessage="1">
          <x14:formula1>
            <xm:f>'!System'!$AA$2:$AA$17</xm:f>
          </x14:formula1>
          <xm:sqref>I68</xm:sqref>
        </x14:dataValidation>
        <x14:dataValidation type="list" allowBlank="1" showInputMessage="1" showErrorMessage="1">
          <x14:formula1>
            <xm:f>'!System'!$AA$2:$AA$17</xm:f>
          </x14:formula1>
          <xm:sqref>I69</xm:sqref>
        </x14:dataValidation>
        <x14:dataValidation type="list" allowBlank="1" showInputMessage="1" showErrorMessage="1">
          <x14:formula1>
            <xm:f>'!System'!$AA$2:$AA$17</xm:f>
          </x14:formula1>
          <xm:sqref>I70</xm:sqref>
        </x14:dataValidation>
        <x14:dataValidation type="list" allowBlank="1" showInputMessage="1" showErrorMessage="1">
          <x14:formula1>
            <xm:f>'!System'!$AA$2:$AA$17</xm:f>
          </x14:formula1>
          <xm:sqref>I71</xm:sqref>
        </x14:dataValidation>
        <x14:dataValidation type="list" allowBlank="1" showInputMessage="1" showErrorMessage="1">
          <x14:formula1>
            <xm:f>'!System'!$AA$2:$AA$17</xm:f>
          </x14:formula1>
          <xm:sqref>I72</xm:sqref>
        </x14:dataValidation>
        <x14:dataValidation type="list" allowBlank="1" showInputMessage="1" showErrorMessage="1">
          <x14:formula1>
            <xm:f>'!System'!$AA$2:$AA$17</xm:f>
          </x14:formula1>
          <xm:sqref>I73</xm:sqref>
        </x14:dataValidation>
        <x14:dataValidation type="list" allowBlank="1" showInputMessage="1" showErrorMessage="1">
          <x14:formula1>
            <xm:f>'!System'!$AA$2:$AA$17</xm:f>
          </x14:formula1>
          <xm:sqref>I74</xm:sqref>
        </x14:dataValidation>
        <x14:dataValidation type="list" allowBlank="1" showInputMessage="1" showErrorMessage="1">
          <x14:formula1>
            <xm:f>'!System'!$AA$2:$AA$17</xm:f>
          </x14:formula1>
          <xm:sqref>I75</xm:sqref>
        </x14:dataValidation>
        <x14:dataValidation type="list" allowBlank="1" showInputMessage="1" showErrorMessage="1">
          <x14:formula1>
            <xm:f>'!System'!$AA$2:$AA$17</xm:f>
          </x14:formula1>
          <xm:sqref>I76</xm:sqref>
        </x14:dataValidation>
        <x14:dataValidation type="list" allowBlank="1" showInputMessage="1" showErrorMessage="1">
          <x14:formula1>
            <xm:f>'!System'!$AA$2:$AA$17</xm:f>
          </x14:formula1>
          <xm:sqref>I77</xm:sqref>
        </x14:dataValidation>
        <x14:dataValidation type="list" allowBlank="1" showInputMessage="1" showErrorMessage="1">
          <x14:formula1>
            <xm:f>'!System'!$AA$2:$AA$17</xm:f>
          </x14:formula1>
          <xm:sqref>I78</xm:sqref>
        </x14:dataValidation>
        <x14:dataValidation type="list" allowBlank="1" showInputMessage="1" showErrorMessage="1">
          <x14:formula1>
            <xm:f>'!System'!$AA$2:$AA$17</xm:f>
          </x14:formula1>
          <xm:sqref>I79</xm:sqref>
        </x14:dataValidation>
        <x14:dataValidation type="list" allowBlank="1" showInputMessage="1" showErrorMessage="1">
          <x14:formula1>
            <xm:f>'!System'!$AA$2:$AA$17</xm:f>
          </x14:formula1>
          <xm:sqref>I80</xm:sqref>
        </x14:dataValidation>
        <x14:dataValidation type="list" allowBlank="1" showInputMessage="1" showErrorMessage="1">
          <x14:formula1>
            <xm:f>'!System'!$AA$2:$AA$17</xm:f>
          </x14:formula1>
          <xm:sqref>I81</xm:sqref>
        </x14:dataValidation>
        <x14:dataValidation type="list" allowBlank="1" showInputMessage="1" showErrorMessage="1">
          <x14:formula1>
            <xm:f>'!System'!$AA$2:$AA$17</xm:f>
          </x14:formula1>
          <xm:sqref>I82</xm:sqref>
        </x14:dataValidation>
        <x14:dataValidation type="list" allowBlank="1" showInputMessage="1" showErrorMessage="1">
          <x14:formula1>
            <xm:f>'!System'!$AA$2:$AA$17</xm:f>
          </x14:formula1>
          <xm:sqref>I83</xm:sqref>
        </x14:dataValidation>
        <x14:dataValidation type="list" allowBlank="1" showInputMessage="1" showErrorMessage="1">
          <x14:formula1>
            <xm:f>'!System'!$AA$2:$AA$17</xm:f>
          </x14:formula1>
          <xm:sqref>I84</xm:sqref>
        </x14:dataValidation>
        <x14:dataValidation type="list" allowBlank="1" showInputMessage="1" showErrorMessage="1">
          <x14:formula1>
            <xm:f>'!System'!$AA$2:$AA$17</xm:f>
          </x14:formula1>
          <xm:sqref>I85</xm:sqref>
        </x14:dataValidation>
        <x14:dataValidation type="list" allowBlank="1" showInputMessage="1" showErrorMessage="1">
          <x14:formula1>
            <xm:f>'!System'!$AA$2:$AA$17</xm:f>
          </x14:formula1>
          <xm:sqref>I86</xm:sqref>
        </x14:dataValidation>
        <x14:dataValidation type="list" allowBlank="1" showInputMessage="1" showErrorMessage="1">
          <x14:formula1>
            <xm:f>'!System'!$AA$2:$AA$17</xm:f>
          </x14:formula1>
          <xm:sqref>I87</xm:sqref>
        </x14:dataValidation>
        <x14:dataValidation type="list" allowBlank="1" showInputMessage="1" showErrorMessage="1">
          <x14:formula1>
            <xm:f>'!System'!$AA$2:$AA$17</xm:f>
          </x14:formula1>
          <xm:sqref>I88</xm:sqref>
        </x14:dataValidation>
        <x14:dataValidation type="list" allowBlank="1" showInputMessage="1" showErrorMessage="1">
          <x14:formula1>
            <xm:f>'!System'!$AA$2:$AA$17</xm:f>
          </x14:formula1>
          <xm:sqref>I89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4">
    <tabColor theme="8" tint="0.499984740745262"/>
  </sheetPr>
  <dimension ref="A1:U44"/>
  <sheetViews>
    <sheetView workbookViewId="0">
      <selection activeCell="G14" sqref="G14"/>
    </sheetView>
  </sheetViews>
  <sheetFormatPr defaultRowHeight="15" x14ac:dyDescent="0.25"/>
  <cols>
    <col min="1" max="2" width="8.7109375" customWidth="1"/>
    <col min="3" max="4" width="25.7109375" customWidth="1"/>
    <col min="5" max="6" width="8.7109375" customWidth="1"/>
    <col min="7" max="7" width="15.7109375" customWidth="1"/>
    <col min="8" max="10" width="10.7109375" customWidth="1"/>
    <col min="11" max="11" width="15.7109375" customWidth="1"/>
    <col min="12" max="12" width="34.7109375" customWidth="1"/>
    <col min="13" max="13" width="11.7109375" customWidth="1"/>
    <col min="14" max="14" width="15.7109375" customWidth="1"/>
    <col min="15" max="17" width="8.7109375" customWidth="1"/>
    <col min="18" max="18" width="15.7109375" customWidth="1"/>
    <col min="19" max="21" width="8.7109375" customWidth="1"/>
  </cols>
  <sheetData>
    <row r="1" spans="1:21" ht="15.75" x14ac:dyDescent="0.25">
      <c r="A1" s="87" t="s">
        <v>2635</v>
      </c>
      <c r="B1" s="85" t="s">
        <v>2636</v>
      </c>
      <c r="C1" s="85" t="s">
        <v>2637</v>
      </c>
      <c r="D1" s="85" t="s">
        <v>2638</v>
      </c>
      <c r="E1" s="85" t="s">
        <v>2639</v>
      </c>
      <c r="F1" s="85" t="s">
        <v>2640</v>
      </c>
      <c r="G1" s="85" t="s">
        <v>2641</v>
      </c>
      <c r="H1" s="89" t="s">
        <v>2643</v>
      </c>
      <c r="I1" s="90"/>
      <c r="J1" s="91"/>
      <c r="K1" s="89" t="s">
        <v>2647</v>
      </c>
      <c r="L1" s="90"/>
      <c r="M1" s="90"/>
      <c r="N1" s="90"/>
      <c r="O1" s="90"/>
      <c r="P1" s="90"/>
      <c r="Q1" s="91"/>
      <c r="R1" s="85" t="s">
        <v>2642</v>
      </c>
      <c r="S1" s="89" t="s">
        <v>2655</v>
      </c>
      <c r="T1" s="90"/>
      <c r="U1" s="92"/>
    </row>
    <row r="2" spans="1:21" ht="63" x14ac:dyDescent="0.25">
      <c r="A2" s="88"/>
      <c r="B2" s="86"/>
      <c r="C2" s="86"/>
      <c r="D2" s="86"/>
      <c r="E2" s="86"/>
      <c r="F2" s="86"/>
      <c r="G2" s="86"/>
      <c r="H2" s="15" t="s">
        <v>2644</v>
      </c>
      <c r="I2" s="15" t="s">
        <v>2645</v>
      </c>
      <c r="J2" s="15" t="s">
        <v>2646</v>
      </c>
      <c r="K2" s="15" t="s">
        <v>2648</v>
      </c>
      <c r="L2" s="15" t="s">
        <v>2649</v>
      </c>
      <c r="M2" s="15" t="s">
        <v>2650</v>
      </c>
      <c r="N2" s="15" t="s">
        <v>2651</v>
      </c>
      <c r="O2" s="15" t="s">
        <v>2652</v>
      </c>
      <c r="P2" s="15" t="s">
        <v>2653</v>
      </c>
      <c r="Q2" s="15" t="s">
        <v>2654</v>
      </c>
      <c r="R2" s="86"/>
      <c r="S2" s="15" t="s">
        <v>2656</v>
      </c>
      <c r="T2" s="15" t="s">
        <v>2657</v>
      </c>
      <c r="U2" s="14" t="s">
        <v>2658</v>
      </c>
    </row>
    <row r="3" spans="1:21" ht="15.75" x14ac:dyDescent="0.25">
      <c r="A3" s="11"/>
      <c r="B3" s="11"/>
      <c r="C3" s="11"/>
      <c r="D3" s="11"/>
      <c r="E3" s="11"/>
      <c r="F3" s="11"/>
      <c r="G3" s="11"/>
      <c r="H3" s="11"/>
      <c r="I3" s="11"/>
      <c r="J3" s="11"/>
      <c r="K3" s="11"/>
      <c r="L3" s="11"/>
      <c r="M3" s="11"/>
      <c r="N3" s="11"/>
      <c r="O3" s="11"/>
      <c r="P3" s="11"/>
      <c r="Q3" s="11"/>
      <c r="R3" s="11"/>
      <c r="S3" s="11"/>
      <c r="T3" s="11"/>
      <c r="U3" s="11"/>
    </row>
    <row r="4" spans="1:21" ht="15.75" x14ac:dyDescent="0.25">
      <c r="A4" s="11"/>
      <c r="B4" s="11"/>
      <c r="C4" s="11"/>
      <c r="D4" s="11"/>
      <c r="E4" s="11"/>
      <c r="F4" s="11"/>
      <c r="G4" s="11"/>
      <c r="H4" s="11"/>
      <c r="I4" s="11"/>
      <c r="J4" s="11"/>
      <c r="K4" s="11"/>
      <c r="L4" s="11"/>
      <c r="M4" s="11"/>
      <c r="N4" s="11"/>
      <c r="O4" s="11"/>
      <c r="P4" s="11"/>
      <c r="Q4" s="11"/>
      <c r="R4" s="11"/>
      <c r="S4" s="11"/>
      <c r="T4" s="11"/>
      <c r="U4" s="11"/>
    </row>
    <row r="5" spans="1:21" ht="15.75" x14ac:dyDescent="0.25">
      <c r="A5" s="30" t="s">
        <v>2685</v>
      </c>
      <c r="B5" s="29" t="str">
        <f>A5</f>
        <v>Кр1</v>
      </c>
      <c r="C5" s="29" t="s">
        <v>2678</v>
      </c>
      <c r="D5" s="29" t="str">
        <f>CONCATENATE("Каркас ",B5)</f>
        <v>Каркас Кр1</v>
      </c>
      <c r="E5" s="29"/>
      <c r="F5" s="29"/>
      <c r="G5" s="29"/>
      <c r="H5" s="29"/>
      <c r="I5" s="29"/>
      <c r="J5" s="29"/>
      <c r="K5" s="29"/>
      <c r="L5" s="29"/>
      <c r="M5" s="29"/>
      <c r="N5" s="29"/>
      <c r="O5" s="29"/>
      <c r="P5" s="29"/>
      <c r="Q5" s="29"/>
      <c r="R5" s="29"/>
      <c r="S5" s="29"/>
      <c r="T5" s="29"/>
      <c r="U5" s="28"/>
    </row>
    <row r="6" spans="1:21" ht="31.5" x14ac:dyDescent="0.25">
      <c r="A6" s="13" t="str">
        <f>A5</f>
        <v>Кр1</v>
      </c>
      <c r="B6" s="15">
        <v>2</v>
      </c>
      <c r="C6" s="15" t="s">
        <v>2680</v>
      </c>
      <c r="D6" s="15" t="s">
        <v>2677</v>
      </c>
      <c r="E6" s="15">
        <v>9</v>
      </c>
      <c r="F6" s="19">
        <v>0.39500000000000002</v>
      </c>
      <c r="G6" s="15"/>
      <c r="H6" s="15">
        <v>360</v>
      </c>
      <c r="I6" s="15">
        <v>8</v>
      </c>
      <c r="J6" s="15" t="s">
        <v>1</v>
      </c>
      <c r="K6" s="15"/>
      <c r="L6" s="15"/>
      <c r="M6" s="15"/>
      <c r="N6" s="15"/>
      <c r="O6" s="15"/>
      <c r="P6" s="15"/>
      <c r="Q6" s="15"/>
      <c r="R6" s="15"/>
      <c r="S6" s="15" t="s">
        <v>2659</v>
      </c>
      <c r="T6" s="15" t="s">
        <v>2659</v>
      </c>
      <c r="U6" s="14">
        <v>10</v>
      </c>
    </row>
    <row r="7" spans="1:21" ht="31.5" x14ac:dyDescent="0.25">
      <c r="A7" s="13" t="str">
        <f>A5</f>
        <v>Кр1</v>
      </c>
      <c r="B7" s="15">
        <v>1</v>
      </c>
      <c r="C7" s="15" t="s">
        <v>2680</v>
      </c>
      <c r="D7" s="15" t="s">
        <v>2676</v>
      </c>
      <c r="E7" s="15">
        <v>2</v>
      </c>
      <c r="F7" s="19">
        <v>0.39500000000000002</v>
      </c>
      <c r="G7" s="15"/>
      <c r="H7" s="15">
        <v>1280</v>
      </c>
      <c r="I7" s="15">
        <v>8</v>
      </c>
      <c r="J7" s="15" t="s">
        <v>1</v>
      </c>
      <c r="K7" s="15"/>
      <c r="L7" s="15"/>
      <c r="M7" s="15"/>
      <c r="N7" s="15"/>
      <c r="O7" s="15"/>
      <c r="P7" s="15"/>
      <c r="Q7" s="15"/>
      <c r="R7" s="15"/>
      <c r="S7" s="15" t="s">
        <v>2659</v>
      </c>
      <c r="T7" s="15" t="s">
        <v>2659</v>
      </c>
      <c r="U7" s="14">
        <v>10</v>
      </c>
    </row>
    <row r="8" spans="1:21" ht="15.75" x14ac:dyDescent="0.25">
      <c r="A8" s="11"/>
      <c r="B8" s="11"/>
      <c r="C8" s="11"/>
      <c r="D8" s="11"/>
      <c r="E8" s="11"/>
      <c r="F8" s="11"/>
      <c r="G8" s="11"/>
      <c r="H8" s="11"/>
      <c r="I8" s="11"/>
      <c r="J8" s="11"/>
      <c r="K8" s="11"/>
      <c r="L8" s="11"/>
      <c r="M8" s="11"/>
      <c r="N8" s="11"/>
      <c r="O8" s="11"/>
      <c r="P8" s="11"/>
      <c r="Q8" s="11"/>
      <c r="R8" s="11"/>
      <c r="S8" s="11"/>
      <c r="T8" s="11"/>
      <c r="U8" s="11"/>
    </row>
    <row r="9" spans="1:21" ht="15.75" x14ac:dyDescent="0.25">
      <c r="A9" s="11"/>
      <c r="B9" s="11"/>
      <c r="C9" s="11"/>
      <c r="D9" s="11"/>
      <c r="E9" s="11"/>
      <c r="F9" s="11"/>
      <c r="G9" s="11"/>
      <c r="H9" s="11"/>
      <c r="I9" s="11"/>
      <c r="J9" s="11"/>
      <c r="K9" s="11"/>
      <c r="L9" s="11"/>
      <c r="M9" s="11"/>
      <c r="N9" s="11"/>
      <c r="O9" s="11"/>
      <c r="P9" s="11"/>
      <c r="Q9" s="11"/>
      <c r="R9" s="11"/>
      <c r="S9" s="11"/>
      <c r="T9" s="11"/>
      <c r="U9" s="11"/>
    </row>
    <row r="10" spans="1:21" ht="15.75" x14ac:dyDescent="0.25">
      <c r="A10" s="30" t="s">
        <v>2684</v>
      </c>
      <c r="B10" s="29" t="str">
        <f>A10</f>
        <v>Кр2</v>
      </c>
      <c r="C10" s="29" t="s">
        <v>2678</v>
      </c>
      <c r="D10" s="29" t="str">
        <f>CONCATENATE("Каркас ",B10)</f>
        <v>Каркас Кр2</v>
      </c>
      <c r="E10" s="29"/>
      <c r="F10" s="29"/>
      <c r="G10" s="29"/>
      <c r="H10" s="29"/>
      <c r="I10" s="29"/>
      <c r="J10" s="29"/>
      <c r="K10" s="29"/>
      <c r="L10" s="29"/>
      <c r="M10" s="29"/>
      <c r="N10" s="29"/>
      <c r="O10" s="29"/>
      <c r="P10" s="29"/>
      <c r="Q10" s="29"/>
      <c r="R10" s="29"/>
      <c r="S10" s="29"/>
      <c r="T10" s="29"/>
      <c r="U10" s="28"/>
    </row>
    <row r="11" spans="1:21" ht="31.5" x14ac:dyDescent="0.25">
      <c r="A11" s="13" t="str">
        <f>A10</f>
        <v>Кр2</v>
      </c>
      <c r="B11" s="15">
        <v>2</v>
      </c>
      <c r="C11" s="15" t="s">
        <v>2680</v>
      </c>
      <c r="D11" s="15" t="s">
        <v>2677</v>
      </c>
      <c r="E11" s="15">
        <v>9</v>
      </c>
      <c r="F11" s="19">
        <v>0.39500000000000002</v>
      </c>
      <c r="G11" s="15"/>
      <c r="H11" s="15">
        <v>245</v>
      </c>
      <c r="I11" s="15">
        <v>8</v>
      </c>
      <c r="J11" s="15" t="s">
        <v>1</v>
      </c>
      <c r="K11" s="15"/>
      <c r="L11" s="15"/>
      <c r="M11" s="15"/>
      <c r="N11" s="15"/>
      <c r="O11" s="15"/>
      <c r="P11" s="15"/>
      <c r="Q11" s="15"/>
      <c r="R11" s="15"/>
      <c r="S11" s="15" t="s">
        <v>2659</v>
      </c>
      <c r="T11" s="15" t="s">
        <v>2659</v>
      </c>
      <c r="U11" s="14">
        <v>10</v>
      </c>
    </row>
    <row r="12" spans="1:21" ht="31.5" x14ac:dyDescent="0.25">
      <c r="A12" s="13" t="str">
        <f>A10</f>
        <v>Кр2</v>
      </c>
      <c r="B12" s="15">
        <v>1</v>
      </c>
      <c r="C12" s="15" t="s">
        <v>2680</v>
      </c>
      <c r="D12" s="15" t="s">
        <v>2676</v>
      </c>
      <c r="E12" s="15">
        <v>2</v>
      </c>
      <c r="F12" s="19">
        <v>0.39500000000000002</v>
      </c>
      <c r="G12" s="15"/>
      <c r="H12" s="15">
        <v>1280</v>
      </c>
      <c r="I12" s="15">
        <v>8</v>
      </c>
      <c r="J12" s="15" t="s">
        <v>1</v>
      </c>
      <c r="K12" s="15"/>
      <c r="L12" s="15"/>
      <c r="M12" s="15"/>
      <c r="N12" s="15"/>
      <c r="O12" s="15"/>
      <c r="P12" s="15"/>
      <c r="Q12" s="15"/>
      <c r="R12" s="15"/>
      <c r="S12" s="15" t="s">
        <v>2659</v>
      </c>
      <c r="T12" s="15" t="s">
        <v>2659</v>
      </c>
      <c r="U12" s="14">
        <v>10</v>
      </c>
    </row>
    <row r="13" spans="1:21" ht="15.75" x14ac:dyDescent="0.25">
      <c r="A13" s="11"/>
      <c r="B13" s="11"/>
      <c r="C13" s="11"/>
      <c r="D13" s="11"/>
      <c r="E13" s="11"/>
      <c r="F13" s="11"/>
      <c r="G13" s="11"/>
      <c r="H13" s="11"/>
      <c r="I13" s="11"/>
      <c r="J13" s="11"/>
      <c r="K13" s="11"/>
      <c r="L13" s="11"/>
      <c r="M13" s="11"/>
      <c r="N13" s="11"/>
      <c r="O13" s="11"/>
      <c r="P13" s="11"/>
      <c r="Q13" s="11"/>
      <c r="R13" s="11"/>
      <c r="S13" s="11"/>
      <c r="T13" s="11"/>
      <c r="U13" s="11"/>
    </row>
    <row r="14" spans="1:21" ht="15.75" x14ac:dyDescent="0.25">
      <c r="A14" s="11"/>
      <c r="B14" s="11"/>
      <c r="C14" s="11"/>
      <c r="D14" s="11"/>
      <c r="E14" s="11"/>
      <c r="F14" s="11"/>
      <c r="G14" s="11"/>
      <c r="H14" s="11"/>
      <c r="I14" s="11"/>
      <c r="J14" s="11"/>
      <c r="K14" s="11"/>
      <c r="L14" s="11"/>
      <c r="M14" s="11"/>
      <c r="N14" s="11"/>
      <c r="O14" s="11"/>
      <c r="P14" s="11"/>
      <c r="Q14" s="11"/>
      <c r="R14" s="11"/>
      <c r="S14" s="11"/>
      <c r="T14" s="11"/>
      <c r="U14" s="11"/>
    </row>
    <row r="15" spans="1:21" ht="15.75" x14ac:dyDescent="0.25">
      <c r="A15" s="30" t="s">
        <v>2683</v>
      </c>
      <c r="B15" s="29" t="str">
        <f>A15</f>
        <v>Кр3</v>
      </c>
      <c r="C15" s="29" t="s">
        <v>2678</v>
      </c>
      <c r="D15" s="29" t="str">
        <f>CONCATENATE("Каркас ",B15)</f>
        <v>Каркас Кр3</v>
      </c>
      <c r="E15" s="29"/>
      <c r="F15" s="29"/>
      <c r="G15" s="29"/>
      <c r="H15" s="29"/>
      <c r="I15" s="29"/>
      <c r="J15" s="29"/>
      <c r="K15" s="29"/>
      <c r="L15" s="29"/>
      <c r="M15" s="29"/>
      <c r="N15" s="29"/>
      <c r="O15" s="29"/>
      <c r="P15" s="29"/>
      <c r="Q15" s="29"/>
      <c r="R15" s="29"/>
      <c r="S15" s="29"/>
      <c r="T15" s="29"/>
      <c r="U15" s="28"/>
    </row>
    <row r="16" spans="1:21" ht="31.5" x14ac:dyDescent="0.25">
      <c r="A16" s="13" t="str">
        <f>A15</f>
        <v>Кр3</v>
      </c>
      <c r="B16" s="15">
        <v>2</v>
      </c>
      <c r="C16" s="15" t="s">
        <v>2680</v>
      </c>
      <c r="D16" s="15" t="s">
        <v>2677</v>
      </c>
      <c r="E16" s="15">
        <v>9</v>
      </c>
      <c r="F16" s="19">
        <v>0.39500000000000002</v>
      </c>
      <c r="G16" s="15"/>
      <c r="H16" s="15">
        <v>325</v>
      </c>
      <c r="I16" s="15">
        <v>8</v>
      </c>
      <c r="J16" s="15" t="s">
        <v>1</v>
      </c>
      <c r="K16" s="15"/>
      <c r="L16" s="15"/>
      <c r="M16" s="15"/>
      <c r="N16" s="15"/>
      <c r="O16" s="15"/>
      <c r="P16" s="15"/>
      <c r="Q16" s="15"/>
      <c r="R16" s="15"/>
      <c r="S16" s="15" t="s">
        <v>2659</v>
      </c>
      <c r="T16" s="15" t="s">
        <v>2659</v>
      </c>
      <c r="U16" s="14">
        <v>10</v>
      </c>
    </row>
    <row r="17" spans="1:21" ht="31.5" x14ac:dyDescent="0.25">
      <c r="A17" s="13" t="str">
        <f>A15</f>
        <v>Кр3</v>
      </c>
      <c r="B17" s="15">
        <v>1</v>
      </c>
      <c r="C17" s="15" t="s">
        <v>2680</v>
      </c>
      <c r="D17" s="15" t="s">
        <v>2676</v>
      </c>
      <c r="E17" s="15">
        <v>2</v>
      </c>
      <c r="F17" s="19">
        <v>0.39500000000000002</v>
      </c>
      <c r="G17" s="15"/>
      <c r="H17" s="15">
        <v>1280</v>
      </c>
      <c r="I17" s="15">
        <v>8</v>
      </c>
      <c r="J17" s="15" t="s">
        <v>1</v>
      </c>
      <c r="K17" s="15"/>
      <c r="L17" s="15"/>
      <c r="M17" s="15"/>
      <c r="N17" s="15"/>
      <c r="O17" s="15"/>
      <c r="P17" s="15"/>
      <c r="Q17" s="15"/>
      <c r="R17" s="15"/>
      <c r="S17" s="15" t="s">
        <v>2659</v>
      </c>
      <c r="T17" s="15" t="s">
        <v>2659</v>
      </c>
      <c r="U17" s="14">
        <v>10</v>
      </c>
    </row>
    <row r="18" spans="1:21" ht="16.5" x14ac:dyDescent="0.25">
      <c r="A18" s="11"/>
      <c r="B18" s="11"/>
      <c r="C18" s="11"/>
      <c r="D18" s="11"/>
      <c r="E18" s="11"/>
      <c r="F18" s="11"/>
      <c r="G18" s="11"/>
      <c r="H18" s="11"/>
      <c r="I18" s="11"/>
      <c r="J18" s="11"/>
      <c r="K18" s="11"/>
      <c r="L18" s="11"/>
      <c r="M18" s="11"/>
      <c r="N18" s="11"/>
      <c r="O18" s="11"/>
      <c r="P18" s="11"/>
      <c r="Q18" s="11"/>
      <c r="R18" s="11"/>
      <c r="S18" s="11"/>
      <c r="T18" s="11"/>
      <c r="U18" s="11"/>
    </row>
    <row r="19" spans="1:21" ht="16.5" x14ac:dyDescent="0.25">
      <c r="A19" s="11"/>
      <c r="B19" s="11"/>
      <c r="C19" s="11"/>
      <c r="D19" s="11"/>
      <c r="E19" s="11"/>
      <c r="F19" s="11"/>
      <c r="G19" s="11"/>
      <c r="H19" s="11"/>
      <c r="I19" s="11"/>
      <c r="J19" s="11"/>
      <c r="K19" s="11"/>
      <c r="L19" s="11"/>
      <c r="M19" s="11"/>
      <c r="N19" s="11"/>
      <c r="O19" s="11"/>
      <c r="P19" s="11"/>
      <c r="Q19" s="11"/>
      <c r="R19" s="11"/>
      <c r="S19" s="11"/>
      <c r="T19" s="11"/>
      <c r="U19" s="11"/>
    </row>
    <row r="20" spans="1:21" ht="16.5" x14ac:dyDescent="0.25">
      <c r="A20" s="11"/>
      <c r="B20" s="11"/>
      <c r="C20" s="11"/>
      <c r="D20" s="11"/>
      <c r="E20" s="11"/>
      <c r="F20" s="11"/>
      <c r="G20" s="11"/>
      <c r="H20" s="11"/>
      <c r="I20" s="11"/>
      <c r="J20" s="11"/>
      <c r="K20" s="11"/>
      <c r="L20" s="11"/>
      <c r="M20" s="11"/>
      <c r="N20" s="11"/>
      <c r="O20" s="11"/>
      <c r="P20" s="11"/>
      <c r="Q20" s="11"/>
      <c r="R20" s="11"/>
      <c r="S20" s="11"/>
      <c r="T20" s="11"/>
      <c r="U20" s="11"/>
    </row>
    <row r="21" spans="1:21" ht="15.75" x14ac:dyDescent="0.25">
      <c r="A21" s="30" t="s">
        <v>2682</v>
      </c>
      <c r="B21" s="29" t="str">
        <f>A21</f>
        <v>С1</v>
      </c>
      <c r="C21" s="29" t="s">
        <v>2678</v>
      </c>
      <c r="D21" s="29" t="str">
        <f>CONCATENATE("Сетка ",B21)</f>
        <v>Сетка С1</v>
      </c>
      <c r="E21" s="29"/>
      <c r="F21" s="29"/>
      <c r="G21" s="29"/>
      <c r="H21" s="29"/>
      <c r="I21" s="29"/>
      <c r="J21" s="29"/>
      <c r="K21" s="29"/>
      <c r="L21" s="29"/>
      <c r="M21" s="29"/>
      <c r="N21" s="29"/>
      <c r="O21" s="29"/>
      <c r="P21" s="29"/>
      <c r="Q21" s="29"/>
      <c r="R21" s="29"/>
      <c r="S21" s="29"/>
      <c r="T21" s="29"/>
      <c r="U21" s="28"/>
    </row>
    <row r="22" spans="1:21" ht="31.5" x14ac:dyDescent="0.25">
      <c r="A22" s="13" t="str">
        <f>A21</f>
        <v>С1</v>
      </c>
      <c r="B22" s="15">
        <v>2</v>
      </c>
      <c r="C22" s="15" t="s">
        <v>2680</v>
      </c>
      <c r="D22" s="15" t="s">
        <v>2677</v>
      </c>
      <c r="E22" s="15">
        <v>17</v>
      </c>
      <c r="F22" s="19">
        <v>0.222</v>
      </c>
      <c r="G22" s="15"/>
      <c r="H22" s="15">
        <v>850</v>
      </c>
      <c r="I22" s="15">
        <v>6</v>
      </c>
      <c r="J22" s="15" t="s">
        <v>1</v>
      </c>
      <c r="K22" s="15"/>
      <c r="L22" s="15"/>
      <c r="M22" s="15"/>
      <c r="N22" s="15"/>
      <c r="O22" s="15"/>
      <c r="P22" s="15"/>
      <c r="Q22" s="15"/>
      <c r="R22" s="15"/>
      <c r="S22" s="15" t="s">
        <v>2659</v>
      </c>
      <c r="T22" s="15" t="s">
        <v>2659</v>
      </c>
      <c r="U22" s="14">
        <v>7.5</v>
      </c>
    </row>
    <row r="23" spans="1:21" ht="31.5" x14ac:dyDescent="0.25">
      <c r="A23" s="13" t="str">
        <f>A21</f>
        <v>С1</v>
      </c>
      <c r="B23" s="15">
        <v>1</v>
      </c>
      <c r="C23" s="15" t="s">
        <v>2680</v>
      </c>
      <c r="D23" s="15" t="s">
        <v>2676</v>
      </c>
      <c r="E23" s="15">
        <v>17</v>
      </c>
      <c r="F23" s="19">
        <v>0.222</v>
      </c>
      <c r="G23" s="15"/>
      <c r="H23" s="15">
        <v>850</v>
      </c>
      <c r="I23" s="15">
        <v>6</v>
      </c>
      <c r="J23" s="15" t="s">
        <v>1</v>
      </c>
      <c r="K23" s="15"/>
      <c r="L23" s="15"/>
      <c r="M23" s="15"/>
      <c r="N23" s="15"/>
      <c r="O23" s="15"/>
      <c r="P23" s="15"/>
      <c r="Q23" s="15"/>
      <c r="R23" s="15"/>
      <c r="S23" s="15" t="s">
        <v>2659</v>
      </c>
      <c r="T23" s="15" t="s">
        <v>2659</v>
      </c>
      <c r="U23" s="14">
        <v>7.5</v>
      </c>
    </row>
    <row r="24" spans="1:21" ht="16.5" x14ac:dyDescent="0.25">
      <c r="A24" s="11"/>
      <c r="B24" s="11"/>
      <c r="C24" s="11"/>
      <c r="D24" s="11"/>
      <c r="E24" s="11"/>
      <c r="F24" s="11"/>
      <c r="G24" s="11"/>
      <c r="H24" s="11"/>
      <c r="I24" s="11"/>
      <c r="J24" s="11"/>
      <c r="K24" s="11"/>
      <c r="L24" s="11"/>
      <c r="M24" s="11"/>
      <c r="N24" s="11"/>
      <c r="O24" s="11"/>
      <c r="P24" s="11"/>
      <c r="Q24" s="11"/>
      <c r="R24" s="11"/>
      <c r="S24" s="11"/>
      <c r="T24" s="11"/>
      <c r="U24" s="11"/>
    </row>
    <row r="25" spans="1:21" ht="16.5" x14ac:dyDescent="0.25">
      <c r="A25" s="11"/>
      <c r="B25" s="11"/>
      <c r="C25" s="11"/>
      <c r="D25" s="11"/>
      <c r="E25" s="11"/>
      <c r="F25" s="11"/>
      <c r="G25" s="11"/>
      <c r="H25" s="11"/>
      <c r="I25" s="11"/>
      <c r="J25" s="11"/>
      <c r="K25" s="11"/>
      <c r="L25" s="11"/>
      <c r="M25" s="11"/>
      <c r="N25" s="11"/>
      <c r="O25" s="11"/>
      <c r="P25" s="11"/>
      <c r="Q25" s="11"/>
      <c r="R25" s="11"/>
      <c r="S25" s="11"/>
      <c r="T25" s="11"/>
      <c r="U25" s="11"/>
    </row>
    <row r="26" spans="1:21" ht="15.75" x14ac:dyDescent="0.25">
      <c r="A26" s="30" t="s">
        <v>2681</v>
      </c>
      <c r="B26" s="29" t="str">
        <f>A26</f>
        <v>С2</v>
      </c>
      <c r="C26" s="29" t="s">
        <v>2686</v>
      </c>
      <c r="D26" s="29" t="str">
        <f>CONCATENATE("Сетка ",B26)</f>
        <v>Сетка С2</v>
      </c>
      <c r="E26" s="29"/>
      <c r="F26" s="29"/>
      <c r="G26" s="29"/>
      <c r="H26" s="29"/>
      <c r="I26" s="29"/>
      <c r="J26" s="29"/>
      <c r="K26" s="29"/>
      <c r="L26" s="29"/>
      <c r="M26" s="29"/>
      <c r="N26" s="29"/>
      <c r="O26" s="29"/>
      <c r="P26" s="29"/>
      <c r="Q26" s="29"/>
      <c r="R26" s="29"/>
      <c r="S26" s="29"/>
      <c r="T26" s="29"/>
      <c r="U26" s="28"/>
    </row>
    <row r="27" spans="1:21" ht="31.5" x14ac:dyDescent="0.25">
      <c r="A27" s="13" t="str">
        <f>A26</f>
        <v>С2</v>
      </c>
      <c r="B27" s="15">
        <v>2</v>
      </c>
      <c r="C27" s="15" t="s">
        <v>2680</v>
      </c>
      <c r="D27" s="15" t="s">
        <v>2677</v>
      </c>
      <c r="E27" s="15">
        <v>11</v>
      </c>
      <c r="F27" s="19">
        <v>0.222</v>
      </c>
      <c r="G27" s="15"/>
      <c r="H27" s="15">
        <v>550</v>
      </c>
      <c r="I27" s="15">
        <v>6</v>
      </c>
      <c r="J27" s="15" t="s">
        <v>1</v>
      </c>
      <c r="K27" s="15"/>
      <c r="L27" s="15"/>
      <c r="M27" s="15"/>
      <c r="N27" s="15"/>
      <c r="O27" s="15"/>
      <c r="P27" s="15"/>
      <c r="Q27" s="15"/>
      <c r="R27" s="15"/>
      <c r="S27" s="15" t="s">
        <v>2659</v>
      </c>
      <c r="T27" s="15" t="s">
        <v>2659</v>
      </c>
      <c r="U27" s="14">
        <v>7.5</v>
      </c>
    </row>
    <row r="28" spans="1:21" ht="31.5" x14ac:dyDescent="0.25">
      <c r="A28" s="13" t="str">
        <f>A26</f>
        <v>С2</v>
      </c>
      <c r="B28" s="15">
        <v>1</v>
      </c>
      <c r="C28" s="15" t="s">
        <v>2680</v>
      </c>
      <c r="D28" s="15" t="s">
        <v>2676</v>
      </c>
      <c r="E28" s="15">
        <v>11</v>
      </c>
      <c r="F28" s="19">
        <v>0.222</v>
      </c>
      <c r="G28" s="15"/>
      <c r="H28" s="15">
        <v>550</v>
      </c>
      <c r="I28" s="15">
        <v>6</v>
      </c>
      <c r="J28" s="15" t="s">
        <v>1</v>
      </c>
      <c r="K28" s="15"/>
      <c r="L28" s="15"/>
      <c r="M28" s="15"/>
      <c r="N28" s="15"/>
      <c r="O28" s="15"/>
      <c r="P28" s="15"/>
      <c r="Q28" s="15"/>
      <c r="R28" s="15"/>
      <c r="S28" s="15" t="s">
        <v>2659</v>
      </c>
      <c r="T28" s="15" t="s">
        <v>2659</v>
      </c>
      <c r="U28" s="14">
        <v>7.5</v>
      </c>
    </row>
    <row r="29" spans="1:21" ht="15.75" x14ac:dyDescent="0.25">
      <c r="A29" s="11"/>
      <c r="B29" s="11"/>
      <c r="C29" s="11"/>
      <c r="D29" s="11"/>
      <c r="E29" s="11"/>
      <c r="F29" s="11"/>
      <c r="G29" s="11"/>
      <c r="H29" s="11"/>
      <c r="I29" s="11"/>
      <c r="J29" s="11"/>
      <c r="K29" s="11"/>
      <c r="L29" s="11"/>
      <c r="M29" s="11"/>
      <c r="N29" s="11"/>
      <c r="O29" s="11"/>
      <c r="P29" s="11"/>
      <c r="Q29" s="11"/>
      <c r="R29" s="11"/>
      <c r="S29" s="11"/>
      <c r="T29" s="11"/>
      <c r="U29" s="11"/>
    </row>
    <row r="30" spans="1:21" ht="15.75" x14ac:dyDescent="0.25">
      <c r="A30" s="11"/>
      <c r="B30" s="11"/>
      <c r="C30" s="11"/>
      <c r="D30" s="11"/>
      <c r="E30" s="11"/>
      <c r="F30" s="11"/>
      <c r="G30" s="11"/>
      <c r="H30" s="11"/>
      <c r="I30" s="11"/>
      <c r="J30" s="11"/>
      <c r="K30" s="11"/>
      <c r="L30" s="11"/>
      <c r="M30" s="11"/>
      <c r="N30" s="11"/>
      <c r="O30" s="11"/>
      <c r="P30" s="11"/>
      <c r="Q30" s="11"/>
      <c r="R30" s="11"/>
      <c r="S30" s="11"/>
      <c r="T30" s="11"/>
      <c r="U30" s="11"/>
    </row>
    <row r="31" spans="1:21" ht="15.75" x14ac:dyDescent="0.25">
      <c r="A31" s="30" t="s">
        <v>2679</v>
      </c>
      <c r="B31" s="29" t="str">
        <f>A31</f>
        <v>С3</v>
      </c>
      <c r="C31" s="29" t="s">
        <v>2678</v>
      </c>
      <c r="D31" s="29" t="str">
        <f>CONCATENATE("Сетка ",B31)</f>
        <v>Сетка С3</v>
      </c>
      <c r="E31" s="29"/>
      <c r="F31" s="29"/>
      <c r="G31" s="29"/>
      <c r="H31" s="29"/>
      <c r="I31" s="29"/>
      <c r="J31" s="29"/>
      <c r="K31" s="29"/>
      <c r="L31" s="29"/>
      <c r="M31" s="29"/>
      <c r="N31" s="29"/>
      <c r="O31" s="29"/>
      <c r="P31" s="29"/>
      <c r="Q31" s="29"/>
      <c r="R31" s="29"/>
      <c r="S31" s="29"/>
      <c r="T31" s="29"/>
      <c r="U31" s="28"/>
    </row>
    <row r="32" spans="1:21" ht="31.5" x14ac:dyDescent="0.25">
      <c r="A32" s="13" t="str">
        <f>A31</f>
        <v>С3</v>
      </c>
      <c r="B32" s="15">
        <v>2</v>
      </c>
      <c r="C32" s="15" t="s">
        <v>2667</v>
      </c>
      <c r="D32" s="15" t="s">
        <v>2677</v>
      </c>
      <c r="E32" s="15">
        <v>10</v>
      </c>
      <c r="F32" s="19">
        <v>0.61599999999999999</v>
      </c>
      <c r="G32" s="15"/>
      <c r="H32" s="15">
        <v>1160</v>
      </c>
      <c r="I32" s="15">
        <v>10</v>
      </c>
      <c r="J32" s="15" t="s">
        <v>2</v>
      </c>
      <c r="K32" s="15"/>
      <c r="L32" s="15"/>
      <c r="M32" s="15"/>
      <c r="N32" s="15"/>
      <c r="O32" s="15"/>
      <c r="P32" s="15"/>
      <c r="Q32" s="15"/>
      <c r="R32" s="15"/>
      <c r="S32" s="15" t="s">
        <v>2659</v>
      </c>
      <c r="T32" s="15" t="s">
        <v>2659</v>
      </c>
      <c r="U32" s="14">
        <v>25</v>
      </c>
    </row>
    <row r="33" spans="1:21" ht="31.5" x14ac:dyDescent="0.25">
      <c r="A33" s="13" t="str">
        <f>A31</f>
        <v>С3</v>
      </c>
      <c r="B33" s="15">
        <v>1</v>
      </c>
      <c r="C33" s="15" t="s">
        <v>2667</v>
      </c>
      <c r="D33" s="15" t="s">
        <v>2676</v>
      </c>
      <c r="E33" s="15">
        <v>12</v>
      </c>
      <c r="F33" s="19">
        <v>0.61599999999999999</v>
      </c>
      <c r="G33" s="15"/>
      <c r="H33" s="15">
        <v>1000</v>
      </c>
      <c r="I33" s="15">
        <v>10</v>
      </c>
      <c r="J33" s="15" t="s">
        <v>2</v>
      </c>
      <c r="K33" s="15"/>
      <c r="L33" s="15"/>
      <c r="M33" s="15"/>
      <c r="N33" s="15"/>
      <c r="O33" s="15"/>
      <c r="P33" s="15"/>
      <c r="Q33" s="15"/>
      <c r="R33" s="15"/>
      <c r="S33" s="15" t="s">
        <v>2659</v>
      </c>
      <c r="T33" s="15" t="s">
        <v>2659</v>
      </c>
      <c r="U33" s="14">
        <v>25</v>
      </c>
    </row>
    <row r="34" spans="1:21" ht="15.75" x14ac:dyDescent="0.25">
      <c r="A34" s="11"/>
      <c r="B34" s="11"/>
      <c r="C34" s="11"/>
      <c r="D34" s="11"/>
      <c r="E34" s="11"/>
      <c r="F34" s="11"/>
      <c r="G34" s="11"/>
      <c r="H34" s="11"/>
      <c r="I34" s="11"/>
      <c r="J34" s="11"/>
      <c r="K34" s="11"/>
      <c r="L34" s="11"/>
      <c r="M34" s="11"/>
      <c r="N34" s="11"/>
      <c r="O34" s="11"/>
      <c r="P34" s="11"/>
      <c r="Q34" s="11"/>
      <c r="R34" s="11"/>
      <c r="S34" s="11"/>
      <c r="T34" s="11"/>
      <c r="U34" s="11"/>
    </row>
    <row r="35" spans="1:21" ht="15.75" x14ac:dyDescent="0.25">
      <c r="A35" s="11"/>
      <c r="B35" s="11"/>
      <c r="C35" s="11"/>
      <c r="D35" s="11"/>
      <c r="E35" s="11"/>
      <c r="F35" s="11"/>
      <c r="G35" s="11"/>
      <c r="H35" s="11"/>
      <c r="I35" s="11"/>
      <c r="J35" s="11"/>
      <c r="K35" s="11"/>
      <c r="L35" s="11"/>
      <c r="M35" s="11"/>
      <c r="N35" s="11"/>
      <c r="O35" s="11"/>
      <c r="P35" s="11"/>
      <c r="Q35" s="11"/>
      <c r="R35" s="11"/>
      <c r="S35" s="11"/>
      <c r="T35" s="11"/>
      <c r="U35" s="11"/>
    </row>
    <row r="36" spans="1:21" ht="15.75" x14ac:dyDescent="0.25">
      <c r="A36" s="11"/>
      <c r="B36" s="11"/>
      <c r="C36" s="11"/>
      <c r="D36" s="11"/>
      <c r="E36" s="11"/>
      <c r="F36" s="11"/>
      <c r="G36" s="11"/>
      <c r="H36" s="11"/>
      <c r="I36" s="11"/>
      <c r="J36" s="11"/>
      <c r="K36" s="11"/>
      <c r="L36" s="11"/>
      <c r="M36" s="11"/>
      <c r="N36" s="11"/>
      <c r="O36" s="11"/>
      <c r="P36" s="11"/>
      <c r="Q36" s="11"/>
      <c r="R36" s="11"/>
      <c r="S36" s="11"/>
      <c r="T36" s="11"/>
      <c r="U36" s="11"/>
    </row>
    <row r="37" spans="1:21" ht="15.75" x14ac:dyDescent="0.25">
      <c r="A37" s="30" t="s">
        <v>2675</v>
      </c>
      <c r="B37" s="29" t="str">
        <f>A37</f>
        <v>Зд1</v>
      </c>
      <c r="C37" s="29" t="s">
        <v>2671</v>
      </c>
      <c r="D37" s="29" t="s">
        <v>2674</v>
      </c>
      <c r="E37" s="29"/>
      <c r="F37" s="29"/>
      <c r="G37" s="29"/>
      <c r="H37" s="29"/>
      <c r="I37" s="29"/>
      <c r="J37" s="29"/>
      <c r="K37" s="29"/>
      <c r="L37" s="29"/>
      <c r="M37" s="29"/>
      <c r="N37" s="29"/>
      <c r="O37" s="29"/>
      <c r="P37" s="29"/>
      <c r="Q37" s="29"/>
      <c r="R37" s="29"/>
      <c r="S37" s="29"/>
      <c r="T37" s="29"/>
      <c r="U37" s="28"/>
    </row>
    <row r="38" spans="1:21" ht="15.75" x14ac:dyDescent="0.25">
      <c r="A38" s="13" t="str">
        <f>A37</f>
        <v>Зд1</v>
      </c>
      <c r="B38" s="22">
        <v>1</v>
      </c>
      <c r="C38" s="22" t="s">
        <v>2661</v>
      </c>
      <c r="D38" s="22" t="s">
        <v>2673</v>
      </c>
      <c r="E38" s="22">
        <v>1</v>
      </c>
      <c r="F38" s="19">
        <v>3.77</v>
      </c>
      <c r="G38" s="15"/>
      <c r="H38" s="15"/>
      <c r="I38" s="15"/>
      <c r="J38" s="15"/>
      <c r="K38" s="15">
        <v>1000</v>
      </c>
      <c r="L38" s="15" t="s">
        <v>2046</v>
      </c>
      <c r="M38" s="15" t="s">
        <v>2071</v>
      </c>
      <c r="N38" s="15"/>
      <c r="O38" s="15" t="s">
        <v>5</v>
      </c>
      <c r="P38" s="15"/>
      <c r="Q38" s="15"/>
      <c r="R38" s="15"/>
      <c r="S38" s="15"/>
      <c r="T38" s="15"/>
      <c r="U38" s="14"/>
    </row>
    <row r="39" spans="1:21" ht="31.5" x14ac:dyDescent="0.25">
      <c r="A39" s="13" t="str">
        <f>A38</f>
        <v>Зд1</v>
      </c>
      <c r="B39" s="15">
        <v>2</v>
      </c>
      <c r="C39" s="15" t="s">
        <v>2667</v>
      </c>
      <c r="D39" s="15" t="s">
        <v>2666</v>
      </c>
      <c r="E39" s="15">
        <v>4</v>
      </c>
      <c r="F39" s="19">
        <v>0.39500000000000002</v>
      </c>
      <c r="G39" s="15"/>
      <c r="H39" s="15">
        <v>200</v>
      </c>
      <c r="I39" s="15">
        <v>8</v>
      </c>
      <c r="J39" s="15" t="s">
        <v>2</v>
      </c>
      <c r="K39" s="15"/>
      <c r="L39" s="15"/>
      <c r="M39" s="15"/>
      <c r="N39" s="15"/>
      <c r="O39" s="15"/>
      <c r="P39" s="15"/>
      <c r="Q39" s="15"/>
      <c r="R39" s="15"/>
      <c r="S39" s="15" t="s">
        <v>2659</v>
      </c>
      <c r="T39" s="15" t="s">
        <v>2659</v>
      </c>
      <c r="U39" s="14">
        <v>20</v>
      </c>
    </row>
    <row r="40" spans="1:21" ht="15.75" x14ac:dyDescent="0.25">
      <c r="A40" s="11"/>
      <c r="B40" s="11"/>
      <c r="C40" s="11"/>
      <c r="D40" s="11"/>
      <c r="E40" s="11"/>
      <c r="F40" s="11"/>
      <c r="G40" s="11"/>
      <c r="H40" s="11"/>
      <c r="I40" s="11"/>
      <c r="J40" s="11"/>
      <c r="K40" s="11"/>
      <c r="L40" s="11"/>
      <c r="M40" s="11"/>
      <c r="N40" s="11"/>
      <c r="O40" s="11"/>
      <c r="P40" s="11"/>
      <c r="Q40" s="11"/>
      <c r="R40" s="11"/>
      <c r="S40" s="11"/>
      <c r="T40" s="11"/>
      <c r="U40" s="11"/>
    </row>
    <row r="41" spans="1:21" ht="15.75" x14ac:dyDescent="0.25">
      <c r="A41" s="11"/>
      <c r="B41" s="11"/>
      <c r="C41" s="11"/>
      <c r="D41" s="11"/>
      <c r="E41" s="11"/>
      <c r="F41" s="11"/>
      <c r="G41" s="11"/>
      <c r="H41" s="11"/>
      <c r="I41" s="11"/>
      <c r="J41" s="11"/>
      <c r="K41" s="11"/>
      <c r="L41" s="11"/>
      <c r="M41" s="11"/>
      <c r="N41" s="11"/>
      <c r="O41" s="11"/>
      <c r="P41" s="11"/>
      <c r="Q41" s="11"/>
      <c r="R41" s="11"/>
      <c r="S41" s="11"/>
      <c r="T41" s="11"/>
      <c r="U41" s="11"/>
    </row>
    <row r="42" spans="1:21" ht="15.75" x14ac:dyDescent="0.25">
      <c r="A42" s="30" t="s">
        <v>2672</v>
      </c>
      <c r="B42" s="29" t="str">
        <f>A42</f>
        <v>Зд2</v>
      </c>
      <c r="C42" s="29" t="s">
        <v>2671</v>
      </c>
      <c r="D42" s="29" t="s">
        <v>2670</v>
      </c>
      <c r="E42" s="29"/>
      <c r="F42" s="29"/>
      <c r="G42" s="29"/>
      <c r="H42" s="29"/>
      <c r="I42" s="29"/>
      <c r="J42" s="29"/>
      <c r="K42" s="29"/>
      <c r="L42" s="29"/>
      <c r="M42" s="29"/>
      <c r="N42" s="29"/>
      <c r="O42" s="29"/>
      <c r="P42" s="29"/>
      <c r="Q42" s="29"/>
      <c r="R42" s="29"/>
      <c r="S42" s="29"/>
      <c r="T42" s="29"/>
      <c r="U42" s="28"/>
    </row>
    <row r="43" spans="1:21" ht="15.75" x14ac:dyDescent="0.25">
      <c r="A43" s="13" t="str">
        <f>A42</f>
        <v>Зд2</v>
      </c>
      <c r="B43" s="22">
        <v>1</v>
      </c>
      <c r="C43" s="22" t="s">
        <v>2669</v>
      </c>
      <c r="D43" s="22" t="s">
        <v>2668</v>
      </c>
      <c r="E43" s="22">
        <v>1</v>
      </c>
      <c r="F43" s="19">
        <v>47.1</v>
      </c>
      <c r="G43" s="15"/>
      <c r="H43" s="15"/>
      <c r="I43" s="15"/>
      <c r="J43" s="15"/>
      <c r="K43" s="19">
        <f>100*200</f>
        <v>20000</v>
      </c>
      <c r="L43" s="15" t="s">
        <v>2356</v>
      </c>
      <c r="M43" s="15" t="s">
        <v>2587</v>
      </c>
      <c r="N43" s="15"/>
      <c r="O43" s="15" t="s">
        <v>5</v>
      </c>
      <c r="P43" s="15"/>
      <c r="Q43" s="15"/>
      <c r="R43" s="15"/>
      <c r="S43" s="15"/>
      <c r="T43" s="15"/>
      <c r="U43" s="14"/>
    </row>
    <row r="44" spans="1:21" ht="32.25" thickBot="1" x14ac:dyDescent="0.3">
      <c r="A44" s="16" t="str">
        <f>A43</f>
        <v>Зд2</v>
      </c>
      <c r="B44" s="17">
        <v>2</v>
      </c>
      <c r="C44" s="17" t="s">
        <v>2667</v>
      </c>
      <c r="D44" s="17" t="s">
        <v>2666</v>
      </c>
      <c r="E44" s="17">
        <v>2</v>
      </c>
      <c r="F44" s="12">
        <v>0.39500000000000002</v>
      </c>
      <c r="G44" s="17"/>
      <c r="H44" s="17">
        <v>250</v>
      </c>
      <c r="I44" s="17">
        <v>8</v>
      </c>
      <c r="J44" s="17" t="s">
        <v>2</v>
      </c>
      <c r="K44" s="17"/>
      <c r="L44" s="17"/>
      <c r="M44" s="17"/>
      <c r="N44" s="17"/>
      <c r="O44" s="17"/>
      <c r="P44" s="17"/>
      <c r="Q44" s="17"/>
      <c r="R44" s="17"/>
      <c r="S44" s="17" t="s">
        <v>2659</v>
      </c>
      <c r="T44" s="17" t="s">
        <v>2659</v>
      </c>
      <c r="U44" s="18">
        <v>20</v>
      </c>
    </row>
  </sheetData>
  <mergeCells count="11">
    <mergeCell ref="S1:U1"/>
    <mergeCell ref="A1:A2"/>
    <mergeCell ref="B1:B2"/>
    <mergeCell ref="C1:C2"/>
    <mergeCell ref="D1:D2"/>
    <mergeCell ref="E1:E2"/>
    <mergeCell ref="F1:F2"/>
    <mergeCell ref="G1:G2"/>
    <mergeCell ref="H1:J1"/>
    <mergeCell ref="K1:Q1"/>
    <mergeCell ref="R1:R2"/>
  </mergeCells>
  <conditionalFormatting sqref="A1:H1 A3:U44 H2:Q2 K1 R1:S1 S2:U2">
    <cfRule type="containsText" dxfId="112" priority="2" stopIfTrue="1" operator="containsText" text="С ЛИСТА">
      <formula>NOT(ISERROR(SEARCH("С ЛИСТА",A1)))</formula>
    </cfRule>
    <cfRule type="containsText" dxfId="111" priority="3" stopIfTrue="1" operator="containsText" text="ИЗ ФАЙЛА">
      <formula>NOT(ISERROR(SEARCH("ИЗ ФАЙЛА",A1)))</formula>
    </cfRule>
    <cfRule type="containsText" dxfId="110" priority="4" stopIfTrue="1" operator="containsText" text="!!!">
      <formula>NOT(ISERROR(SEARCH("!!!",A1)))</formula>
    </cfRule>
    <cfRule type="containsText" dxfId="109" priority="5" stopIfTrue="1" operator="containsText" text=" Изделия ">
      <formula>NOT(ISERROR(SEARCH(" Изделия ",A1)))</formula>
    </cfRule>
    <cfRule type="containsText" dxfId="108" priority="6" stopIfTrue="1" operator="containsText" text=" Прокат ">
      <formula>NOT(ISERROR(SEARCH(" Прокат ",A1)))</formula>
    </cfRule>
    <cfRule type="containsText" dxfId="107" priority="7" stopIfTrue="1" operator="containsText" text=" Сборочные единицы ">
      <formula>NOT(ISERROR(SEARCH(" Сборочные единицы ",A1)))</formula>
    </cfRule>
    <cfRule type="containsText" dxfId="106" priority="8" stopIfTrue="1" operator="containsText" text=" Материалы ">
      <formula>NOT(ISERROR(SEARCH(" Материалы ",A1)))</formula>
    </cfRule>
    <cfRule type="containsText" dxfId="105" priority="9" stopIfTrue="1" operator="containsText" text="Элементы на отм.">
      <formula>NOT(ISERROR(SEARCH("Элементы на отм.",A1)))</formula>
    </cfRule>
    <cfRule type="containsText" dxfId="104" priority="10" stopIfTrue="1" operator="containsText" text=", на ">
      <formula>NOT(ISERROR(SEARCH(", на ",A1)))</formula>
    </cfRule>
    <cfRule type="containsText" dxfId="103" priority="11" stopIfTrue="1" operator="containsText" text="шт.)">
      <formula>NOT(ISERROR(SEARCH("шт.)",A1)))</formula>
    </cfRule>
  </conditionalFormatting>
  <conditionalFormatting sqref="A1:U1048576">
    <cfRule type="expression" dxfId="102" priority="1">
      <formula>ISERROR(A1)</formula>
    </cfRule>
  </conditionalFormatting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9">
        <x14:dataValidation type="list" allowBlank="1" showInputMessage="1" showErrorMessage="1">
          <x14:formula1>
            <xm:f>'D:\Рогожин ДА\prog\YandexDisk\Работа\material-specification\[Спец Воздуходувка.xlsm]!System'!#REF!</xm:f>
          </x14:formula1>
          <xm:sqref>I44 I39 I32:I33</xm:sqref>
        </x14:dataValidation>
        <x14:dataValidation type="list" allowBlank="1" showInputMessage="1" showErrorMessage="1">
          <x14:formula1>
            <xm:f>'D:\Рогожин ДА\prog\YandexDisk\Работа\material-specification\[Спец Воздуходувка.xlsm]!System'!#REF!</xm:f>
          </x14:formula1>
          <xm:sqref>M43</xm:sqref>
        </x14:dataValidation>
        <x14:dataValidation type="list" allowBlank="1" showInputMessage="1" showErrorMessage="1">
          <x14:formula1>
            <xm:f>'D:\Рогожин ДА\prog\YandexDisk\Работа\material-specification\[Спец Воздуходувка.xlsm]!System'!#REF!</xm:f>
          </x14:formula1>
          <xm:sqref>M38</xm:sqref>
        </x14:dataValidation>
        <x14:dataValidation type="list" allowBlank="1" showInputMessage="1" showErrorMessage="1">
          <x14:formula1>
            <xm:f>'D:\Рогожин ДА\prog\YandexDisk\Работа\material-specification\[Спец Воздуходувка.xlsm]!System'!#REF!</xm:f>
          </x14:formula1>
          <xm:sqref>I27:I28 I22:I23 I16:I17 I11:I12 I6:I7</xm:sqref>
        </x14:dataValidation>
        <x14:dataValidation type="list" allowBlank="1" showInputMessage="1" showErrorMessage="1">
          <x14:formula1>
            <xm:f>'D:\Рогожин ДА\prog\YandexDisk\Работа\material-specification\[Спец Воздуходувка.xlsm]!System'!#REF!</xm:f>
          </x14:formula1>
          <xm:sqref>P3:P44</xm:sqref>
        </x14:dataValidation>
        <x14:dataValidation type="list" allowBlank="1" showInputMessage="1" showErrorMessage="1">
          <x14:formula1>
            <xm:f>'D:\Рогожин ДА\prog\YandexDisk\Работа\material-specification\[Спец Воздуходувка.xlsm]!System'!#REF!</xm:f>
          </x14:formula1>
          <xm:sqref>O3:O44</xm:sqref>
        </x14:dataValidation>
        <x14:dataValidation type="list" allowBlank="1" showInputMessage="1" showErrorMessage="1">
          <x14:formula1>
            <xm:f>'D:\Рогожин ДА\prog\YandexDisk\Работа\material-specification\[Спец Воздуходувка.xlsm]!System'!#REF!</xm:f>
          </x14:formula1>
          <xm:sqref>L3:L44</xm:sqref>
        </x14:dataValidation>
        <x14:dataValidation type="list" allowBlank="1" showInputMessage="1" showErrorMessage="1">
          <x14:formula1>
            <xm:f>'D:\Рогожин ДА\prog\YandexDisk\Работа\material-specification\[Спец Воздуходувка.xlsm]!System'!#REF!</xm:f>
          </x14:formula1>
          <xm:sqref>J3:J44</xm:sqref>
        </x14:dataValidation>
        <x14:dataValidation type="list" errorStyle="warning" allowBlank="1" showInputMessage="1" showErrorMessage="1">
          <x14:formula1>
            <xm:f>'D:\Рогожин ДА\prog\YandexDisk\Работа\material-specification\[Спец Воздуходувка.xlsm]!System'!#REF!</xm:f>
          </x14:formula1>
          <xm:sqref>G3:G44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">
    <tabColor theme="7" tint="0.39997558519241921"/>
  </sheetPr>
  <dimension ref="A1:C13"/>
  <sheetViews>
    <sheetView workbookViewId="0">
      <selection sqref="A1:C1"/>
    </sheetView>
  </sheetViews>
  <sheetFormatPr defaultRowHeight="15" x14ac:dyDescent="0.25"/>
  <cols>
    <col min="1" max="1" width="60.7109375" style="9" customWidth="1"/>
    <col min="2" max="2" width="40.7109375" style="9" customWidth="1"/>
    <col min="3" max="3" width="60.7109375" style="9" customWidth="1"/>
    <col min="4" max="16384" width="9.140625" style="9"/>
  </cols>
  <sheetData>
    <row r="1" spans="1:3" ht="45" customHeight="1" x14ac:dyDescent="0.25">
      <c r="A1" s="69" t="s">
        <v>3106</v>
      </c>
      <c r="B1" s="70" t="s">
        <v>3107</v>
      </c>
      <c r="C1" s="71" t="s">
        <v>3108</v>
      </c>
    </row>
    <row r="2" spans="1:3" x14ac:dyDescent="0.25">
      <c r="A2" s="64" t="s">
        <v>3109</v>
      </c>
      <c r="B2" s="63" t="s">
        <v>3110</v>
      </c>
      <c r="C2" s="67" t="s">
        <v>3111</v>
      </c>
    </row>
    <row r="3" spans="1:3" x14ac:dyDescent="0.25">
      <c r="A3" s="64" t="s">
        <v>3112</v>
      </c>
      <c r="B3" s="63" t="s">
        <v>3110</v>
      </c>
      <c r="C3" s="67" t="s">
        <v>3113</v>
      </c>
    </row>
    <row r="4" spans="1:3" x14ac:dyDescent="0.25">
      <c r="A4" s="64" t="s">
        <v>3114</v>
      </c>
      <c r="B4" s="63" t="s">
        <v>3115</v>
      </c>
      <c r="C4" s="67" t="s">
        <v>3116</v>
      </c>
    </row>
    <row r="5" spans="1:3" x14ac:dyDescent="0.25">
      <c r="A5" s="64" t="s">
        <v>3117</v>
      </c>
      <c r="B5" s="63" t="s">
        <v>2703</v>
      </c>
      <c r="C5" s="67" t="s">
        <v>3118</v>
      </c>
    </row>
    <row r="6" spans="1:3" x14ac:dyDescent="0.25">
      <c r="A6" s="64" t="s">
        <v>3119</v>
      </c>
      <c r="B6" s="63" t="s">
        <v>3120</v>
      </c>
      <c r="C6" s="67" t="s">
        <v>3121</v>
      </c>
    </row>
    <row r="7" spans="1:3" x14ac:dyDescent="0.25">
      <c r="A7" s="64" t="s">
        <v>3122</v>
      </c>
      <c r="B7" s="63" t="s">
        <v>3123</v>
      </c>
      <c r="C7" s="67" t="str">
        <f>A7</f>
        <v>Тип 2: Стена из газоблоков</v>
      </c>
    </row>
    <row r="8" spans="1:3" x14ac:dyDescent="0.25">
      <c r="A8" s="64" t="s">
        <v>3124</v>
      </c>
      <c r="B8" s="63" t="s">
        <v>3125</v>
      </c>
      <c r="C8" s="67" t="str">
        <f t="shared" ref="C8:C13" si="0">A8</f>
        <v>Тип 1: Наружная кирпичная стена</v>
      </c>
    </row>
    <row r="9" spans="1:3" x14ac:dyDescent="0.25">
      <c r="A9" s="64" t="s">
        <v>3126</v>
      </c>
      <c r="B9" s="63" t="s">
        <v>3120</v>
      </c>
      <c r="C9" s="67" t="str">
        <f t="shared" si="0"/>
        <v>П1</v>
      </c>
    </row>
    <row r="10" spans="1:3" x14ac:dyDescent="0.25">
      <c r="A10" s="64" t="s">
        <v>3127</v>
      </c>
      <c r="B10" s="63" t="s">
        <v>3120</v>
      </c>
      <c r="C10" s="67" t="str">
        <f t="shared" si="0"/>
        <v>П2</v>
      </c>
    </row>
    <row r="11" spans="1:3" x14ac:dyDescent="0.25">
      <c r="A11" s="64" t="s">
        <v>3128</v>
      </c>
      <c r="B11" s="63" t="s">
        <v>3129</v>
      </c>
      <c r="C11" s="67" t="str">
        <f t="shared" si="0"/>
        <v>Тип 4: ГКЛ перегородка тип С112</v>
      </c>
    </row>
    <row r="12" spans="1:3" x14ac:dyDescent="0.25">
      <c r="A12" s="64" t="s">
        <v>3130</v>
      </c>
      <c r="B12" s="63" t="s">
        <v>3131</v>
      </c>
      <c r="C12" s="67" t="str">
        <f t="shared" si="0"/>
        <v>Тип 3: Стена наружная железобетонная</v>
      </c>
    </row>
    <row r="13" spans="1:3" ht="15.75" thickBot="1" x14ac:dyDescent="0.3">
      <c r="A13" s="65" t="s">
        <v>3132</v>
      </c>
      <c r="B13" s="66" t="s">
        <v>3120</v>
      </c>
      <c r="C13" s="68" t="str">
        <f t="shared" si="0"/>
        <v>Низ ж/б лестниц</v>
      </c>
    </row>
  </sheetData>
  <conditionalFormatting sqref="A1:C13">
    <cfRule type="containsText" dxfId="101" priority="1" operator="containsText" text="Стены-разделители зон">
      <formula>NOT(ISERROR(SEARCH("Стены-разделители зон",A1)))</formula>
    </cfRule>
    <cfRule type="containsText" dxfId="100" priority="2" stopIfTrue="1" operator="containsText" text="Добавить">
      <formula>NOT(ISERROR(SEARCH("Добавить",A1)))</formula>
    </cfRule>
    <cfRule type="containsText" dxfId="99" priority="3" operator="containsText" text="Исключить">
      <formula>NOT(ISERROR(SEARCH("Исключить",A1)))</formula>
    </cfRule>
  </conditionalFormatting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9">
    <tabColor theme="7" tint="0.39997558519241921"/>
  </sheetPr>
  <dimension ref="A1:L36"/>
  <sheetViews>
    <sheetView workbookViewId="0">
      <selection activeCell="I3" sqref="I3:I6"/>
    </sheetView>
  </sheetViews>
  <sheetFormatPr defaultRowHeight="15" x14ac:dyDescent="0.25"/>
  <cols>
    <col min="1" max="1" width="5.42578125" style="72" customWidth="1"/>
    <col min="2" max="2" width="27" style="72" customWidth="1"/>
    <col min="3" max="3" width="21.7109375" style="72" customWidth="1"/>
    <col min="4" max="4" width="8.140625" style="72" customWidth="1"/>
    <col min="5" max="5" width="21.7109375" style="72" customWidth="1"/>
    <col min="6" max="6" width="8.140625" style="72" customWidth="1"/>
    <col min="7" max="7" width="21.7109375" style="72" customWidth="1"/>
    <col min="8" max="8" width="8.140625" style="72" customWidth="1"/>
    <col min="9" max="9" width="21.7109375" style="72" customWidth="1"/>
    <col min="10" max="11" width="8.140625" style="72" customWidth="1"/>
    <col min="12" max="12" width="16.28515625" style="72" customWidth="1"/>
    <col min="13" max="16384" width="9.140625" style="72"/>
  </cols>
  <sheetData>
    <row r="1" spans="1:12" ht="15.75" x14ac:dyDescent="0.25">
      <c r="A1" s="113" t="s">
        <v>3133</v>
      </c>
      <c r="B1" s="115" t="s">
        <v>3134</v>
      </c>
      <c r="C1" s="115" t="s">
        <v>3135</v>
      </c>
      <c r="D1" s="115"/>
      <c r="E1" s="115"/>
      <c r="F1" s="115"/>
      <c r="G1" s="115"/>
      <c r="H1" s="115"/>
      <c r="I1" s="115"/>
      <c r="J1" s="115"/>
      <c r="K1" s="115"/>
      <c r="L1" s="117" t="s">
        <v>2719</v>
      </c>
    </row>
    <row r="2" spans="1:12" ht="41.25" thickBot="1" x14ac:dyDescent="0.3">
      <c r="A2" s="114"/>
      <c r="B2" s="116"/>
      <c r="C2" s="50" t="s">
        <v>3136</v>
      </c>
      <c r="D2" s="80" t="s">
        <v>3137</v>
      </c>
      <c r="E2" s="50" t="s">
        <v>3138</v>
      </c>
      <c r="F2" s="80" t="s">
        <v>3137</v>
      </c>
      <c r="G2" s="50" t="s">
        <v>3139</v>
      </c>
      <c r="H2" s="80" t="s">
        <v>3137</v>
      </c>
      <c r="I2" s="50" t="s">
        <v>3140</v>
      </c>
      <c r="J2" s="80" t="s">
        <v>3137</v>
      </c>
      <c r="K2" s="80" t="s">
        <v>3141</v>
      </c>
      <c r="L2" s="118"/>
    </row>
    <row r="3" spans="1:12" ht="25.5" x14ac:dyDescent="0.25">
      <c r="A3" s="119" t="s">
        <v>3142</v>
      </c>
      <c r="B3" s="73" t="s">
        <v>3143</v>
      </c>
      <c r="C3" s="73" t="s">
        <v>3144</v>
      </c>
      <c r="D3" s="81">
        <v>18.5</v>
      </c>
      <c r="E3" s="73" t="s">
        <v>3145</v>
      </c>
      <c r="F3" s="81">
        <v>88.199999999999989</v>
      </c>
      <c r="G3" s="73" t="s">
        <v>3145</v>
      </c>
      <c r="H3" s="81">
        <v>8.1999999999999993</v>
      </c>
      <c r="I3" s="105" t="s">
        <v>4</v>
      </c>
      <c r="J3" s="102" t="s">
        <v>4</v>
      </c>
      <c r="K3" s="102" t="s">
        <v>4</v>
      </c>
      <c r="L3" s="120" t="s">
        <v>3146</v>
      </c>
    </row>
    <row r="4" spans="1:12" ht="25.5" x14ac:dyDescent="0.25">
      <c r="A4" s="93"/>
      <c r="B4" s="108" t="s">
        <v>3143</v>
      </c>
      <c r="C4" s="108" t="s">
        <v>3127</v>
      </c>
      <c r="D4" s="104">
        <v>18.5</v>
      </c>
      <c r="E4" s="74" t="s">
        <v>3147</v>
      </c>
      <c r="F4" s="83">
        <v>78.199999999999989</v>
      </c>
      <c r="G4" s="74" t="s">
        <v>3147</v>
      </c>
      <c r="H4" s="83">
        <v>6.2</v>
      </c>
      <c r="I4" s="105"/>
      <c r="J4" s="102"/>
      <c r="K4" s="102"/>
      <c r="L4" s="110"/>
    </row>
    <row r="5" spans="1:12" ht="25.5" x14ac:dyDescent="0.25">
      <c r="A5" s="93"/>
      <c r="B5" s="105"/>
      <c r="C5" s="105"/>
      <c r="D5" s="102"/>
      <c r="E5" s="74" t="s">
        <v>3122</v>
      </c>
      <c r="F5" s="83">
        <v>76.699999999999989</v>
      </c>
      <c r="G5" s="74" t="s">
        <v>3148</v>
      </c>
      <c r="H5" s="83">
        <v>14.3</v>
      </c>
      <c r="I5" s="105"/>
      <c r="J5" s="102"/>
      <c r="K5" s="102"/>
      <c r="L5" s="110"/>
    </row>
    <row r="6" spans="1:12" ht="26.25" thickBot="1" x14ac:dyDescent="0.3">
      <c r="A6" s="109"/>
      <c r="B6" s="106"/>
      <c r="C6" s="106"/>
      <c r="D6" s="103"/>
      <c r="E6" s="75" t="s">
        <v>3128</v>
      </c>
      <c r="F6" s="84">
        <v>89.6</v>
      </c>
      <c r="G6" s="75" t="s">
        <v>3111</v>
      </c>
      <c r="H6" s="84">
        <v>14.3</v>
      </c>
      <c r="I6" s="106"/>
      <c r="J6" s="103"/>
      <c r="K6" s="103"/>
      <c r="L6" s="111"/>
    </row>
    <row r="7" spans="1:12" ht="25.5" x14ac:dyDescent="0.25">
      <c r="A7" s="98" t="s">
        <v>3149</v>
      </c>
      <c r="B7" s="76" t="s">
        <v>3150</v>
      </c>
      <c r="C7" s="76" t="s">
        <v>3151</v>
      </c>
      <c r="D7" s="82">
        <v>67.2</v>
      </c>
      <c r="E7" s="76" t="s">
        <v>3152</v>
      </c>
      <c r="F7" s="82">
        <v>97.8</v>
      </c>
      <c r="G7" s="76" t="s">
        <v>3152</v>
      </c>
      <c r="H7" s="82">
        <v>16.200000000000003</v>
      </c>
      <c r="I7" s="76" t="s">
        <v>3110</v>
      </c>
      <c r="J7" s="82">
        <v>106.9</v>
      </c>
      <c r="K7" s="101" t="s">
        <v>3153</v>
      </c>
      <c r="L7" s="100" t="s">
        <v>3154</v>
      </c>
    </row>
    <row r="8" spans="1:12" ht="25.5" x14ac:dyDescent="0.25">
      <c r="A8" s="93"/>
      <c r="B8" s="108" t="s">
        <v>3150</v>
      </c>
      <c r="C8" s="108" t="s">
        <v>3126</v>
      </c>
      <c r="D8" s="104">
        <v>67.2</v>
      </c>
      <c r="E8" s="74" t="s">
        <v>3124</v>
      </c>
      <c r="F8" s="83">
        <v>38.9</v>
      </c>
      <c r="G8" s="74" t="s">
        <v>3148</v>
      </c>
      <c r="H8" s="83">
        <v>32.299999999999997</v>
      </c>
      <c r="I8" s="74" t="s">
        <v>3148</v>
      </c>
      <c r="J8" s="83">
        <v>12.1</v>
      </c>
      <c r="K8" s="102"/>
      <c r="L8" s="110"/>
    </row>
    <row r="9" spans="1:12" ht="25.5" x14ac:dyDescent="0.25">
      <c r="A9" s="93"/>
      <c r="B9" s="105"/>
      <c r="C9" s="105"/>
      <c r="D9" s="102"/>
      <c r="E9" s="74" t="s">
        <v>3122</v>
      </c>
      <c r="F9" s="83">
        <v>94.3</v>
      </c>
      <c r="G9" s="108" t="s">
        <v>3111</v>
      </c>
      <c r="H9" s="104">
        <v>32.299999999999997</v>
      </c>
      <c r="I9" s="74" t="s">
        <v>3124</v>
      </c>
      <c r="J9" s="83">
        <v>21.6</v>
      </c>
      <c r="K9" s="102"/>
      <c r="L9" s="110"/>
    </row>
    <row r="10" spans="1:12" ht="25.5" x14ac:dyDescent="0.25">
      <c r="A10" s="93"/>
      <c r="B10" s="105"/>
      <c r="C10" s="105"/>
      <c r="D10" s="102"/>
      <c r="E10" s="74" t="s">
        <v>3130</v>
      </c>
      <c r="F10" s="83">
        <v>34.5</v>
      </c>
      <c r="G10" s="105"/>
      <c r="H10" s="102"/>
      <c r="I10" s="74" t="s">
        <v>3122</v>
      </c>
      <c r="J10" s="83">
        <v>31.6</v>
      </c>
      <c r="K10" s="102"/>
      <c r="L10" s="110"/>
    </row>
    <row r="11" spans="1:12" ht="25.5" x14ac:dyDescent="0.25">
      <c r="A11" s="93"/>
      <c r="B11" s="105"/>
      <c r="C11" s="105"/>
      <c r="D11" s="102"/>
      <c r="E11" s="108" t="s">
        <v>3128</v>
      </c>
      <c r="F11" s="104">
        <v>72.599999999999994</v>
      </c>
      <c r="G11" s="105"/>
      <c r="H11" s="102"/>
      <c r="I11" s="74" t="s">
        <v>3130</v>
      </c>
      <c r="J11" s="83">
        <v>18</v>
      </c>
      <c r="K11" s="102"/>
      <c r="L11" s="110"/>
    </row>
    <row r="12" spans="1:12" ht="25.5" x14ac:dyDescent="0.25">
      <c r="A12" s="93"/>
      <c r="B12" s="105"/>
      <c r="C12" s="105"/>
      <c r="D12" s="102"/>
      <c r="E12" s="105"/>
      <c r="F12" s="102"/>
      <c r="G12" s="105"/>
      <c r="H12" s="102"/>
      <c r="I12" s="74" t="s">
        <v>3128</v>
      </c>
      <c r="J12" s="83">
        <v>23.700000000000003</v>
      </c>
      <c r="K12" s="102"/>
      <c r="L12" s="110"/>
    </row>
    <row r="13" spans="1:12" ht="22.7" customHeight="1" thickBot="1" x14ac:dyDescent="0.3">
      <c r="A13" s="109"/>
      <c r="B13" s="106"/>
      <c r="C13" s="106"/>
      <c r="D13" s="103"/>
      <c r="E13" s="106"/>
      <c r="F13" s="103"/>
      <c r="G13" s="106"/>
      <c r="H13" s="103"/>
      <c r="I13" s="75" t="s">
        <v>3111</v>
      </c>
      <c r="J13" s="84">
        <v>12.1</v>
      </c>
      <c r="K13" s="103"/>
      <c r="L13" s="111"/>
    </row>
    <row r="14" spans="1:12" ht="25.5" x14ac:dyDescent="0.25">
      <c r="A14" s="98" t="s">
        <v>3155</v>
      </c>
      <c r="B14" s="76" t="s">
        <v>3156</v>
      </c>
      <c r="C14" s="76" t="s">
        <v>3126</v>
      </c>
      <c r="D14" s="82">
        <v>214.2</v>
      </c>
      <c r="E14" s="76" t="s">
        <v>3157</v>
      </c>
      <c r="F14" s="82">
        <v>90.399999999999991</v>
      </c>
      <c r="G14" s="107" t="s">
        <v>4</v>
      </c>
      <c r="H14" s="101" t="s">
        <v>4</v>
      </c>
      <c r="I14" s="107" t="s">
        <v>4</v>
      </c>
      <c r="J14" s="101" t="s">
        <v>4</v>
      </c>
      <c r="K14" s="101" t="s">
        <v>4</v>
      </c>
      <c r="L14" s="100" t="s">
        <v>3158</v>
      </c>
    </row>
    <row r="15" spans="1:12" ht="25.5" x14ac:dyDescent="0.25">
      <c r="A15" s="93"/>
      <c r="B15" s="108">
        <v>101</v>
      </c>
      <c r="C15" s="108" t="s">
        <v>3127</v>
      </c>
      <c r="D15" s="104">
        <v>44.7</v>
      </c>
      <c r="E15" s="74" t="s">
        <v>3159</v>
      </c>
      <c r="F15" s="83">
        <v>326.7</v>
      </c>
      <c r="G15" s="105"/>
      <c r="H15" s="102"/>
      <c r="I15" s="105"/>
      <c r="J15" s="102"/>
      <c r="K15" s="102"/>
      <c r="L15" s="110"/>
    </row>
    <row r="16" spans="1:12" ht="25.5" x14ac:dyDescent="0.25">
      <c r="A16" s="93"/>
      <c r="B16" s="105"/>
      <c r="C16" s="105"/>
      <c r="D16" s="102"/>
      <c r="E16" s="74" t="s">
        <v>3124</v>
      </c>
      <c r="F16" s="83">
        <v>218.9</v>
      </c>
      <c r="G16" s="105"/>
      <c r="H16" s="102"/>
      <c r="I16" s="105"/>
      <c r="J16" s="102"/>
      <c r="K16" s="102"/>
      <c r="L16" s="110"/>
    </row>
    <row r="17" spans="1:12" ht="26.25" thickBot="1" x14ac:dyDescent="0.3">
      <c r="A17" s="109"/>
      <c r="B17" s="106"/>
      <c r="C17" s="106"/>
      <c r="D17" s="103"/>
      <c r="E17" s="75" t="s">
        <v>3122</v>
      </c>
      <c r="F17" s="84">
        <v>271.2</v>
      </c>
      <c r="G17" s="106"/>
      <c r="H17" s="103"/>
      <c r="I17" s="106"/>
      <c r="J17" s="103"/>
      <c r="K17" s="102"/>
      <c r="L17" s="111"/>
    </row>
    <row r="18" spans="1:12" ht="22.7" customHeight="1" x14ac:dyDescent="0.25">
      <c r="A18" s="98" t="s">
        <v>3160</v>
      </c>
      <c r="B18" s="76">
        <v>206</v>
      </c>
      <c r="C18" s="76" t="s">
        <v>3151</v>
      </c>
      <c r="D18" s="82">
        <v>24.1</v>
      </c>
      <c r="E18" s="76" t="s">
        <v>3151</v>
      </c>
      <c r="F18" s="82">
        <v>278.70000000000005</v>
      </c>
      <c r="G18" s="107" t="s">
        <v>4</v>
      </c>
      <c r="H18" s="101" t="s">
        <v>4</v>
      </c>
      <c r="I18" s="107" t="s">
        <v>4</v>
      </c>
      <c r="J18" s="101" t="s">
        <v>4</v>
      </c>
      <c r="K18" s="102"/>
      <c r="L18" s="100" t="s">
        <v>3161</v>
      </c>
    </row>
    <row r="19" spans="1:12" ht="25.5" x14ac:dyDescent="0.25">
      <c r="A19" s="93"/>
      <c r="B19" s="74" t="s">
        <v>3162</v>
      </c>
      <c r="C19" s="74" t="s">
        <v>3163</v>
      </c>
      <c r="D19" s="83">
        <v>46.5</v>
      </c>
      <c r="E19" s="74" t="s">
        <v>3122</v>
      </c>
      <c r="F19" s="83">
        <v>237.7</v>
      </c>
      <c r="G19" s="105"/>
      <c r="H19" s="102"/>
      <c r="I19" s="105"/>
      <c r="J19" s="102"/>
      <c r="K19" s="102"/>
      <c r="L19" s="110"/>
    </row>
    <row r="20" spans="1:12" ht="22.7" customHeight="1" x14ac:dyDescent="0.25">
      <c r="A20" s="93"/>
      <c r="B20" s="108" t="s">
        <v>3162</v>
      </c>
      <c r="C20" s="108" t="s">
        <v>3164</v>
      </c>
      <c r="D20" s="104">
        <v>46.5</v>
      </c>
      <c r="E20" s="108" t="s">
        <v>3130</v>
      </c>
      <c r="F20" s="104">
        <v>41.1</v>
      </c>
      <c r="G20" s="105"/>
      <c r="H20" s="102"/>
      <c r="I20" s="105"/>
      <c r="J20" s="102"/>
      <c r="K20" s="102"/>
      <c r="L20" s="110"/>
    </row>
    <row r="21" spans="1:12" ht="22.7" customHeight="1" thickBot="1" x14ac:dyDescent="0.3">
      <c r="A21" s="109"/>
      <c r="B21" s="105"/>
      <c r="C21" s="105"/>
      <c r="D21" s="102"/>
      <c r="E21" s="106"/>
      <c r="F21" s="103"/>
      <c r="G21" s="106"/>
      <c r="H21" s="103"/>
      <c r="I21" s="106"/>
      <c r="J21" s="103"/>
      <c r="K21" s="103"/>
      <c r="L21" s="112"/>
    </row>
    <row r="22" spans="1:12" ht="15" customHeight="1" x14ac:dyDescent="0.25">
      <c r="A22" s="98" t="s">
        <v>3165</v>
      </c>
      <c r="B22" s="99"/>
      <c r="C22" s="99"/>
      <c r="D22" s="100"/>
      <c r="E22" s="95" t="s">
        <v>3166</v>
      </c>
      <c r="F22" s="95"/>
      <c r="G22" s="95"/>
      <c r="H22" s="95"/>
      <c r="I22" s="77" t="s">
        <v>2720</v>
      </c>
      <c r="J22" s="77" t="s">
        <v>2720</v>
      </c>
      <c r="K22" s="77" t="s">
        <v>2720</v>
      </c>
      <c r="L22" s="77" t="s">
        <v>2720</v>
      </c>
    </row>
    <row r="23" spans="1:12" ht="15" customHeight="1" x14ac:dyDescent="0.25">
      <c r="A23" s="93" t="s">
        <v>3167</v>
      </c>
      <c r="B23" s="94"/>
      <c r="C23" s="94"/>
      <c r="D23" s="78">
        <v>18.5</v>
      </c>
      <c r="E23" s="95" t="s">
        <v>2711</v>
      </c>
      <c r="F23" s="95"/>
      <c r="G23" s="95"/>
      <c r="H23" s="77">
        <v>109.80000000000001</v>
      </c>
      <c r="I23" s="77" t="s">
        <v>2720</v>
      </c>
      <c r="J23" s="77" t="s">
        <v>2720</v>
      </c>
      <c r="K23" s="77" t="s">
        <v>2720</v>
      </c>
      <c r="L23" s="77" t="s">
        <v>2720</v>
      </c>
    </row>
    <row r="24" spans="1:12" ht="15" customHeight="1" x14ac:dyDescent="0.25">
      <c r="A24" s="93" t="s">
        <v>3168</v>
      </c>
      <c r="B24" s="94"/>
      <c r="C24" s="94"/>
      <c r="D24" s="78">
        <v>91.300000000000011</v>
      </c>
      <c r="E24" s="95" t="s">
        <v>3169</v>
      </c>
      <c r="F24" s="95"/>
      <c r="G24" s="95"/>
      <c r="H24" s="77">
        <v>960</v>
      </c>
      <c r="I24" s="77" t="s">
        <v>2720</v>
      </c>
      <c r="J24" s="77" t="s">
        <v>2720</v>
      </c>
      <c r="K24" s="77" t="s">
        <v>2720</v>
      </c>
      <c r="L24" s="77" t="s">
        <v>2720</v>
      </c>
    </row>
    <row r="25" spans="1:12" ht="15" customHeight="1" x14ac:dyDescent="0.25">
      <c r="A25" s="93" t="s">
        <v>3170</v>
      </c>
      <c r="B25" s="94"/>
      <c r="C25" s="94"/>
      <c r="D25" s="78">
        <v>63.2</v>
      </c>
      <c r="E25" s="95" t="s">
        <v>2703</v>
      </c>
      <c r="F25" s="95"/>
      <c r="G25" s="95"/>
      <c r="H25" s="77">
        <v>30.6</v>
      </c>
      <c r="I25" s="77" t="s">
        <v>2720</v>
      </c>
      <c r="J25" s="77" t="s">
        <v>2720</v>
      </c>
      <c r="K25" s="77" t="s">
        <v>2720</v>
      </c>
      <c r="L25" s="77" t="s">
        <v>2720</v>
      </c>
    </row>
    <row r="26" spans="1:12" ht="15" customHeight="1" x14ac:dyDescent="0.25">
      <c r="A26" s="93" t="s">
        <v>3171</v>
      </c>
      <c r="B26" s="94"/>
      <c r="C26" s="94"/>
      <c r="D26" s="78">
        <v>281.39999999999998</v>
      </c>
      <c r="E26" s="95" t="s">
        <v>3172</v>
      </c>
      <c r="F26" s="95"/>
      <c r="G26" s="95"/>
      <c r="H26" s="77">
        <v>106.9</v>
      </c>
      <c r="I26" s="77" t="s">
        <v>2720</v>
      </c>
      <c r="J26" s="77" t="s">
        <v>2720</v>
      </c>
      <c r="K26" s="77" t="s">
        <v>2720</v>
      </c>
      <c r="L26" s="77" t="s">
        <v>2720</v>
      </c>
    </row>
    <row r="27" spans="1:12" ht="15" customHeight="1" x14ac:dyDescent="0.25">
      <c r="A27" s="93" t="s">
        <v>3110</v>
      </c>
      <c r="B27" s="94"/>
      <c r="C27" s="94"/>
      <c r="D27" s="78">
        <v>203.3</v>
      </c>
      <c r="E27" s="95" t="s">
        <v>2720</v>
      </c>
      <c r="F27" s="95"/>
      <c r="G27" s="95"/>
      <c r="H27" s="77" t="s">
        <v>2720</v>
      </c>
      <c r="I27" s="77" t="s">
        <v>2720</v>
      </c>
      <c r="J27" s="77" t="s">
        <v>2720</v>
      </c>
      <c r="K27" s="77" t="s">
        <v>2720</v>
      </c>
      <c r="L27" s="77" t="s">
        <v>2720</v>
      </c>
    </row>
    <row r="28" spans="1:12" ht="15" customHeight="1" x14ac:dyDescent="0.25">
      <c r="A28" s="93" t="s">
        <v>3151</v>
      </c>
      <c r="B28" s="94"/>
      <c r="C28" s="94"/>
      <c r="D28" s="78">
        <v>894.2</v>
      </c>
      <c r="E28" s="95" t="s">
        <v>2720</v>
      </c>
      <c r="F28" s="95"/>
      <c r="G28" s="95"/>
      <c r="H28" s="77" t="s">
        <v>2720</v>
      </c>
      <c r="I28" s="77" t="s">
        <v>2720</v>
      </c>
      <c r="J28" s="77" t="s">
        <v>2720</v>
      </c>
      <c r="K28" s="77" t="s">
        <v>2720</v>
      </c>
      <c r="L28" s="77" t="s">
        <v>2720</v>
      </c>
    </row>
    <row r="29" spans="1:12" ht="15" customHeight="1" x14ac:dyDescent="0.25">
      <c r="A29" s="93" t="s">
        <v>3122</v>
      </c>
      <c r="B29" s="94"/>
      <c r="C29" s="94"/>
      <c r="D29" s="78">
        <v>711.5</v>
      </c>
      <c r="E29" s="95" t="s">
        <v>2720</v>
      </c>
      <c r="F29" s="95"/>
      <c r="G29" s="95"/>
      <c r="H29" s="77" t="s">
        <v>2720</v>
      </c>
      <c r="I29" s="77" t="s">
        <v>2720</v>
      </c>
      <c r="J29" s="77" t="s">
        <v>2720</v>
      </c>
      <c r="K29" s="77" t="s">
        <v>2720</v>
      </c>
      <c r="L29" s="77" t="s">
        <v>2720</v>
      </c>
    </row>
    <row r="30" spans="1:12" ht="15" customHeight="1" x14ac:dyDescent="0.25">
      <c r="A30" s="93" t="s">
        <v>3128</v>
      </c>
      <c r="B30" s="94"/>
      <c r="C30" s="94"/>
      <c r="D30" s="78">
        <v>185.89999999999998</v>
      </c>
      <c r="E30" s="95" t="s">
        <v>2720</v>
      </c>
      <c r="F30" s="95"/>
      <c r="G30" s="95"/>
      <c r="H30" s="77" t="s">
        <v>2720</v>
      </c>
      <c r="I30" s="77" t="s">
        <v>2720</v>
      </c>
      <c r="J30" s="77" t="s">
        <v>2720</v>
      </c>
      <c r="K30" s="77" t="s">
        <v>2720</v>
      </c>
      <c r="L30" s="77" t="s">
        <v>2720</v>
      </c>
    </row>
    <row r="31" spans="1:12" ht="15" customHeight="1" x14ac:dyDescent="0.25">
      <c r="A31" s="93" t="s">
        <v>3148</v>
      </c>
      <c r="B31" s="94"/>
      <c r="C31" s="94"/>
      <c r="D31" s="78">
        <v>58.699999999999996</v>
      </c>
      <c r="E31" s="95" t="s">
        <v>2720</v>
      </c>
      <c r="F31" s="95"/>
      <c r="G31" s="95"/>
      <c r="H31" s="77" t="s">
        <v>2720</v>
      </c>
      <c r="I31" s="77" t="s">
        <v>2720</v>
      </c>
      <c r="J31" s="77" t="s">
        <v>2720</v>
      </c>
      <c r="K31" s="77" t="s">
        <v>2720</v>
      </c>
      <c r="L31" s="77" t="s">
        <v>2720</v>
      </c>
    </row>
    <row r="32" spans="1:12" ht="15" customHeight="1" x14ac:dyDescent="0.25">
      <c r="A32" s="93" t="s">
        <v>3111</v>
      </c>
      <c r="B32" s="94"/>
      <c r="C32" s="94"/>
      <c r="D32" s="78">
        <v>58.699999999999996</v>
      </c>
      <c r="E32" s="95" t="s">
        <v>2720</v>
      </c>
      <c r="F32" s="95"/>
      <c r="G32" s="95"/>
      <c r="H32" s="77" t="s">
        <v>2720</v>
      </c>
      <c r="I32" s="77" t="s">
        <v>2720</v>
      </c>
      <c r="J32" s="77" t="s">
        <v>2720</v>
      </c>
      <c r="K32" s="77" t="s">
        <v>2720</v>
      </c>
      <c r="L32" s="77" t="s">
        <v>2720</v>
      </c>
    </row>
    <row r="33" spans="1:12" ht="15" customHeight="1" x14ac:dyDescent="0.25">
      <c r="A33" s="93" t="s">
        <v>3124</v>
      </c>
      <c r="B33" s="94"/>
      <c r="C33" s="94"/>
      <c r="D33" s="78">
        <v>279.39999999999998</v>
      </c>
      <c r="E33" s="95" t="s">
        <v>2720</v>
      </c>
      <c r="F33" s="95"/>
      <c r="G33" s="95"/>
      <c r="H33" s="77" t="s">
        <v>2720</v>
      </c>
      <c r="I33" s="77" t="s">
        <v>2720</v>
      </c>
      <c r="J33" s="77" t="s">
        <v>2720</v>
      </c>
      <c r="K33" s="77" t="s">
        <v>2720</v>
      </c>
      <c r="L33" s="77" t="s">
        <v>2720</v>
      </c>
    </row>
    <row r="34" spans="1:12" ht="15" customHeight="1" x14ac:dyDescent="0.25">
      <c r="A34" s="93" t="s">
        <v>3130</v>
      </c>
      <c r="B34" s="94"/>
      <c r="C34" s="94"/>
      <c r="D34" s="78">
        <v>93.6</v>
      </c>
      <c r="E34" s="95" t="s">
        <v>2720</v>
      </c>
      <c r="F34" s="95"/>
      <c r="G34" s="95"/>
      <c r="H34" s="77" t="s">
        <v>2720</v>
      </c>
      <c r="I34" s="77" t="s">
        <v>2720</v>
      </c>
      <c r="J34" s="77" t="s">
        <v>2720</v>
      </c>
      <c r="K34" s="77" t="s">
        <v>2720</v>
      </c>
      <c r="L34" s="77" t="s">
        <v>2720</v>
      </c>
    </row>
    <row r="35" spans="1:12" ht="15" customHeight="1" x14ac:dyDescent="0.25">
      <c r="A35" s="93" t="s">
        <v>3163</v>
      </c>
      <c r="B35" s="94"/>
      <c r="C35" s="94"/>
      <c r="D35" s="78">
        <v>46.5</v>
      </c>
      <c r="E35" s="95" t="s">
        <v>2720</v>
      </c>
      <c r="F35" s="95"/>
      <c r="G35" s="95"/>
      <c r="H35" s="77" t="s">
        <v>2720</v>
      </c>
      <c r="I35" s="77" t="s">
        <v>2720</v>
      </c>
      <c r="J35" s="77" t="s">
        <v>2720</v>
      </c>
      <c r="K35" s="77" t="s">
        <v>2720</v>
      </c>
      <c r="L35" s="77" t="s">
        <v>2720</v>
      </c>
    </row>
    <row r="36" spans="1:12" ht="15" customHeight="1" thickBot="1" x14ac:dyDescent="0.3">
      <c r="A36" s="96" t="s">
        <v>3164</v>
      </c>
      <c r="B36" s="97"/>
      <c r="C36" s="97"/>
      <c r="D36" s="79">
        <v>46.5</v>
      </c>
      <c r="E36" s="95" t="s">
        <v>2720</v>
      </c>
      <c r="F36" s="95"/>
      <c r="G36" s="95"/>
      <c r="H36" s="77" t="s">
        <v>2720</v>
      </c>
      <c r="I36" s="77" t="s">
        <v>2720</v>
      </c>
      <c r="J36" s="77" t="s">
        <v>2720</v>
      </c>
      <c r="K36" s="77" t="s">
        <v>2720</v>
      </c>
      <c r="L36" s="77" t="s">
        <v>2720</v>
      </c>
    </row>
  </sheetData>
  <mergeCells count="73">
    <mergeCell ref="A1:A2"/>
    <mergeCell ref="B1:B2"/>
    <mergeCell ref="C1:K1"/>
    <mergeCell ref="L1:L2"/>
    <mergeCell ref="A3:A6"/>
    <mergeCell ref="L3:L6"/>
    <mergeCell ref="B4:B6"/>
    <mergeCell ref="C4:C6"/>
    <mergeCell ref="J3:J6"/>
    <mergeCell ref="A7:A13"/>
    <mergeCell ref="L7:L13"/>
    <mergeCell ref="A14:A17"/>
    <mergeCell ref="L14:L17"/>
    <mergeCell ref="A18:A21"/>
    <mergeCell ref="L18:L21"/>
    <mergeCell ref="B8:B13"/>
    <mergeCell ref="B15:B17"/>
    <mergeCell ref="B20:B21"/>
    <mergeCell ref="C8:C13"/>
    <mergeCell ref="C15:C17"/>
    <mergeCell ref="C20:C21"/>
    <mergeCell ref="D4:D6"/>
    <mergeCell ref="D8:D13"/>
    <mergeCell ref="D15:D17"/>
    <mergeCell ref="D20:D21"/>
    <mergeCell ref="E11:E13"/>
    <mergeCell ref="E20:E21"/>
    <mergeCell ref="F11:F13"/>
    <mergeCell ref="F20:F21"/>
    <mergeCell ref="G9:G13"/>
    <mergeCell ref="G14:G17"/>
    <mergeCell ref="G18:G21"/>
    <mergeCell ref="H9:H13"/>
    <mergeCell ref="H14:H17"/>
    <mergeCell ref="H18:H21"/>
    <mergeCell ref="I3:I6"/>
    <mergeCell ref="I14:I17"/>
    <mergeCell ref="I18:I21"/>
    <mergeCell ref="J14:J17"/>
    <mergeCell ref="J18:J21"/>
    <mergeCell ref="K3:K6"/>
    <mergeCell ref="K7:K13"/>
    <mergeCell ref="K14:K21"/>
    <mergeCell ref="A22:D22"/>
    <mergeCell ref="E22:H22"/>
    <mergeCell ref="A23:C23"/>
    <mergeCell ref="E23:G23"/>
    <mergeCell ref="A24:C24"/>
    <mergeCell ref="E24:G24"/>
    <mergeCell ref="A25:C25"/>
    <mergeCell ref="E25:G25"/>
    <mergeCell ref="A26:C26"/>
    <mergeCell ref="E26:G26"/>
    <mergeCell ref="A27:C27"/>
    <mergeCell ref="E27:G27"/>
    <mergeCell ref="A28:C28"/>
    <mergeCell ref="E28:G28"/>
    <mergeCell ref="A29:C29"/>
    <mergeCell ref="E29:G29"/>
    <mergeCell ref="A30:C30"/>
    <mergeCell ref="E30:G30"/>
    <mergeCell ref="A31:C31"/>
    <mergeCell ref="E31:G31"/>
    <mergeCell ref="A32:C32"/>
    <mergeCell ref="E32:G32"/>
    <mergeCell ref="A33:C33"/>
    <mergeCell ref="E33:G33"/>
    <mergeCell ref="A34:C34"/>
    <mergeCell ref="E34:G34"/>
    <mergeCell ref="A35:C35"/>
    <mergeCell ref="E35:G35"/>
    <mergeCell ref="A36:C36"/>
    <mergeCell ref="E36:G36"/>
  </mergeCells>
  <conditionalFormatting sqref="A1:L36">
    <cfRule type="containsText" dxfId="98" priority="1" stopIfTrue="1" operator="containsText" text="НЕТ ОТДЕЛКИ">
      <formula>NOT(ISERROR(SEARCH("НЕТ ОТДЕЛКИ",A1)))</formula>
    </cfRule>
  </conditionalFormatting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>
    <tabColor rgb="FF000000"/>
  </sheetPr>
  <dimension ref="A1:O73"/>
  <sheetViews>
    <sheetView topLeftCell="A22" workbookViewId="0">
      <selection activeCell="I90" sqref="I90"/>
    </sheetView>
  </sheetViews>
  <sheetFormatPr defaultRowHeight="15" x14ac:dyDescent="0.25"/>
  <cols>
    <col min="1" max="1" width="7.85546875" style="9" customWidth="1"/>
    <col min="2" max="2" width="24.5703125" style="9" customWidth="1"/>
    <col min="3" max="3" width="29.42578125" style="9" customWidth="1"/>
    <col min="4" max="13" width="7.85546875" style="9" customWidth="1"/>
    <col min="14" max="14" width="10.28515625" style="9" customWidth="1"/>
    <col min="15" max="15" width="12.7109375" style="9" customWidth="1"/>
    <col min="16" max="16384" width="9.140625" style="9"/>
  </cols>
  <sheetData>
    <row r="1" spans="1:15" ht="15.75" x14ac:dyDescent="0.25">
      <c r="A1" s="87" t="s">
        <v>2636</v>
      </c>
      <c r="B1" s="85" t="s">
        <v>2637</v>
      </c>
      <c r="C1" s="85" t="s">
        <v>2638</v>
      </c>
      <c r="D1" s="89" t="s">
        <v>3005</v>
      </c>
      <c r="E1" s="90"/>
      <c r="F1" s="90"/>
      <c r="G1" s="90"/>
      <c r="H1" s="90"/>
      <c r="I1" s="90"/>
      <c r="J1" s="90"/>
      <c r="K1" s="90"/>
      <c r="L1" s="91"/>
      <c r="M1" s="85" t="s">
        <v>3006</v>
      </c>
      <c r="N1" s="85" t="s">
        <v>2837</v>
      </c>
      <c r="O1" s="121" t="s">
        <v>2719</v>
      </c>
    </row>
    <row r="2" spans="1:15" ht="47.25" x14ac:dyDescent="0.25">
      <c r="A2" s="88"/>
      <c r="B2" s="86"/>
      <c r="C2" s="86"/>
      <c r="D2" s="46" t="s">
        <v>3007</v>
      </c>
      <c r="E2" s="46" t="s">
        <v>3008</v>
      </c>
      <c r="F2" s="46" t="s">
        <v>3009</v>
      </c>
      <c r="G2" s="46" t="s">
        <v>3010</v>
      </c>
      <c r="H2" s="46" t="s">
        <v>3011</v>
      </c>
      <c r="I2" s="46" t="s">
        <v>3012</v>
      </c>
      <c r="J2" s="46" t="s">
        <v>3013</v>
      </c>
      <c r="K2" s="46" t="s">
        <v>3014</v>
      </c>
      <c r="L2" s="46" t="s">
        <v>3015</v>
      </c>
      <c r="M2" s="86"/>
      <c r="N2" s="86"/>
      <c r="O2" s="122"/>
    </row>
    <row r="3" spans="1:15" ht="15.75" x14ac:dyDescent="0.25">
      <c r="A3" s="123" t="s">
        <v>3016</v>
      </c>
      <c r="B3" s="124"/>
      <c r="C3" s="125"/>
      <c r="D3" s="46" t="s">
        <v>2720</v>
      </c>
      <c r="E3" s="46" t="s">
        <v>2720</v>
      </c>
      <c r="F3" s="46" t="s">
        <v>2720</v>
      </c>
      <c r="G3" s="46" t="s">
        <v>2720</v>
      </c>
      <c r="H3" s="46" t="s">
        <v>2720</v>
      </c>
      <c r="I3" s="46" t="s">
        <v>2720</v>
      </c>
      <c r="J3" s="46" t="s">
        <v>2720</v>
      </c>
      <c r="K3" s="46" t="s">
        <v>2720</v>
      </c>
      <c r="L3" s="46" t="s">
        <v>2720</v>
      </c>
      <c r="M3" s="46" t="s">
        <v>2720</v>
      </c>
      <c r="N3" s="46" t="s">
        <v>2720</v>
      </c>
      <c r="O3" s="49" t="s">
        <v>4</v>
      </c>
    </row>
    <row r="4" spans="1:15" ht="15.75" x14ac:dyDescent="0.25">
      <c r="A4" s="48">
        <v>4</v>
      </c>
      <c r="B4" s="46" t="s">
        <v>2897</v>
      </c>
      <c r="C4" s="46" t="s">
        <v>2898</v>
      </c>
      <c r="D4" s="46">
        <v>4</v>
      </c>
      <c r="E4" s="46">
        <v>4</v>
      </c>
      <c r="F4" s="46" t="s">
        <v>4</v>
      </c>
      <c r="G4" s="46" t="s">
        <v>4</v>
      </c>
      <c r="H4" s="46" t="s">
        <v>4</v>
      </c>
      <c r="I4" s="46" t="s">
        <v>4</v>
      </c>
      <c r="J4" s="46" t="s">
        <v>4</v>
      </c>
      <c r="K4" s="46" t="s">
        <v>4</v>
      </c>
      <c r="L4" s="46" t="s">
        <v>4</v>
      </c>
      <c r="M4" s="46">
        <v>8</v>
      </c>
      <c r="N4" s="46">
        <v>0.01</v>
      </c>
      <c r="O4" s="49" t="s">
        <v>3018</v>
      </c>
    </row>
    <row r="5" spans="1:15" ht="31.5" x14ac:dyDescent="0.25">
      <c r="A5" s="48">
        <v>8</v>
      </c>
      <c r="B5" s="46" t="s">
        <v>2680</v>
      </c>
      <c r="C5" s="46" t="s">
        <v>2959</v>
      </c>
      <c r="D5" s="46" t="s">
        <v>4</v>
      </c>
      <c r="E5" s="46" t="s">
        <v>4</v>
      </c>
      <c r="F5" s="46" t="s">
        <v>4</v>
      </c>
      <c r="G5" s="46" t="s">
        <v>4</v>
      </c>
      <c r="H5" s="46" t="s">
        <v>4</v>
      </c>
      <c r="I5" s="46" t="s">
        <v>4</v>
      </c>
      <c r="J5" s="46">
        <v>2</v>
      </c>
      <c r="K5" s="46">
        <v>2</v>
      </c>
      <c r="L5" s="46" t="s">
        <v>4</v>
      </c>
      <c r="M5" s="46">
        <v>4</v>
      </c>
      <c r="N5" s="46">
        <v>0.05</v>
      </c>
      <c r="O5" s="49" t="s">
        <v>3019</v>
      </c>
    </row>
    <row r="6" spans="1:15" ht="15.75" x14ac:dyDescent="0.25">
      <c r="A6" s="48" t="s">
        <v>2720</v>
      </c>
      <c r="B6" s="46" t="s">
        <v>2660</v>
      </c>
      <c r="C6" s="46" t="s">
        <v>2838</v>
      </c>
      <c r="D6" s="46" t="s">
        <v>4</v>
      </c>
      <c r="E6" s="46" t="s">
        <v>4</v>
      </c>
      <c r="F6" s="46" t="s">
        <v>4</v>
      </c>
      <c r="G6" s="46" t="s">
        <v>4</v>
      </c>
      <c r="H6" s="46" t="s">
        <v>4</v>
      </c>
      <c r="I6" s="46" t="s">
        <v>4</v>
      </c>
      <c r="J6" s="46" t="s">
        <v>4</v>
      </c>
      <c r="K6" s="46" t="s">
        <v>4</v>
      </c>
      <c r="L6" s="46">
        <v>559.70000000000005</v>
      </c>
      <c r="M6" s="46">
        <v>559.70000000000005</v>
      </c>
      <c r="N6" s="46">
        <v>1.998</v>
      </c>
      <c r="O6" s="49" t="s">
        <v>3003</v>
      </c>
    </row>
    <row r="7" spans="1:15" ht="15.75" x14ac:dyDescent="0.25">
      <c r="A7" s="48" t="s">
        <v>2720</v>
      </c>
      <c r="B7" s="46" t="s">
        <v>2866</v>
      </c>
      <c r="C7" s="46" t="s">
        <v>2996</v>
      </c>
      <c r="D7" s="46">
        <v>4.4000000000000004</v>
      </c>
      <c r="E7" s="46">
        <v>6.44</v>
      </c>
      <c r="F7" s="46" t="s">
        <v>4</v>
      </c>
      <c r="G7" s="46" t="s">
        <v>4</v>
      </c>
      <c r="H7" s="46" t="s">
        <v>4</v>
      </c>
      <c r="I7" s="46" t="s">
        <v>4</v>
      </c>
      <c r="J7" s="46" t="s">
        <v>4</v>
      </c>
      <c r="K7" s="46" t="s">
        <v>4</v>
      </c>
      <c r="L7" s="46" t="s">
        <v>4</v>
      </c>
      <c r="M7" s="46">
        <v>10.84</v>
      </c>
      <c r="N7" s="46">
        <v>6.14</v>
      </c>
      <c r="O7" s="49" t="s">
        <v>3029</v>
      </c>
    </row>
    <row r="8" spans="1:15" ht="15.75" x14ac:dyDescent="0.25">
      <c r="A8" s="48" t="s">
        <v>2720</v>
      </c>
      <c r="B8" s="46" t="s">
        <v>2661</v>
      </c>
      <c r="C8" s="46" t="s">
        <v>2997</v>
      </c>
      <c r="D8" s="46">
        <v>0.4</v>
      </c>
      <c r="E8" s="46">
        <v>0.4</v>
      </c>
      <c r="F8" s="46" t="s">
        <v>4</v>
      </c>
      <c r="G8" s="46" t="s">
        <v>4</v>
      </c>
      <c r="H8" s="46" t="s">
        <v>4</v>
      </c>
      <c r="I8" s="46" t="s">
        <v>4</v>
      </c>
      <c r="J8" s="46" t="s">
        <v>4</v>
      </c>
      <c r="K8" s="46" t="s">
        <v>4</v>
      </c>
      <c r="L8" s="46" t="s">
        <v>4</v>
      </c>
      <c r="M8" s="46">
        <v>0.8</v>
      </c>
      <c r="N8" s="46">
        <v>2.2999999999999998</v>
      </c>
      <c r="O8" s="49" t="s">
        <v>3017</v>
      </c>
    </row>
    <row r="9" spans="1:15" ht="15.75" x14ac:dyDescent="0.25">
      <c r="A9" s="48" t="s">
        <v>2720</v>
      </c>
      <c r="B9" s="46" t="s">
        <v>2876</v>
      </c>
      <c r="C9" s="46" t="s">
        <v>2922</v>
      </c>
      <c r="D9" s="46" t="s">
        <v>4</v>
      </c>
      <c r="E9" s="46" t="s">
        <v>4</v>
      </c>
      <c r="F9" s="46">
        <v>1.9352400000000001</v>
      </c>
      <c r="G9" s="46">
        <v>0.80441200000000013</v>
      </c>
      <c r="H9" s="46">
        <v>1.0750440000000001</v>
      </c>
      <c r="I9" s="46" t="s">
        <v>4</v>
      </c>
      <c r="J9" s="46" t="s">
        <v>4</v>
      </c>
      <c r="K9" s="46" t="s">
        <v>4</v>
      </c>
      <c r="L9" s="46" t="s">
        <v>4</v>
      </c>
      <c r="M9" s="46">
        <v>3.8146960000000005</v>
      </c>
      <c r="N9" s="46">
        <v>25.83</v>
      </c>
      <c r="O9" s="49" t="s">
        <v>3030</v>
      </c>
    </row>
    <row r="10" spans="1:15" ht="15.75" x14ac:dyDescent="0.25">
      <c r="A10" s="48" t="s">
        <v>2720</v>
      </c>
      <c r="B10" s="126" t="s">
        <v>2866</v>
      </c>
      <c r="C10" s="46" t="s">
        <v>2998</v>
      </c>
      <c r="D10" s="46" t="s">
        <v>4</v>
      </c>
      <c r="E10" s="46" t="s">
        <v>4</v>
      </c>
      <c r="F10" s="46">
        <v>13.08</v>
      </c>
      <c r="G10" s="46">
        <v>5.4</v>
      </c>
      <c r="H10" s="46">
        <v>7.24</v>
      </c>
      <c r="I10" s="46" t="s">
        <v>4</v>
      </c>
      <c r="J10" s="46" t="s">
        <v>4</v>
      </c>
      <c r="K10" s="46" t="s">
        <v>4</v>
      </c>
      <c r="L10" s="46" t="s">
        <v>4</v>
      </c>
      <c r="M10" s="46">
        <v>25.72</v>
      </c>
      <c r="N10" s="46">
        <v>2.31</v>
      </c>
      <c r="O10" s="49" t="s">
        <v>3031</v>
      </c>
    </row>
    <row r="11" spans="1:15" ht="15.75" x14ac:dyDescent="0.25">
      <c r="A11" s="48" t="s">
        <v>2720</v>
      </c>
      <c r="B11" s="127"/>
      <c r="C11" s="46" t="s">
        <v>2999</v>
      </c>
      <c r="D11" s="46" t="s">
        <v>4</v>
      </c>
      <c r="E11" s="46" t="s">
        <v>4</v>
      </c>
      <c r="F11" s="46">
        <v>19.350000000000001</v>
      </c>
      <c r="G11" s="46">
        <v>9.0300000000000011</v>
      </c>
      <c r="H11" s="46">
        <v>11.61</v>
      </c>
      <c r="I11" s="46" t="s">
        <v>4</v>
      </c>
      <c r="J11" s="46" t="s">
        <v>4</v>
      </c>
      <c r="K11" s="46" t="s">
        <v>4</v>
      </c>
      <c r="L11" s="46" t="s">
        <v>4</v>
      </c>
      <c r="M11" s="46">
        <v>39.99</v>
      </c>
      <c r="N11" s="46">
        <v>4.26</v>
      </c>
      <c r="O11" s="49" t="s">
        <v>3032</v>
      </c>
    </row>
    <row r="12" spans="1:15" ht="15.75" x14ac:dyDescent="0.25">
      <c r="A12" s="48" t="s">
        <v>2720</v>
      </c>
      <c r="B12" s="127"/>
      <c r="C12" s="46" t="s">
        <v>3000</v>
      </c>
      <c r="D12" s="46" t="s">
        <v>4</v>
      </c>
      <c r="E12" s="46" t="s">
        <v>4</v>
      </c>
      <c r="F12" s="46">
        <v>13.13</v>
      </c>
      <c r="G12" s="46">
        <v>5.45</v>
      </c>
      <c r="H12" s="46">
        <v>7.29</v>
      </c>
      <c r="I12" s="46" t="s">
        <v>4</v>
      </c>
      <c r="J12" s="46" t="s">
        <v>4</v>
      </c>
      <c r="K12" s="46" t="s">
        <v>4</v>
      </c>
      <c r="L12" s="46" t="s">
        <v>4</v>
      </c>
      <c r="M12" s="46">
        <v>25.87</v>
      </c>
      <c r="N12" s="46">
        <v>4.25</v>
      </c>
      <c r="O12" s="49" t="s">
        <v>3033</v>
      </c>
    </row>
    <row r="13" spans="1:15" ht="15.75" x14ac:dyDescent="0.25">
      <c r="A13" s="48" t="s">
        <v>2720</v>
      </c>
      <c r="B13" s="86"/>
      <c r="C13" s="46" t="s">
        <v>3001</v>
      </c>
      <c r="D13" s="46" t="s">
        <v>4</v>
      </c>
      <c r="E13" s="46" t="s">
        <v>4</v>
      </c>
      <c r="F13" s="46" t="s">
        <v>4</v>
      </c>
      <c r="G13" s="46" t="s">
        <v>4</v>
      </c>
      <c r="H13" s="46" t="s">
        <v>4</v>
      </c>
      <c r="I13" s="46">
        <v>13.389999999999999</v>
      </c>
      <c r="J13" s="46" t="s">
        <v>4</v>
      </c>
      <c r="K13" s="46" t="s">
        <v>4</v>
      </c>
      <c r="L13" s="46">
        <v>13.389999999999999</v>
      </c>
      <c r="M13" s="46">
        <v>53.559999999999995</v>
      </c>
      <c r="N13" s="46">
        <v>18.190000000000001</v>
      </c>
      <c r="O13" s="49" t="s">
        <v>3034</v>
      </c>
    </row>
    <row r="14" spans="1:15" ht="15.75" x14ac:dyDescent="0.25">
      <c r="A14" s="48" t="s">
        <v>2720</v>
      </c>
      <c r="B14" s="126" t="s">
        <v>2876</v>
      </c>
      <c r="C14" s="46" t="s">
        <v>2877</v>
      </c>
      <c r="D14" s="46" t="s">
        <v>4</v>
      </c>
      <c r="E14" s="46" t="s">
        <v>4</v>
      </c>
      <c r="F14" s="46" t="s">
        <v>4</v>
      </c>
      <c r="G14" s="46" t="s">
        <v>4</v>
      </c>
      <c r="H14" s="46" t="s">
        <v>4</v>
      </c>
      <c r="I14" s="46">
        <v>0.31679999999999997</v>
      </c>
      <c r="J14" s="46" t="s">
        <v>4</v>
      </c>
      <c r="K14" s="46" t="s">
        <v>4</v>
      </c>
      <c r="L14" s="46">
        <v>0.31679999999999997</v>
      </c>
      <c r="M14" s="46">
        <v>1.2671999999999999</v>
      </c>
      <c r="N14" s="46">
        <v>23.86</v>
      </c>
      <c r="O14" s="49" t="s">
        <v>2878</v>
      </c>
    </row>
    <row r="15" spans="1:15" ht="15.75" x14ac:dyDescent="0.25">
      <c r="A15" s="48" t="s">
        <v>2720</v>
      </c>
      <c r="B15" s="86"/>
      <c r="C15" s="46" t="s">
        <v>2883</v>
      </c>
      <c r="D15" s="46" t="s">
        <v>4</v>
      </c>
      <c r="E15" s="46" t="s">
        <v>4</v>
      </c>
      <c r="F15" s="46" t="s">
        <v>4</v>
      </c>
      <c r="G15" s="46" t="s">
        <v>4</v>
      </c>
      <c r="H15" s="46" t="s">
        <v>4</v>
      </c>
      <c r="I15" s="46">
        <v>0.32640000000000002</v>
      </c>
      <c r="J15" s="46" t="s">
        <v>4</v>
      </c>
      <c r="K15" s="46" t="s">
        <v>4</v>
      </c>
      <c r="L15" s="46">
        <v>0.32640000000000002</v>
      </c>
      <c r="M15" s="46">
        <v>1.3056000000000001</v>
      </c>
      <c r="N15" s="46">
        <v>48.08</v>
      </c>
      <c r="O15" s="49" t="s">
        <v>3035</v>
      </c>
    </row>
    <row r="16" spans="1:15" ht="15.75" x14ac:dyDescent="0.25">
      <c r="A16" s="48" t="s">
        <v>2720</v>
      </c>
      <c r="B16" s="46" t="s">
        <v>2961</v>
      </c>
      <c r="C16" s="46" t="s">
        <v>2962</v>
      </c>
      <c r="D16" s="46" t="s">
        <v>4</v>
      </c>
      <c r="E16" s="46" t="s">
        <v>4</v>
      </c>
      <c r="F16" s="46" t="s">
        <v>4</v>
      </c>
      <c r="G16" s="46" t="s">
        <v>4</v>
      </c>
      <c r="H16" s="46" t="s">
        <v>4</v>
      </c>
      <c r="I16" s="46" t="s">
        <v>4</v>
      </c>
      <c r="J16" s="46">
        <v>1.0404</v>
      </c>
      <c r="K16" s="46" t="s">
        <v>4</v>
      </c>
      <c r="L16" s="46" t="s">
        <v>4</v>
      </c>
      <c r="M16" s="46">
        <v>1.0404</v>
      </c>
      <c r="N16" s="46">
        <v>23.56</v>
      </c>
      <c r="O16" s="49" t="s">
        <v>3036</v>
      </c>
    </row>
    <row r="17" spans="1:15" ht="15.75" x14ac:dyDescent="0.25">
      <c r="A17" s="48" t="s">
        <v>2720</v>
      </c>
      <c r="B17" s="46" t="s">
        <v>2661</v>
      </c>
      <c r="C17" s="46" t="s">
        <v>3002</v>
      </c>
      <c r="D17" s="46" t="s">
        <v>4</v>
      </c>
      <c r="E17" s="46" t="s">
        <v>4</v>
      </c>
      <c r="F17" s="46" t="s">
        <v>4</v>
      </c>
      <c r="G17" s="46" t="s">
        <v>4</v>
      </c>
      <c r="H17" s="46" t="s">
        <v>4</v>
      </c>
      <c r="I17" s="46" t="s">
        <v>4</v>
      </c>
      <c r="J17" s="46">
        <v>6.2</v>
      </c>
      <c r="K17" s="46">
        <v>10.75</v>
      </c>
      <c r="L17" s="46" t="s">
        <v>4</v>
      </c>
      <c r="M17" s="46">
        <v>16.95</v>
      </c>
      <c r="N17" s="46">
        <v>1.86</v>
      </c>
      <c r="O17" s="49" t="s">
        <v>3037</v>
      </c>
    </row>
    <row r="18" spans="1:15" ht="15.75" x14ac:dyDescent="0.25">
      <c r="A18" s="48" t="s">
        <v>2720</v>
      </c>
      <c r="B18" s="46" t="s">
        <v>2961</v>
      </c>
      <c r="C18" s="46" t="s">
        <v>2969</v>
      </c>
      <c r="D18" s="46" t="s">
        <v>4</v>
      </c>
      <c r="E18" s="46" t="s">
        <v>4</v>
      </c>
      <c r="F18" s="46" t="s">
        <v>4</v>
      </c>
      <c r="G18" s="46" t="s">
        <v>4</v>
      </c>
      <c r="H18" s="46" t="s">
        <v>4</v>
      </c>
      <c r="I18" s="46" t="s">
        <v>4</v>
      </c>
      <c r="J18" s="46" t="s">
        <v>4</v>
      </c>
      <c r="K18" s="46">
        <v>2.3256249999999996</v>
      </c>
      <c r="L18" s="46" t="s">
        <v>4</v>
      </c>
      <c r="M18" s="46">
        <v>2.3256249999999996</v>
      </c>
      <c r="N18" s="46">
        <v>23.55</v>
      </c>
      <c r="O18" s="49" t="s">
        <v>3020</v>
      </c>
    </row>
    <row r="19" spans="1:15" ht="15.75" x14ac:dyDescent="0.25">
      <c r="A19" s="48" t="s">
        <v>2720</v>
      </c>
      <c r="B19" s="46" t="s">
        <v>2843</v>
      </c>
      <c r="C19" s="46" t="s">
        <v>2844</v>
      </c>
      <c r="D19" s="46">
        <v>3.1240000000000001</v>
      </c>
      <c r="E19" s="46">
        <v>5.3940000000000001</v>
      </c>
      <c r="F19" s="46">
        <v>9.6929999999999996</v>
      </c>
      <c r="G19" s="46">
        <v>4.2190000000000003</v>
      </c>
      <c r="H19" s="46">
        <v>5.5490000000000004</v>
      </c>
      <c r="I19" s="46">
        <v>8.5750000000000011</v>
      </c>
      <c r="J19" s="46">
        <v>3.1240000000000001</v>
      </c>
      <c r="K19" s="46">
        <v>5.3940000000000001</v>
      </c>
      <c r="L19" s="46">
        <v>8.5750000000000011</v>
      </c>
      <c r="M19" s="46">
        <v>70.796999999999997</v>
      </c>
      <c r="N19" s="46" t="s">
        <v>4</v>
      </c>
      <c r="O19" s="49" t="s">
        <v>2372</v>
      </c>
    </row>
    <row r="20" spans="1:15" ht="15.75" x14ac:dyDescent="0.25">
      <c r="A20" s="48" t="s">
        <v>2720</v>
      </c>
      <c r="B20" s="46" t="s">
        <v>2720</v>
      </c>
      <c r="C20" s="46" t="s">
        <v>2842</v>
      </c>
      <c r="D20" s="46" t="s">
        <v>4</v>
      </c>
      <c r="E20" s="46" t="s">
        <v>4</v>
      </c>
      <c r="F20" s="46" t="s">
        <v>4</v>
      </c>
      <c r="G20" s="46" t="s">
        <v>4</v>
      </c>
      <c r="H20" s="46" t="s">
        <v>4</v>
      </c>
      <c r="I20" s="46">
        <v>8.0180000000000007</v>
      </c>
      <c r="J20" s="46" t="s">
        <v>4</v>
      </c>
      <c r="K20" s="46" t="s">
        <v>4</v>
      </c>
      <c r="L20" s="46">
        <v>8.0179999999999989</v>
      </c>
      <c r="M20" s="46">
        <v>32.072000000000003</v>
      </c>
      <c r="N20" s="46" t="s">
        <v>4</v>
      </c>
      <c r="O20" s="49" t="s">
        <v>2372</v>
      </c>
    </row>
    <row r="21" spans="1:15" ht="15.75" x14ac:dyDescent="0.25">
      <c r="A21" s="123" t="s">
        <v>3021</v>
      </c>
      <c r="B21" s="124"/>
      <c r="C21" s="125"/>
      <c r="D21" s="46" t="s">
        <v>2720</v>
      </c>
      <c r="E21" s="46" t="s">
        <v>2720</v>
      </c>
      <c r="F21" s="46" t="s">
        <v>2720</v>
      </c>
      <c r="G21" s="46" t="s">
        <v>2720</v>
      </c>
      <c r="H21" s="46" t="s">
        <v>2720</v>
      </c>
      <c r="I21" s="46" t="s">
        <v>2720</v>
      </c>
      <c r="J21" s="46" t="s">
        <v>2720</v>
      </c>
      <c r="K21" s="46" t="s">
        <v>2720</v>
      </c>
      <c r="L21" s="46" t="s">
        <v>2720</v>
      </c>
      <c r="M21" s="46" t="s">
        <v>2720</v>
      </c>
      <c r="N21" s="46" t="s">
        <v>2720</v>
      </c>
      <c r="O21" s="49" t="s">
        <v>4</v>
      </c>
    </row>
    <row r="22" spans="1:15" ht="15.75" x14ac:dyDescent="0.25">
      <c r="A22" s="48">
        <v>4</v>
      </c>
      <c r="B22" s="46" t="s">
        <v>2897</v>
      </c>
      <c r="C22" s="46" t="s">
        <v>2898</v>
      </c>
      <c r="D22" s="46">
        <v>4</v>
      </c>
      <c r="E22" s="46">
        <v>4</v>
      </c>
      <c r="F22" s="46" t="s">
        <v>4</v>
      </c>
      <c r="G22" s="46" t="s">
        <v>4</v>
      </c>
      <c r="H22" s="46" t="s">
        <v>4</v>
      </c>
      <c r="I22" s="46" t="s">
        <v>4</v>
      </c>
      <c r="J22" s="46" t="s">
        <v>4</v>
      </c>
      <c r="K22" s="46" t="s">
        <v>4</v>
      </c>
      <c r="L22" s="46" t="s">
        <v>4</v>
      </c>
      <c r="M22" s="46">
        <v>8</v>
      </c>
      <c r="N22" s="46">
        <v>0.01</v>
      </c>
      <c r="O22" s="49" t="s">
        <v>3018</v>
      </c>
    </row>
    <row r="23" spans="1:15" ht="31.5" x14ac:dyDescent="0.25">
      <c r="A23" s="48">
        <v>8</v>
      </c>
      <c r="B23" s="46" t="s">
        <v>2680</v>
      </c>
      <c r="C23" s="46" t="s">
        <v>2959</v>
      </c>
      <c r="D23" s="46" t="s">
        <v>4</v>
      </c>
      <c r="E23" s="46" t="s">
        <v>4</v>
      </c>
      <c r="F23" s="46" t="s">
        <v>4</v>
      </c>
      <c r="G23" s="46" t="s">
        <v>4</v>
      </c>
      <c r="H23" s="46" t="s">
        <v>4</v>
      </c>
      <c r="I23" s="46" t="s">
        <v>4</v>
      </c>
      <c r="J23" s="46">
        <v>2</v>
      </c>
      <c r="K23" s="46">
        <v>2</v>
      </c>
      <c r="L23" s="46" t="s">
        <v>4</v>
      </c>
      <c r="M23" s="46">
        <v>4</v>
      </c>
      <c r="N23" s="46">
        <v>0.05</v>
      </c>
      <c r="O23" s="49" t="s">
        <v>3019</v>
      </c>
    </row>
    <row r="24" spans="1:15" ht="15.75" x14ac:dyDescent="0.25">
      <c r="A24" s="48" t="s">
        <v>2720</v>
      </c>
      <c r="B24" s="46" t="s">
        <v>2866</v>
      </c>
      <c r="C24" s="46" t="s">
        <v>2996</v>
      </c>
      <c r="D24" s="46">
        <v>4.4000000000000004</v>
      </c>
      <c r="E24" s="46">
        <v>6.44</v>
      </c>
      <c r="F24" s="46" t="s">
        <v>4</v>
      </c>
      <c r="G24" s="46" t="s">
        <v>4</v>
      </c>
      <c r="H24" s="46" t="s">
        <v>4</v>
      </c>
      <c r="I24" s="46" t="s">
        <v>4</v>
      </c>
      <c r="J24" s="46" t="s">
        <v>4</v>
      </c>
      <c r="K24" s="46" t="s">
        <v>4</v>
      </c>
      <c r="L24" s="46" t="s">
        <v>4</v>
      </c>
      <c r="M24" s="46">
        <v>10.84</v>
      </c>
      <c r="N24" s="46">
        <v>6.14</v>
      </c>
      <c r="O24" s="49" t="s">
        <v>3029</v>
      </c>
    </row>
    <row r="25" spans="1:15" ht="15.75" x14ac:dyDescent="0.25">
      <c r="A25" s="48" t="s">
        <v>2720</v>
      </c>
      <c r="B25" s="46" t="s">
        <v>2661</v>
      </c>
      <c r="C25" s="46" t="s">
        <v>2997</v>
      </c>
      <c r="D25" s="46">
        <v>0.4</v>
      </c>
      <c r="E25" s="46">
        <v>0.4</v>
      </c>
      <c r="F25" s="46" t="s">
        <v>4</v>
      </c>
      <c r="G25" s="46" t="s">
        <v>4</v>
      </c>
      <c r="H25" s="46" t="s">
        <v>4</v>
      </c>
      <c r="I25" s="46" t="s">
        <v>4</v>
      </c>
      <c r="J25" s="46" t="s">
        <v>4</v>
      </c>
      <c r="K25" s="46" t="s">
        <v>4</v>
      </c>
      <c r="L25" s="46" t="s">
        <v>4</v>
      </c>
      <c r="M25" s="46">
        <v>0.8</v>
      </c>
      <c r="N25" s="46">
        <v>2.2999999999999998</v>
      </c>
      <c r="O25" s="49" t="s">
        <v>3017</v>
      </c>
    </row>
    <row r="26" spans="1:15" ht="15.75" x14ac:dyDescent="0.25">
      <c r="A26" s="48" t="s">
        <v>2720</v>
      </c>
      <c r="B26" s="46" t="s">
        <v>2876</v>
      </c>
      <c r="C26" s="46" t="s">
        <v>2922</v>
      </c>
      <c r="D26" s="46" t="s">
        <v>4</v>
      </c>
      <c r="E26" s="46" t="s">
        <v>4</v>
      </c>
      <c r="F26" s="46">
        <v>1.9352400000000001</v>
      </c>
      <c r="G26" s="46">
        <v>0.80441200000000013</v>
      </c>
      <c r="H26" s="46">
        <v>1.0750440000000001</v>
      </c>
      <c r="I26" s="46" t="s">
        <v>4</v>
      </c>
      <c r="J26" s="46" t="s">
        <v>4</v>
      </c>
      <c r="K26" s="46" t="s">
        <v>4</v>
      </c>
      <c r="L26" s="46" t="s">
        <v>4</v>
      </c>
      <c r="M26" s="46">
        <v>3.8146960000000005</v>
      </c>
      <c r="N26" s="46">
        <v>25.83</v>
      </c>
      <c r="O26" s="49" t="s">
        <v>3030</v>
      </c>
    </row>
    <row r="27" spans="1:15" ht="15.75" x14ac:dyDescent="0.25">
      <c r="A27" s="48" t="s">
        <v>2720</v>
      </c>
      <c r="B27" s="126" t="s">
        <v>2866</v>
      </c>
      <c r="C27" s="46" t="s">
        <v>2998</v>
      </c>
      <c r="D27" s="46" t="s">
        <v>4</v>
      </c>
      <c r="E27" s="46" t="s">
        <v>4</v>
      </c>
      <c r="F27" s="46">
        <v>13.08</v>
      </c>
      <c r="G27" s="46">
        <v>5.4</v>
      </c>
      <c r="H27" s="46">
        <v>7.24</v>
      </c>
      <c r="I27" s="46" t="s">
        <v>4</v>
      </c>
      <c r="J27" s="46" t="s">
        <v>4</v>
      </c>
      <c r="K27" s="46" t="s">
        <v>4</v>
      </c>
      <c r="L27" s="46" t="s">
        <v>4</v>
      </c>
      <c r="M27" s="46">
        <v>25.72</v>
      </c>
      <c r="N27" s="46">
        <v>2.31</v>
      </c>
      <c r="O27" s="49" t="s">
        <v>3031</v>
      </c>
    </row>
    <row r="28" spans="1:15" ht="15.75" x14ac:dyDescent="0.25">
      <c r="A28" s="48" t="s">
        <v>2720</v>
      </c>
      <c r="B28" s="127"/>
      <c r="C28" s="46" t="s">
        <v>2999</v>
      </c>
      <c r="D28" s="46" t="s">
        <v>4</v>
      </c>
      <c r="E28" s="46" t="s">
        <v>4</v>
      </c>
      <c r="F28" s="46">
        <v>19.350000000000001</v>
      </c>
      <c r="G28" s="46">
        <v>9.0300000000000011</v>
      </c>
      <c r="H28" s="46">
        <v>11.61</v>
      </c>
      <c r="I28" s="46" t="s">
        <v>4</v>
      </c>
      <c r="J28" s="46" t="s">
        <v>4</v>
      </c>
      <c r="K28" s="46" t="s">
        <v>4</v>
      </c>
      <c r="L28" s="46" t="s">
        <v>4</v>
      </c>
      <c r="M28" s="46">
        <v>39.99</v>
      </c>
      <c r="N28" s="46">
        <v>4.26</v>
      </c>
      <c r="O28" s="49" t="s">
        <v>3032</v>
      </c>
    </row>
    <row r="29" spans="1:15" ht="15.75" x14ac:dyDescent="0.25">
      <c r="A29" s="48" t="s">
        <v>2720</v>
      </c>
      <c r="B29" s="86"/>
      <c r="C29" s="46" t="s">
        <v>3000</v>
      </c>
      <c r="D29" s="46" t="s">
        <v>4</v>
      </c>
      <c r="E29" s="46" t="s">
        <v>4</v>
      </c>
      <c r="F29" s="46">
        <v>13.13</v>
      </c>
      <c r="G29" s="46">
        <v>5.45</v>
      </c>
      <c r="H29" s="46">
        <v>7.29</v>
      </c>
      <c r="I29" s="46" t="s">
        <v>4</v>
      </c>
      <c r="J29" s="46" t="s">
        <v>4</v>
      </c>
      <c r="K29" s="46" t="s">
        <v>4</v>
      </c>
      <c r="L29" s="46" t="s">
        <v>4</v>
      </c>
      <c r="M29" s="46">
        <v>25.87</v>
      </c>
      <c r="N29" s="46">
        <v>4.25</v>
      </c>
      <c r="O29" s="49" t="s">
        <v>3033</v>
      </c>
    </row>
    <row r="30" spans="1:15" ht="15.75" x14ac:dyDescent="0.25">
      <c r="A30" s="48" t="s">
        <v>2720</v>
      </c>
      <c r="B30" s="46" t="s">
        <v>2961</v>
      </c>
      <c r="C30" s="46" t="s">
        <v>2962</v>
      </c>
      <c r="D30" s="46" t="s">
        <v>4</v>
      </c>
      <c r="E30" s="46" t="s">
        <v>4</v>
      </c>
      <c r="F30" s="46" t="s">
        <v>4</v>
      </c>
      <c r="G30" s="46" t="s">
        <v>4</v>
      </c>
      <c r="H30" s="46" t="s">
        <v>4</v>
      </c>
      <c r="I30" s="46" t="s">
        <v>4</v>
      </c>
      <c r="J30" s="46">
        <v>1.0404</v>
      </c>
      <c r="K30" s="46" t="s">
        <v>4</v>
      </c>
      <c r="L30" s="46" t="s">
        <v>4</v>
      </c>
      <c r="M30" s="46">
        <v>1.0404</v>
      </c>
      <c r="N30" s="46">
        <v>23.56</v>
      </c>
      <c r="O30" s="49" t="s">
        <v>3036</v>
      </c>
    </row>
    <row r="31" spans="1:15" ht="15.75" x14ac:dyDescent="0.25">
      <c r="A31" s="48" t="s">
        <v>2720</v>
      </c>
      <c r="B31" s="46" t="s">
        <v>2661</v>
      </c>
      <c r="C31" s="46" t="s">
        <v>3002</v>
      </c>
      <c r="D31" s="46" t="s">
        <v>4</v>
      </c>
      <c r="E31" s="46" t="s">
        <v>4</v>
      </c>
      <c r="F31" s="46" t="s">
        <v>4</v>
      </c>
      <c r="G31" s="46" t="s">
        <v>4</v>
      </c>
      <c r="H31" s="46" t="s">
        <v>4</v>
      </c>
      <c r="I31" s="46" t="s">
        <v>4</v>
      </c>
      <c r="J31" s="46">
        <v>6.2</v>
      </c>
      <c r="K31" s="46">
        <v>10.75</v>
      </c>
      <c r="L31" s="46" t="s">
        <v>4</v>
      </c>
      <c r="M31" s="46">
        <v>16.95</v>
      </c>
      <c r="N31" s="46">
        <v>1.86</v>
      </c>
      <c r="O31" s="49" t="s">
        <v>3037</v>
      </c>
    </row>
    <row r="32" spans="1:15" ht="15.75" x14ac:dyDescent="0.25">
      <c r="A32" s="48" t="s">
        <v>2720</v>
      </c>
      <c r="B32" s="46" t="s">
        <v>2961</v>
      </c>
      <c r="C32" s="46" t="s">
        <v>2969</v>
      </c>
      <c r="D32" s="46" t="s">
        <v>4</v>
      </c>
      <c r="E32" s="46" t="s">
        <v>4</v>
      </c>
      <c r="F32" s="46" t="s">
        <v>4</v>
      </c>
      <c r="G32" s="46" t="s">
        <v>4</v>
      </c>
      <c r="H32" s="46" t="s">
        <v>4</v>
      </c>
      <c r="I32" s="46" t="s">
        <v>4</v>
      </c>
      <c r="J32" s="46" t="s">
        <v>4</v>
      </c>
      <c r="K32" s="46">
        <v>2.3256249999999996</v>
      </c>
      <c r="L32" s="46" t="s">
        <v>4</v>
      </c>
      <c r="M32" s="46">
        <v>2.3256249999999996</v>
      </c>
      <c r="N32" s="46">
        <v>23.55</v>
      </c>
      <c r="O32" s="49" t="s">
        <v>3020</v>
      </c>
    </row>
    <row r="33" spans="1:15" ht="15.75" x14ac:dyDescent="0.25">
      <c r="A33" s="48" t="s">
        <v>2720</v>
      </c>
      <c r="B33" s="46" t="s">
        <v>2866</v>
      </c>
      <c r="C33" s="46" t="s">
        <v>3001</v>
      </c>
      <c r="D33" s="46" t="s">
        <v>4</v>
      </c>
      <c r="E33" s="46" t="s">
        <v>4</v>
      </c>
      <c r="F33" s="46" t="s">
        <v>4</v>
      </c>
      <c r="G33" s="46" t="s">
        <v>4</v>
      </c>
      <c r="H33" s="46" t="s">
        <v>4</v>
      </c>
      <c r="I33" s="46" t="s">
        <v>4</v>
      </c>
      <c r="J33" s="46" t="s">
        <v>4</v>
      </c>
      <c r="K33" s="46" t="s">
        <v>4</v>
      </c>
      <c r="L33" s="46">
        <v>13.389999999999999</v>
      </c>
      <c r="M33" s="46">
        <v>13.389999999999999</v>
      </c>
      <c r="N33" s="46">
        <v>18.190000000000001</v>
      </c>
      <c r="O33" s="49" t="s">
        <v>3038</v>
      </c>
    </row>
    <row r="34" spans="1:15" ht="15.75" x14ac:dyDescent="0.25">
      <c r="A34" s="48" t="s">
        <v>2720</v>
      </c>
      <c r="B34" s="126" t="s">
        <v>2876</v>
      </c>
      <c r="C34" s="46" t="s">
        <v>2877</v>
      </c>
      <c r="D34" s="46" t="s">
        <v>4</v>
      </c>
      <c r="E34" s="46" t="s">
        <v>4</v>
      </c>
      <c r="F34" s="46" t="s">
        <v>4</v>
      </c>
      <c r="G34" s="46" t="s">
        <v>4</v>
      </c>
      <c r="H34" s="46" t="s">
        <v>4</v>
      </c>
      <c r="I34" s="46" t="s">
        <v>4</v>
      </c>
      <c r="J34" s="46" t="s">
        <v>4</v>
      </c>
      <c r="K34" s="46" t="s">
        <v>4</v>
      </c>
      <c r="L34" s="46">
        <v>0.31679999999999997</v>
      </c>
      <c r="M34" s="46">
        <v>0.31679999999999997</v>
      </c>
      <c r="N34" s="46">
        <v>23.86</v>
      </c>
      <c r="O34" s="49" t="s">
        <v>3022</v>
      </c>
    </row>
    <row r="35" spans="1:15" ht="15.75" x14ac:dyDescent="0.25">
      <c r="A35" s="48" t="s">
        <v>2720</v>
      </c>
      <c r="B35" s="86"/>
      <c r="C35" s="46" t="s">
        <v>2883</v>
      </c>
      <c r="D35" s="46" t="s">
        <v>4</v>
      </c>
      <c r="E35" s="46" t="s">
        <v>4</v>
      </c>
      <c r="F35" s="46" t="s">
        <v>4</v>
      </c>
      <c r="G35" s="46" t="s">
        <v>4</v>
      </c>
      <c r="H35" s="46" t="s">
        <v>4</v>
      </c>
      <c r="I35" s="46" t="s">
        <v>4</v>
      </c>
      <c r="J35" s="46" t="s">
        <v>4</v>
      </c>
      <c r="K35" s="46" t="s">
        <v>4</v>
      </c>
      <c r="L35" s="46">
        <v>0.32640000000000002</v>
      </c>
      <c r="M35" s="46">
        <v>0.32640000000000002</v>
      </c>
      <c r="N35" s="46">
        <v>48.08</v>
      </c>
      <c r="O35" s="49" t="s">
        <v>3039</v>
      </c>
    </row>
    <row r="36" spans="1:15" ht="15.75" x14ac:dyDescent="0.25">
      <c r="A36" s="48" t="s">
        <v>2720</v>
      </c>
      <c r="B36" s="46" t="s">
        <v>2843</v>
      </c>
      <c r="C36" s="46" t="s">
        <v>2844</v>
      </c>
      <c r="D36" s="46">
        <v>3.1240000000000001</v>
      </c>
      <c r="E36" s="46">
        <v>5.3940000000000001</v>
      </c>
      <c r="F36" s="46">
        <v>9.6929999999999996</v>
      </c>
      <c r="G36" s="46">
        <v>4.2190000000000003</v>
      </c>
      <c r="H36" s="46">
        <v>5.5490000000000004</v>
      </c>
      <c r="I36" s="46" t="s">
        <v>4</v>
      </c>
      <c r="J36" s="46">
        <v>3.1240000000000001</v>
      </c>
      <c r="K36" s="46">
        <v>5.3940000000000001</v>
      </c>
      <c r="L36" s="46">
        <v>8.5750000000000011</v>
      </c>
      <c r="M36" s="46">
        <v>45.072000000000003</v>
      </c>
      <c r="N36" s="46" t="s">
        <v>4</v>
      </c>
      <c r="O36" s="49" t="s">
        <v>2372</v>
      </c>
    </row>
    <row r="37" spans="1:15" ht="15.75" x14ac:dyDescent="0.25">
      <c r="A37" s="48" t="s">
        <v>2720</v>
      </c>
      <c r="B37" s="46" t="s">
        <v>2720</v>
      </c>
      <c r="C37" s="46" t="s">
        <v>2842</v>
      </c>
      <c r="D37" s="46" t="s">
        <v>4</v>
      </c>
      <c r="E37" s="46" t="s">
        <v>4</v>
      </c>
      <c r="F37" s="46" t="s">
        <v>4</v>
      </c>
      <c r="G37" s="46" t="s">
        <v>4</v>
      </c>
      <c r="H37" s="46" t="s">
        <v>4</v>
      </c>
      <c r="I37" s="46" t="s">
        <v>4</v>
      </c>
      <c r="J37" s="46" t="s">
        <v>4</v>
      </c>
      <c r="K37" s="46" t="s">
        <v>4</v>
      </c>
      <c r="L37" s="46">
        <v>8.0179999999999989</v>
      </c>
      <c r="M37" s="46">
        <v>8.0179999999999989</v>
      </c>
      <c r="N37" s="46" t="s">
        <v>4</v>
      </c>
      <c r="O37" s="49" t="s">
        <v>2372</v>
      </c>
    </row>
    <row r="38" spans="1:15" ht="15.75" x14ac:dyDescent="0.25">
      <c r="A38" s="123" t="s">
        <v>3023</v>
      </c>
      <c r="B38" s="124"/>
      <c r="C38" s="125"/>
      <c r="D38" s="46" t="s">
        <v>2720</v>
      </c>
      <c r="E38" s="46" t="s">
        <v>2720</v>
      </c>
      <c r="F38" s="46" t="s">
        <v>2720</v>
      </c>
      <c r="G38" s="46" t="s">
        <v>2720</v>
      </c>
      <c r="H38" s="46" t="s">
        <v>2720</v>
      </c>
      <c r="I38" s="46" t="s">
        <v>2720</v>
      </c>
      <c r="J38" s="46" t="s">
        <v>2720</v>
      </c>
      <c r="K38" s="46" t="s">
        <v>2720</v>
      </c>
      <c r="L38" s="46" t="s">
        <v>2720</v>
      </c>
      <c r="M38" s="46" t="s">
        <v>2720</v>
      </c>
      <c r="N38" s="46" t="s">
        <v>2720</v>
      </c>
      <c r="O38" s="49" t="s">
        <v>4</v>
      </c>
    </row>
    <row r="39" spans="1:15" ht="15.75" x14ac:dyDescent="0.25">
      <c r="A39" s="48">
        <v>4</v>
      </c>
      <c r="B39" s="46" t="s">
        <v>2897</v>
      </c>
      <c r="C39" s="46" t="s">
        <v>2898</v>
      </c>
      <c r="D39" s="46">
        <v>4</v>
      </c>
      <c r="E39" s="46">
        <v>4</v>
      </c>
      <c r="F39" s="46" t="s">
        <v>4</v>
      </c>
      <c r="G39" s="46" t="s">
        <v>4</v>
      </c>
      <c r="H39" s="46" t="s">
        <v>4</v>
      </c>
      <c r="I39" s="46" t="s">
        <v>4</v>
      </c>
      <c r="J39" s="46" t="s">
        <v>4</v>
      </c>
      <c r="K39" s="46" t="s">
        <v>4</v>
      </c>
      <c r="L39" s="46" t="s">
        <v>4</v>
      </c>
      <c r="M39" s="46">
        <v>8</v>
      </c>
      <c r="N39" s="46">
        <v>0.01</v>
      </c>
      <c r="O39" s="49" t="s">
        <v>3018</v>
      </c>
    </row>
    <row r="40" spans="1:15" ht="31.5" x14ac:dyDescent="0.25">
      <c r="A40" s="48">
        <v>8</v>
      </c>
      <c r="B40" s="46" t="s">
        <v>2680</v>
      </c>
      <c r="C40" s="46" t="s">
        <v>2959</v>
      </c>
      <c r="D40" s="46" t="s">
        <v>4</v>
      </c>
      <c r="E40" s="46" t="s">
        <v>4</v>
      </c>
      <c r="F40" s="46" t="s">
        <v>4</v>
      </c>
      <c r="G40" s="46" t="s">
        <v>4</v>
      </c>
      <c r="H40" s="46" t="s">
        <v>4</v>
      </c>
      <c r="I40" s="46" t="s">
        <v>4</v>
      </c>
      <c r="J40" s="46">
        <v>2</v>
      </c>
      <c r="K40" s="46">
        <v>2</v>
      </c>
      <c r="L40" s="46" t="s">
        <v>4</v>
      </c>
      <c r="M40" s="46">
        <v>4</v>
      </c>
      <c r="N40" s="46">
        <v>0.05</v>
      </c>
      <c r="O40" s="49" t="s">
        <v>3019</v>
      </c>
    </row>
    <row r="41" spans="1:15" ht="15.75" x14ac:dyDescent="0.25">
      <c r="A41" s="48" t="s">
        <v>2720</v>
      </c>
      <c r="B41" s="46" t="s">
        <v>2866</v>
      </c>
      <c r="C41" s="46" t="s">
        <v>2996</v>
      </c>
      <c r="D41" s="46">
        <v>4.4000000000000004</v>
      </c>
      <c r="E41" s="46">
        <v>6.44</v>
      </c>
      <c r="F41" s="46" t="s">
        <v>4</v>
      </c>
      <c r="G41" s="46" t="s">
        <v>4</v>
      </c>
      <c r="H41" s="46" t="s">
        <v>4</v>
      </c>
      <c r="I41" s="46" t="s">
        <v>4</v>
      </c>
      <c r="J41" s="46" t="s">
        <v>4</v>
      </c>
      <c r="K41" s="46" t="s">
        <v>4</v>
      </c>
      <c r="L41" s="46" t="s">
        <v>4</v>
      </c>
      <c r="M41" s="46">
        <v>10.84</v>
      </c>
      <c r="N41" s="46">
        <v>6.14</v>
      </c>
      <c r="O41" s="49" t="s">
        <v>3029</v>
      </c>
    </row>
    <row r="42" spans="1:15" ht="15.75" x14ac:dyDescent="0.25">
      <c r="A42" s="48" t="s">
        <v>2720</v>
      </c>
      <c r="B42" s="46" t="s">
        <v>2661</v>
      </c>
      <c r="C42" s="46" t="s">
        <v>2997</v>
      </c>
      <c r="D42" s="46">
        <v>0.4</v>
      </c>
      <c r="E42" s="46">
        <v>0.4</v>
      </c>
      <c r="F42" s="46" t="s">
        <v>4</v>
      </c>
      <c r="G42" s="46" t="s">
        <v>4</v>
      </c>
      <c r="H42" s="46" t="s">
        <v>4</v>
      </c>
      <c r="I42" s="46" t="s">
        <v>4</v>
      </c>
      <c r="J42" s="46" t="s">
        <v>4</v>
      </c>
      <c r="K42" s="46" t="s">
        <v>4</v>
      </c>
      <c r="L42" s="46" t="s">
        <v>4</v>
      </c>
      <c r="M42" s="46">
        <v>0.8</v>
      </c>
      <c r="N42" s="46">
        <v>2.2999999999999998</v>
      </c>
      <c r="O42" s="49" t="s">
        <v>3017</v>
      </c>
    </row>
    <row r="43" spans="1:15" ht="15.75" x14ac:dyDescent="0.25">
      <c r="A43" s="48" t="s">
        <v>2720</v>
      </c>
      <c r="B43" s="46" t="s">
        <v>2866</v>
      </c>
      <c r="C43" s="46" t="s">
        <v>3001</v>
      </c>
      <c r="D43" s="46" t="s">
        <v>4</v>
      </c>
      <c r="E43" s="46" t="s">
        <v>4</v>
      </c>
      <c r="F43" s="46" t="s">
        <v>4</v>
      </c>
      <c r="G43" s="46" t="s">
        <v>4</v>
      </c>
      <c r="H43" s="46" t="s">
        <v>4</v>
      </c>
      <c r="I43" s="46">
        <v>13.389999999999999</v>
      </c>
      <c r="J43" s="46" t="s">
        <v>4</v>
      </c>
      <c r="K43" s="46" t="s">
        <v>4</v>
      </c>
      <c r="L43" s="46">
        <v>13.389999999999999</v>
      </c>
      <c r="M43" s="46">
        <v>26.779999999999998</v>
      </c>
      <c r="N43" s="46">
        <v>18.190000000000001</v>
      </c>
      <c r="O43" s="49" t="s">
        <v>3040</v>
      </c>
    </row>
    <row r="44" spans="1:15" ht="15.75" x14ac:dyDescent="0.25">
      <c r="A44" s="48" t="s">
        <v>2720</v>
      </c>
      <c r="B44" s="126" t="s">
        <v>2876</v>
      </c>
      <c r="C44" s="46" t="s">
        <v>2877</v>
      </c>
      <c r="D44" s="46" t="s">
        <v>4</v>
      </c>
      <c r="E44" s="46" t="s">
        <v>4</v>
      </c>
      <c r="F44" s="46" t="s">
        <v>4</v>
      </c>
      <c r="G44" s="46" t="s">
        <v>4</v>
      </c>
      <c r="H44" s="46" t="s">
        <v>4</v>
      </c>
      <c r="I44" s="46">
        <v>0.31679999999999997</v>
      </c>
      <c r="J44" s="46" t="s">
        <v>4</v>
      </c>
      <c r="K44" s="46" t="s">
        <v>4</v>
      </c>
      <c r="L44" s="46">
        <v>0.31679999999999997</v>
      </c>
      <c r="M44" s="46">
        <v>0.63359999999999994</v>
      </c>
      <c r="N44" s="46">
        <v>23.86</v>
      </c>
      <c r="O44" s="49" t="s">
        <v>3024</v>
      </c>
    </row>
    <row r="45" spans="1:15" ht="15.75" x14ac:dyDescent="0.25">
      <c r="A45" s="48" t="s">
        <v>2720</v>
      </c>
      <c r="B45" s="86"/>
      <c r="C45" s="46" t="s">
        <v>2883</v>
      </c>
      <c r="D45" s="46" t="s">
        <v>4</v>
      </c>
      <c r="E45" s="46" t="s">
        <v>4</v>
      </c>
      <c r="F45" s="46" t="s">
        <v>4</v>
      </c>
      <c r="G45" s="46" t="s">
        <v>4</v>
      </c>
      <c r="H45" s="46" t="s">
        <v>4</v>
      </c>
      <c r="I45" s="46">
        <v>0.32640000000000002</v>
      </c>
      <c r="J45" s="46" t="s">
        <v>4</v>
      </c>
      <c r="K45" s="46" t="s">
        <v>4</v>
      </c>
      <c r="L45" s="46">
        <v>0.32640000000000002</v>
      </c>
      <c r="M45" s="46">
        <v>0.65280000000000005</v>
      </c>
      <c r="N45" s="46">
        <v>48.08</v>
      </c>
      <c r="O45" s="49" t="s">
        <v>3041</v>
      </c>
    </row>
    <row r="46" spans="1:15" ht="15.75" x14ac:dyDescent="0.25">
      <c r="A46" s="48" t="s">
        <v>2720</v>
      </c>
      <c r="B46" s="46" t="s">
        <v>2961</v>
      </c>
      <c r="C46" s="46" t="s">
        <v>2962</v>
      </c>
      <c r="D46" s="46" t="s">
        <v>4</v>
      </c>
      <c r="E46" s="46" t="s">
        <v>4</v>
      </c>
      <c r="F46" s="46" t="s">
        <v>4</v>
      </c>
      <c r="G46" s="46" t="s">
        <v>4</v>
      </c>
      <c r="H46" s="46" t="s">
        <v>4</v>
      </c>
      <c r="I46" s="46" t="s">
        <v>4</v>
      </c>
      <c r="J46" s="46">
        <v>1.0404</v>
      </c>
      <c r="K46" s="46" t="s">
        <v>4</v>
      </c>
      <c r="L46" s="46" t="s">
        <v>4</v>
      </c>
      <c r="M46" s="46">
        <v>1.0404</v>
      </c>
      <c r="N46" s="46">
        <v>23.56</v>
      </c>
      <c r="O46" s="49" t="s">
        <v>3036</v>
      </c>
    </row>
    <row r="47" spans="1:15" ht="15.75" x14ac:dyDescent="0.25">
      <c r="A47" s="48" t="s">
        <v>2720</v>
      </c>
      <c r="B47" s="46" t="s">
        <v>2661</v>
      </c>
      <c r="C47" s="46" t="s">
        <v>3002</v>
      </c>
      <c r="D47" s="46" t="s">
        <v>4</v>
      </c>
      <c r="E47" s="46" t="s">
        <v>4</v>
      </c>
      <c r="F47" s="46" t="s">
        <v>4</v>
      </c>
      <c r="G47" s="46" t="s">
        <v>4</v>
      </c>
      <c r="H47" s="46" t="s">
        <v>4</v>
      </c>
      <c r="I47" s="46" t="s">
        <v>4</v>
      </c>
      <c r="J47" s="46">
        <v>6.2</v>
      </c>
      <c r="K47" s="46">
        <v>10.75</v>
      </c>
      <c r="L47" s="46" t="s">
        <v>4</v>
      </c>
      <c r="M47" s="46">
        <v>16.95</v>
      </c>
      <c r="N47" s="46">
        <v>1.86</v>
      </c>
      <c r="O47" s="49" t="s">
        <v>3037</v>
      </c>
    </row>
    <row r="48" spans="1:15" ht="15.75" x14ac:dyDescent="0.25">
      <c r="A48" s="48" t="s">
        <v>2720</v>
      </c>
      <c r="B48" s="46" t="s">
        <v>2961</v>
      </c>
      <c r="C48" s="46" t="s">
        <v>2969</v>
      </c>
      <c r="D48" s="46" t="s">
        <v>4</v>
      </c>
      <c r="E48" s="46" t="s">
        <v>4</v>
      </c>
      <c r="F48" s="46" t="s">
        <v>4</v>
      </c>
      <c r="G48" s="46" t="s">
        <v>4</v>
      </c>
      <c r="H48" s="46" t="s">
        <v>4</v>
      </c>
      <c r="I48" s="46" t="s">
        <v>4</v>
      </c>
      <c r="J48" s="46" t="s">
        <v>4</v>
      </c>
      <c r="K48" s="46">
        <v>2.3256249999999996</v>
      </c>
      <c r="L48" s="46" t="s">
        <v>4</v>
      </c>
      <c r="M48" s="46">
        <v>2.3256249999999996</v>
      </c>
      <c r="N48" s="46">
        <v>23.55</v>
      </c>
      <c r="O48" s="49" t="s">
        <v>3020</v>
      </c>
    </row>
    <row r="49" spans="1:15" ht="15.75" x14ac:dyDescent="0.25">
      <c r="A49" s="48" t="s">
        <v>2720</v>
      </c>
      <c r="B49" s="46" t="s">
        <v>2843</v>
      </c>
      <c r="C49" s="46" t="s">
        <v>2844</v>
      </c>
      <c r="D49" s="46">
        <v>3.1240000000000001</v>
      </c>
      <c r="E49" s="46">
        <v>5.3940000000000001</v>
      </c>
      <c r="F49" s="46" t="s">
        <v>4</v>
      </c>
      <c r="G49" s="46" t="s">
        <v>4</v>
      </c>
      <c r="H49" s="46" t="s">
        <v>4</v>
      </c>
      <c r="I49" s="46">
        <v>8.5750000000000011</v>
      </c>
      <c r="J49" s="46">
        <v>3.1240000000000001</v>
      </c>
      <c r="K49" s="46">
        <v>5.3940000000000001</v>
      </c>
      <c r="L49" s="46">
        <v>8.5750000000000011</v>
      </c>
      <c r="M49" s="46">
        <v>34.186000000000007</v>
      </c>
      <c r="N49" s="46" t="s">
        <v>4</v>
      </c>
      <c r="O49" s="49" t="s">
        <v>2372</v>
      </c>
    </row>
    <row r="50" spans="1:15" ht="15.75" x14ac:dyDescent="0.25">
      <c r="A50" s="48" t="s">
        <v>2720</v>
      </c>
      <c r="B50" s="46" t="s">
        <v>2720</v>
      </c>
      <c r="C50" s="46" t="s">
        <v>2842</v>
      </c>
      <c r="D50" s="46" t="s">
        <v>4</v>
      </c>
      <c r="E50" s="46" t="s">
        <v>4</v>
      </c>
      <c r="F50" s="46" t="s">
        <v>4</v>
      </c>
      <c r="G50" s="46" t="s">
        <v>4</v>
      </c>
      <c r="H50" s="46" t="s">
        <v>4</v>
      </c>
      <c r="I50" s="46">
        <v>8.0179999999999989</v>
      </c>
      <c r="J50" s="46" t="s">
        <v>4</v>
      </c>
      <c r="K50" s="46" t="s">
        <v>4</v>
      </c>
      <c r="L50" s="46">
        <v>8.0179999999999989</v>
      </c>
      <c r="M50" s="46">
        <v>16.035999999999998</v>
      </c>
      <c r="N50" s="46" t="s">
        <v>4</v>
      </c>
      <c r="O50" s="49" t="s">
        <v>2372</v>
      </c>
    </row>
    <row r="51" spans="1:15" ht="15.75" x14ac:dyDescent="0.25">
      <c r="A51" s="123" t="s">
        <v>3025</v>
      </c>
      <c r="B51" s="124"/>
      <c r="C51" s="125"/>
      <c r="D51" s="46" t="s">
        <v>2720</v>
      </c>
      <c r="E51" s="46" t="s">
        <v>2720</v>
      </c>
      <c r="F51" s="46" t="s">
        <v>2720</v>
      </c>
      <c r="G51" s="46" t="s">
        <v>2720</v>
      </c>
      <c r="H51" s="46" t="s">
        <v>2720</v>
      </c>
      <c r="I51" s="46" t="s">
        <v>2720</v>
      </c>
      <c r="J51" s="46" t="s">
        <v>2720</v>
      </c>
      <c r="K51" s="46" t="s">
        <v>2720</v>
      </c>
      <c r="L51" s="46" t="s">
        <v>2720</v>
      </c>
      <c r="M51" s="46" t="s">
        <v>2720</v>
      </c>
      <c r="N51" s="46" t="s">
        <v>2720</v>
      </c>
      <c r="O51" s="49" t="s">
        <v>4</v>
      </c>
    </row>
    <row r="52" spans="1:15" ht="15.75" x14ac:dyDescent="0.25">
      <c r="A52" s="48">
        <v>4</v>
      </c>
      <c r="B52" s="46" t="s">
        <v>2897</v>
      </c>
      <c r="C52" s="46" t="s">
        <v>2898</v>
      </c>
      <c r="D52" s="46">
        <v>4</v>
      </c>
      <c r="E52" s="46">
        <v>4</v>
      </c>
      <c r="F52" s="46" t="s">
        <v>4</v>
      </c>
      <c r="G52" s="46" t="s">
        <v>4</v>
      </c>
      <c r="H52" s="46" t="s">
        <v>4</v>
      </c>
      <c r="I52" s="46" t="s">
        <v>4</v>
      </c>
      <c r="J52" s="46" t="s">
        <v>4</v>
      </c>
      <c r="K52" s="46" t="s">
        <v>4</v>
      </c>
      <c r="L52" s="46" t="s">
        <v>4</v>
      </c>
      <c r="M52" s="46">
        <v>8</v>
      </c>
      <c r="N52" s="46">
        <v>0.01</v>
      </c>
      <c r="O52" s="49" t="s">
        <v>3018</v>
      </c>
    </row>
    <row r="53" spans="1:15" ht="31.5" x14ac:dyDescent="0.25">
      <c r="A53" s="48">
        <v>8</v>
      </c>
      <c r="B53" s="46" t="s">
        <v>2680</v>
      </c>
      <c r="C53" s="46" t="s">
        <v>2959</v>
      </c>
      <c r="D53" s="46" t="s">
        <v>4</v>
      </c>
      <c r="E53" s="46" t="s">
        <v>4</v>
      </c>
      <c r="F53" s="46" t="s">
        <v>4</v>
      </c>
      <c r="G53" s="46" t="s">
        <v>4</v>
      </c>
      <c r="H53" s="46" t="s">
        <v>4</v>
      </c>
      <c r="I53" s="46" t="s">
        <v>4</v>
      </c>
      <c r="J53" s="46">
        <v>2</v>
      </c>
      <c r="K53" s="46">
        <v>2</v>
      </c>
      <c r="L53" s="46" t="s">
        <v>4</v>
      </c>
      <c r="M53" s="46">
        <v>4</v>
      </c>
      <c r="N53" s="46">
        <v>0.05</v>
      </c>
      <c r="O53" s="49" t="s">
        <v>3019</v>
      </c>
    </row>
    <row r="54" spans="1:15" ht="15.75" x14ac:dyDescent="0.25">
      <c r="A54" s="48" t="s">
        <v>2720</v>
      </c>
      <c r="B54" s="46" t="s">
        <v>2866</v>
      </c>
      <c r="C54" s="46" t="s">
        <v>2996</v>
      </c>
      <c r="D54" s="46">
        <v>4.4000000000000004</v>
      </c>
      <c r="E54" s="46">
        <v>6.44</v>
      </c>
      <c r="F54" s="46" t="s">
        <v>4</v>
      </c>
      <c r="G54" s="46" t="s">
        <v>4</v>
      </c>
      <c r="H54" s="46" t="s">
        <v>4</v>
      </c>
      <c r="I54" s="46" t="s">
        <v>4</v>
      </c>
      <c r="J54" s="46" t="s">
        <v>4</v>
      </c>
      <c r="K54" s="46" t="s">
        <v>4</v>
      </c>
      <c r="L54" s="46" t="s">
        <v>4</v>
      </c>
      <c r="M54" s="46">
        <v>10.84</v>
      </c>
      <c r="N54" s="46">
        <v>6.14</v>
      </c>
      <c r="O54" s="49" t="s">
        <v>3029</v>
      </c>
    </row>
    <row r="55" spans="1:15" ht="15.75" x14ac:dyDescent="0.25">
      <c r="A55" s="48" t="s">
        <v>2720</v>
      </c>
      <c r="B55" s="46" t="s">
        <v>2661</v>
      </c>
      <c r="C55" s="46" t="s">
        <v>2997</v>
      </c>
      <c r="D55" s="46">
        <v>0.4</v>
      </c>
      <c r="E55" s="46">
        <v>0.4</v>
      </c>
      <c r="F55" s="46" t="s">
        <v>4</v>
      </c>
      <c r="G55" s="46" t="s">
        <v>4</v>
      </c>
      <c r="H55" s="46" t="s">
        <v>4</v>
      </c>
      <c r="I55" s="46" t="s">
        <v>4</v>
      </c>
      <c r="J55" s="46" t="s">
        <v>4</v>
      </c>
      <c r="K55" s="46" t="s">
        <v>4</v>
      </c>
      <c r="L55" s="46" t="s">
        <v>4</v>
      </c>
      <c r="M55" s="46">
        <v>0.8</v>
      </c>
      <c r="N55" s="46">
        <v>2.2999999999999998</v>
      </c>
      <c r="O55" s="49" t="s">
        <v>3017</v>
      </c>
    </row>
    <row r="56" spans="1:15" ht="15.75" x14ac:dyDescent="0.25">
      <c r="A56" s="48" t="s">
        <v>2720</v>
      </c>
      <c r="B56" s="46" t="s">
        <v>2961</v>
      </c>
      <c r="C56" s="46" t="s">
        <v>2962</v>
      </c>
      <c r="D56" s="46" t="s">
        <v>4</v>
      </c>
      <c r="E56" s="46" t="s">
        <v>4</v>
      </c>
      <c r="F56" s="46" t="s">
        <v>4</v>
      </c>
      <c r="G56" s="46" t="s">
        <v>4</v>
      </c>
      <c r="H56" s="46" t="s">
        <v>4</v>
      </c>
      <c r="I56" s="46" t="s">
        <v>4</v>
      </c>
      <c r="J56" s="46">
        <v>1.0404</v>
      </c>
      <c r="K56" s="46" t="s">
        <v>4</v>
      </c>
      <c r="L56" s="46" t="s">
        <v>4</v>
      </c>
      <c r="M56" s="46">
        <v>1.0404</v>
      </c>
      <c r="N56" s="46">
        <v>23.56</v>
      </c>
      <c r="O56" s="49" t="s">
        <v>3036</v>
      </c>
    </row>
    <row r="57" spans="1:15" ht="15.75" x14ac:dyDescent="0.25">
      <c r="A57" s="48" t="s">
        <v>2720</v>
      </c>
      <c r="B57" s="46" t="s">
        <v>2661</v>
      </c>
      <c r="C57" s="46" t="s">
        <v>3002</v>
      </c>
      <c r="D57" s="46" t="s">
        <v>4</v>
      </c>
      <c r="E57" s="46" t="s">
        <v>4</v>
      </c>
      <c r="F57" s="46" t="s">
        <v>4</v>
      </c>
      <c r="G57" s="46" t="s">
        <v>4</v>
      </c>
      <c r="H57" s="46" t="s">
        <v>4</v>
      </c>
      <c r="I57" s="46" t="s">
        <v>4</v>
      </c>
      <c r="J57" s="46">
        <v>6.2</v>
      </c>
      <c r="K57" s="46">
        <v>10.75</v>
      </c>
      <c r="L57" s="46" t="s">
        <v>4</v>
      </c>
      <c r="M57" s="46">
        <v>16.95</v>
      </c>
      <c r="N57" s="46">
        <v>1.86</v>
      </c>
      <c r="O57" s="49" t="s">
        <v>3037</v>
      </c>
    </row>
    <row r="58" spans="1:15" ht="15.75" x14ac:dyDescent="0.25">
      <c r="A58" s="48" t="s">
        <v>2720</v>
      </c>
      <c r="B58" s="46" t="s">
        <v>2961</v>
      </c>
      <c r="C58" s="46" t="s">
        <v>2969</v>
      </c>
      <c r="D58" s="46" t="s">
        <v>4</v>
      </c>
      <c r="E58" s="46" t="s">
        <v>4</v>
      </c>
      <c r="F58" s="46" t="s">
        <v>4</v>
      </c>
      <c r="G58" s="46" t="s">
        <v>4</v>
      </c>
      <c r="H58" s="46" t="s">
        <v>4</v>
      </c>
      <c r="I58" s="46" t="s">
        <v>4</v>
      </c>
      <c r="J58" s="46" t="s">
        <v>4</v>
      </c>
      <c r="K58" s="46">
        <v>2.3256249999999996</v>
      </c>
      <c r="L58" s="46" t="s">
        <v>4</v>
      </c>
      <c r="M58" s="46">
        <v>2.3256249999999996</v>
      </c>
      <c r="N58" s="46">
        <v>23.55</v>
      </c>
      <c r="O58" s="49" t="s">
        <v>3020</v>
      </c>
    </row>
    <row r="59" spans="1:15" ht="15.75" x14ac:dyDescent="0.25">
      <c r="A59" s="48" t="s">
        <v>2720</v>
      </c>
      <c r="B59" s="46" t="s">
        <v>2866</v>
      </c>
      <c r="C59" s="46" t="s">
        <v>3001</v>
      </c>
      <c r="D59" s="46" t="s">
        <v>4</v>
      </c>
      <c r="E59" s="46" t="s">
        <v>4</v>
      </c>
      <c r="F59" s="46" t="s">
        <v>4</v>
      </c>
      <c r="G59" s="46" t="s">
        <v>4</v>
      </c>
      <c r="H59" s="46" t="s">
        <v>4</v>
      </c>
      <c r="I59" s="46" t="s">
        <v>4</v>
      </c>
      <c r="J59" s="46" t="s">
        <v>4</v>
      </c>
      <c r="K59" s="46" t="s">
        <v>4</v>
      </c>
      <c r="L59" s="46">
        <v>13.389999999999999</v>
      </c>
      <c r="M59" s="46">
        <v>13.389999999999999</v>
      </c>
      <c r="N59" s="46">
        <v>18.190000000000001</v>
      </c>
      <c r="O59" s="49" t="s">
        <v>3038</v>
      </c>
    </row>
    <row r="60" spans="1:15" ht="15.75" x14ac:dyDescent="0.25">
      <c r="A60" s="48" t="s">
        <v>2720</v>
      </c>
      <c r="B60" s="126" t="s">
        <v>2876</v>
      </c>
      <c r="C60" s="46" t="s">
        <v>2877</v>
      </c>
      <c r="D60" s="46" t="s">
        <v>4</v>
      </c>
      <c r="E60" s="46" t="s">
        <v>4</v>
      </c>
      <c r="F60" s="46" t="s">
        <v>4</v>
      </c>
      <c r="G60" s="46" t="s">
        <v>4</v>
      </c>
      <c r="H60" s="46" t="s">
        <v>4</v>
      </c>
      <c r="I60" s="46" t="s">
        <v>4</v>
      </c>
      <c r="J60" s="46" t="s">
        <v>4</v>
      </c>
      <c r="K60" s="46" t="s">
        <v>4</v>
      </c>
      <c r="L60" s="46">
        <v>0.31679999999999997</v>
      </c>
      <c r="M60" s="46">
        <v>0.31679999999999997</v>
      </c>
      <c r="N60" s="46">
        <v>23.86</v>
      </c>
      <c r="O60" s="49" t="s">
        <v>3022</v>
      </c>
    </row>
    <row r="61" spans="1:15" ht="15.75" x14ac:dyDescent="0.25">
      <c r="A61" s="48" t="s">
        <v>2720</v>
      </c>
      <c r="B61" s="86"/>
      <c r="C61" s="46" t="s">
        <v>2883</v>
      </c>
      <c r="D61" s="46" t="s">
        <v>4</v>
      </c>
      <c r="E61" s="46" t="s">
        <v>4</v>
      </c>
      <c r="F61" s="46" t="s">
        <v>4</v>
      </c>
      <c r="G61" s="46" t="s">
        <v>4</v>
      </c>
      <c r="H61" s="46" t="s">
        <v>4</v>
      </c>
      <c r="I61" s="46" t="s">
        <v>4</v>
      </c>
      <c r="J61" s="46" t="s">
        <v>4</v>
      </c>
      <c r="K61" s="46" t="s">
        <v>4</v>
      </c>
      <c r="L61" s="46">
        <v>0.32640000000000002</v>
      </c>
      <c r="M61" s="46">
        <v>0.32640000000000002</v>
      </c>
      <c r="N61" s="46">
        <v>48.08</v>
      </c>
      <c r="O61" s="49" t="s">
        <v>3039</v>
      </c>
    </row>
    <row r="62" spans="1:15" ht="15.75" x14ac:dyDescent="0.25">
      <c r="A62" s="48" t="s">
        <v>2720</v>
      </c>
      <c r="B62" s="46" t="s">
        <v>2843</v>
      </c>
      <c r="C62" s="46" t="s">
        <v>2844</v>
      </c>
      <c r="D62" s="46">
        <v>3.1240000000000001</v>
      </c>
      <c r="E62" s="46">
        <v>5.3940000000000001</v>
      </c>
      <c r="F62" s="46" t="s">
        <v>4</v>
      </c>
      <c r="G62" s="46" t="s">
        <v>4</v>
      </c>
      <c r="H62" s="46" t="s">
        <v>4</v>
      </c>
      <c r="I62" s="46" t="s">
        <v>4</v>
      </c>
      <c r="J62" s="46">
        <v>3.1240000000000001</v>
      </c>
      <c r="K62" s="46">
        <v>5.3940000000000001</v>
      </c>
      <c r="L62" s="46">
        <v>8.5750000000000011</v>
      </c>
      <c r="M62" s="46">
        <v>25.611000000000004</v>
      </c>
      <c r="N62" s="46" t="s">
        <v>4</v>
      </c>
      <c r="O62" s="49" t="s">
        <v>2372</v>
      </c>
    </row>
    <row r="63" spans="1:15" ht="15.75" x14ac:dyDescent="0.25">
      <c r="A63" s="48" t="s">
        <v>2720</v>
      </c>
      <c r="B63" s="46" t="s">
        <v>2720</v>
      </c>
      <c r="C63" s="46" t="s">
        <v>2842</v>
      </c>
      <c r="D63" s="46" t="s">
        <v>4</v>
      </c>
      <c r="E63" s="46" t="s">
        <v>4</v>
      </c>
      <c r="F63" s="46" t="s">
        <v>4</v>
      </c>
      <c r="G63" s="46" t="s">
        <v>4</v>
      </c>
      <c r="H63" s="46" t="s">
        <v>4</v>
      </c>
      <c r="I63" s="46" t="s">
        <v>4</v>
      </c>
      <c r="J63" s="46" t="s">
        <v>4</v>
      </c>
      <c r="K63" s="46" t="s">
        <v>4</v>
      </c>
      <c r="L63" s="46">
        <v>8.0179999999999989</v>
      </c>
      <c r="M63" s="46">
        <v>8.0179999999999989</v>
      </c>
      <c r="N63" s="46" t="s">
        <v>4</v>
      </c>
      <c r="O63" s="49" t="s">
        <v>2372</v>
      </c>
    </row>
    <row r="64" spans="1:15" ht="15.75" x14ac:dyDescent="0.25">
      <c r="A64" s="123" t="s">
        <v>3026</v>
      </c>
      <c r="B64" s="124"/>
      <c r="C64" s="125"/>
      <c r="D64" s="46" t="s">
        <v>2720</v>
      </c>
      <c r="E64" s="46" t="s">
        <v>2720</v>
      </c>
      <c r="F64" s="46" t="s">
        <v>2720</v>
      </c>
      <c r="G64" s="46" t="s">
        <v>2720</v>
      </c>
      <c r="H64" s="46" t="s">
        <v>2720</v>
      </c>
      <c r="I64" s="46" t="s">
        <v>2720</v>
      </c>
      <c r="J64" s="46" t="s">
        <v>2720</v>
      </c>
      <c r="K64" s="46" t="s">
        <v>2720</v>
      </c>
      <c r="L64" s="46" t="s">
        <v>2720</v>
      </c>
      <c r="M64" s="46" t="s">
        <v>2720</v>
      </c>
      <c r="N64" s="46" t="s">
        <v>2720</v>
      </c>
      <c r="O64" s="49" t="s">
        <v>4</v>
      </c>
    </row>
    <row r="65" spans="1:15" ht="15.75" x14ac:dyDescent="0.25">
      <c r="A65" s="48" t="s">
        <v>2720</v>
      </c>
      <c r="B65" s="46" t="s">
        <v>2876</v>
      </c>
      <c r="C65" s="46" t="s">
        <v>2922</v>
      </c>
      <c r="D65" s="46" t="s">
        <v>4</v>
      </c>
      <c r="E65" s="46" t="s">
        <v>4</v>
      </c>
      <c r="F65" s="46">
        <v>1.9352400000000001</v>
      </c>
      <c r="G65" s="46">
        <v>0.80441200000000013</v>
      </c>
      <c r="H65" s="46" t="s">
        <v>4</v>
      </c>
      <c r="I65" s="46" t="s">
        <v>4</v>
      </c>
      <c r="J65" s="46" t="s">
        <v>4</v>
      </c>
      <c r="K65" s="46" t="s">
        <v>4</v>
      </c>
      <c r="L65" s="46" t="s">
        <v>4</v>
      </c>
      <c r="M65" s="46">
        <v>2.7396520000000004</v>
      </c>
      <c r="N65" s="46">
        <v>25.83</v>
      </c>
      <c r="O65" s="49" t="s">
        <v>3042</v>
      </c>
    </row>
    <row r="66" spans="1:15" ht="15.75" x14ac:dyDescent="0.25">
      <c r="A66" s="48" t="s">
        <v>2720</v>
      </c>
      <c r="B66" s="126" t="s">
        <v>2866</v>
      </c>
      <c r="C66" s="46" t="s">
        <v>2998</v>
      </c>
      <c r="D66" s="46" t="s">
        <v>4</v>
      </c>
      <c r="E66" s="46" t="s">
        <v>4</v>
      </c>
      <c r="F66" s="46">
        <v>13.08</v>
      </c>
      <c r="G66" s="46">
        <v>5.4</v>
      </c>
      <c r="H66" s="46" t="s">
        <v>4</v>
      </c>
      <c r="I66" s="46" t="s">
        <v>4</v>
      </c>
      <c r="J66" s="46" t="s">
        <v>4</v>
      </c>
      <c r="K66" s="46" t="s">
        <v>4</v>
      </c>
      <c r="L66" s="46" t="s">
        <v>4</v>
      </c>
      <c r="M66" s="46">
        <v>18.48</v>
      </c>
      <c r="N66" s="46">
        <v>2.31</v>
      </c>
      <c r="O66" s="49" t="s">
        <v>3043</v>
      </c>
    </row>
    <row r="67" spans="1:15" ht="15.75" x14ac:dyDescent="0.25">
      <c r="A67" s="48" t="s">
        <v>2720</v>
      </c>
      <c r="B67" s="127"/>
      <c r="C67" s="46" t="s">
        <v>2999</v>
      </c>
      <c r="D67" s="46" t="s">
        <v>4</v>
      </c>
      <c r="E67" s="46" t="s">
        <v>4</v>
      </c>
      <c r="F67" s="46">
        <v>19.350000000000001</v>
      </c>
      <c r="G67" s="46">
        <v>9.0300000000000011</v>
      </c>
      <c r="H67" s="46" t="s">
        <v>4</v>
      </c>
      <c r="I67" s="46" t="s">
        <v>4</v>
      </c>
      <c r="J67" s="46" t="s">
        <v>4</v>
      </c>
      <c r="K67" s="46" t="s">
        <v>4</v>
      </c>
      <c r="L67" s="46" t="s">
        <v>4</v>
      </c>
      <c r="M67" s="46">
        <v>28.380000000000003</v>
      </c>
      <c r="N67" s="46">
        <v>4.26</v>
      </c>
      <c r="O67" s="49" t="s">
        <v>3044</v>
      </c>
    </row>
    <row r="68" spans="1:15" ht="15.75" x14ac:dyDescent="0.25">
      <c r="A68" s="48" t="s">
        <v>2720</v>
      </c>
      <c r="B68" s="127"/>
      <c r="C68" s="46" t="s">
        <v>3000</v>
      </c>
      <c r="D68" s="46" t="s">
        <v>4</v>
      </c>
      <c r="E68" s="46" t="s">
        <v>4</v>
      </c>
      <c r="F68" s="46">
        <v>13.13</v>
      </c>
      <c r="G68" s="46">
        <v>5.45</v>
      </c>
      <c r="H68" s="46" t="s">
        <v>4</v>
      </c>
      <c r="I68" s="46" t="s">
        <v>4</v>
      </c>
      <c r="J68" s="46" t="s">
        <v>4</v>
      </c>
      <c r="K68" s="46" t="s">
        <v>4</v>
      </c>
      <c r="L68" s="46" t="s">
        <v>4</v>
      </c>
      <c r="M68" s="46">
        <v>18.580000000000002</v>
      </c>
      <c r="N68" s="46">
        <v>4.25</v>
      </c>
      <c r="O68" s="49" t="s">
        <v>3045</v>
      </c>
    </row>
    <row r="69" spans="1:15" ht="15.75" x14ac:dyDescent="0.25">
      <c r="A69" s="48" t="s">
        <v>2720</v>
      </c>
      <c r="B69" s="86"/>
      <c r="C69" s="46" t="s">
        <v>3001</v>
      </c>
      <c r="D69" s="46" t="s">
        <v>4</v>
      </c>
      <c r="E69" s="46" t="s">
        <v>4</v>
      </c>
      <c r="F69" s="46" t="s">
        <v>4</v>
      </c>
      <c r="G69" s="46" t="s">
        <v>4</v>
      </c>
      <c r="H69" s="46" t="s">
        <v>4</v>
      </c>
      <c r="I69" s="46">
        <v>13.389999999999999</v>
      </c>
      <c r="J69" s="46" t="s">
        <v>4</v>
      </c>
      <c r="K69" s="46" t="s">
        <v>4</v>
      </c>
      <c r="L69" s="46" t="s">
        <v>4</v>
      </c>
      <c r="M69" s="46">
        <v>26.779999999999998</v>
      </c>
      <c r="N69" s="46">
        <v>18.190000000000001</v>
      </c>
      <c r="O69" s="49" t="s">
        <v>3040</v>
      </c>
    </row>
    <row r="70" spans="1:15" ht="15.75" x14ac:dyDescent="0.25">
      <c r="A70" s="48" t="s">
        <v>2720</v>
      </c>
      <c r="B70" s="126" t="s">
        <v>2876</v>
      </c>
      <c r="C70" s="46" t="s">
        <v>2877</v>
      </c>
      <c r="D70" s="46" t="s">
        <v>4</v>
      </c>
      <c r="E70" s="46" t="s">
        <v>4</v>
      </c>
      <c r="F70" s="46" t="s">
        <v>4</v>
      </c>
      <c r="G70" s="46" t="s">
        <v>4</v>
      </c>
      <c r="H70" s="46" t="s">
        <v>4</v>
      </c>
      <c r="I70" s="46">
        <v>0.31679999999999997</v>
      </c>
      <c r="J70" s="46" t="s">
        <v>4</v>
      </c>
      <c r="K70" s="46" t="s">
        <v>4</v>
      </c>
      <c r="L70" s="46" t="s">
        <v>4</v>
      </c>
      <c r="M70" s="46">
        <v>0.63359999999999994</v>
      </c>
      <c r="N70" s="46">
        <v>23.86</v>
      </c>
      <c r="O70" s="49" t="s">
        <v>3024</v>
      </c>
    </row>
    <row r="71" spans="1:15" ht="15.75" x14ac:dyDescent="0.25">
      <c r="A71" s="48" t="s">
        <v>2720</v>
      </c>
      <c r="B71" s="86"/>
      <c r="C71" s="46" t="s">
        <v>2883</v>
      </c>
      <c r="D71" s="46" t="s">
        <v>4</v>
      </c>
      <c r="E71" s="46" t="s">
        <v>4</v>
      </c>
      <c r="F71" s="46" t="s">
        <v>4</v>
      </c>
      <c r="G71" s="46" t="s">
        <v>4</v>
      </c>
      <c r="H71" s="46" t="s">
        <v>4</v>
      </c>
      <c r="I71" s="46">
        <v>0.32640000000000002</v>
      </c>
      <c r="J71" s="46" t="s">
        <v>4</v>
      </c>
      <c r="K71" s="46" t="s">
        <v>4</v>
      </c>
      <c r="L71" s="46" t="s">
        <v>4</v>
      </c>
      <c r="M71" s="46">
        <v>0.65280000000000005</v>
      </c>
      <c r="N71" s="46">
        <v>48.08</v>
      </c>
      <c r="O71" s="49" t="s">
        <v>3041</v>
      </c>
    </row>
    <row r="72" spans="1:15" ht="15.75" x14ac:dyDescent="0.25">
      <c r="A72" s="48" t="s">
        <v>2720</v>
      </c>
      <c r="B72" s="46" t="s">
        <v>2843</v>
      </c>
      <c r="C72" s="46" t="s">
        <v>2844</v>
      </c>
      <c r="D72" s="46" t="s">
        <v>4</v>
      </c>
      <c r="E72" s="46" t="s">
        <v>4</v>
      </c>
      <c r="F72" s="46">
        <v>9.6929999999999996</v>
      </c>
      <c r="G72" s="46">
        <v>4.2190000000000003</v>
      </c>
      <c r="H72" s="46" t="s">
        <v>4</v>
      </c>
      <c r="I72" s="46">
        <v>8.5750000000000011</v>
      </c>
      <c r="J72" s="46" t="s">
        <v>4</v>
      </c>
      <c r="K72" s="46" t="s">
        <v>4</v>
      </c>
      <c r="L72" s="46" t="s">
        <v>4</v>
      </c>
      <c r="M72" s="46">
        <v>31.062000000000001</v>
      </c>
      <c r="N72" s="46" t="s">
        <v>4</v>
      </c>
      <c r="O72" s="49" t="s">
        <v>2372</v>
      </c>
    </row>
    <row r="73" spans="1:15" ht="16.5" thickBot="1" x14ac:dyDescent="0.3">
      <c r="A73" s="16" t="s">
        <v>2720</v>
      </c>
      <c r="B73" s="47" t="s">
        <v>2720</v>
      </c>
      <c r="C73" s="47" t="s">
        <v>2842</v>
      </c>
      <c r="D73" s="47" t="s">
        <v>4</v>
      </c>
      <c r="E73" s="47" t="s">
        <v>4</v>
      </c>
      <c r="F73" s="47" t="s">
        <v>4</v>
      </c>
      <c r="G73" s="47" t="s">
        <v>4</v>
      </c>
      <c r="H73" s="47" t="s">
        <v>4</v>
      </c>
      <c r="I73" s="47">
        <v>8.0179999999999989</v>
      </c>
      <c r="J73" s="47" t="s">
        <v>4</v>
      </c>
      <c r="K73" s="47" t="s">
        <v>4</v>
      </c>
      <c r="L73" s="47" t="s">
        <v>4</v>
      </c>
      <c r="M73" s="47">
        <v>16.035999999999998</v>
      </c>
      <c r="N73" s="47" t="s">
        <v>4</v>
      </c>
      <c r="O73" s="18" t="s">
        <v>2372</v>
      </c>
    </row>
  </sheetData>
  <mergeCells count="20">
    <mergeCell ref="B66:B69"/>
    <mergeCell ref="B70:B71"/>
    <mergeCell ref="D1:L1"/>
    <mergeCell ref="M1:M2"/>
    <mergeCell ref="N1:N2"/>
    <mergeCell ref="A21:C21"/>
    <mergeCell ref="A38:C38"/>
    <mergeCell ref="A51:C51"/>
    <mergeCell ref="A64:C64"/>
    <mergeCell ref="B10:B13"/>
    <mergeCell ref="B14:B15"/>
    <mergeCell ref="B27:B29"/>
    <mergeCell ref="B34:B35"/>
    <mergeCell ref="B44:B45"/>
    <mergeCell ref="B60:B61"/>
    <mergeCell ref="O1:O2"/>
    <mergeCell ref="A3:C3"/>
    <mergeCell ref="A1:A2"/>
    <mergeCell ref="B1:B2"/>
    <mergeCell ref="C1:C2"/>
  </mergeCells>
  <conditionalFormatting sqref="A1:O73">
    <cfRule type="containsText" dxfId="97" priority="1" stopIfTrue="1" operator="containsText" text="С ЛИСТА">
      <formula>NOT(ISERROR(SEARCH("С ЛИСТА",A1)))</formula>
    </cfRule>
    <cfRule type="containsText" dxfId="96" priority="2" stopIfTrue="1" operator="containsText" text="ИЗ ФАЙЛА">
      <formula>NOT(ISERROR(SEARCH("ИЗ ФАЙЛА",A1)))</formula>
    </cfRule>
    <cfRule type="containsText" dxfId="95" priority="3" stopIfTrue="1" operator="containsText" text="!!!">
      <formula>NOT(ISERROR(SEARCH("!!!",A1)))</formula>
    </cfRule>
    <cfRule type="containsText" dxfId="94" priority="4" stopIfTrue="1" operator="containsText" text=" Изделия ">
      <formula>NOT(ISERROR(SEARCH(" Изделия ",A1)))</formula>
    </cfRule>
    <cfRule type="containsText" dxfId="93" priority="5" stopIfTrue="1" operator="containsText" text=" Прокат ">
      <formula>NOT(ISERROR(SEARCH(" Прокат ",A1)))</formula>
    </cfRule>
    <cfRule type="containsText" dxfId="92" priority="6" stopIfTrue="1" operator="containsText" text=" Сборочные единицы ">
      <formula>NOT(ISERROR(SEARCH(" Сборочные единицы ",A1)))</formula>
    </cfRule>
    <cfRule type="containsText" dxfId="91" priority="7" stopIfTrue="1" operator="containsText" text=" Материалы ">
      <formula>NOT(ISERROR(SEARCH(" Материалы ",A1)))</formula>
    </cfRule>
    <cfRule type="containsText" dxfId="90" priority="8" stopIfTrue="1" operator="containsText" text="Элементы на отм.">
      <formula>NOT(ISERROR(SEARCH("Элементы на отм.",A1)))</formula>
    </cfRule>
    <cfRule type="containsText" dxfId="89" priority="9" stopIfTrue="1" operator="containsText" text=", на ">
      <formula>NOT(ISERROR(SEARCH(", на ",A1)))</formula>
    </cfRule>
    <cfRule type="containsText" dxfId="88" priority="10" stopIfTrue="1" operator="containsText" text="шт.)">
      <formula>NOT(ISERROR(SEARCH("шт.)",A1)))</formula>
    </cfRule>
  </conditionalFormatting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>
    <tabColor rgb="FF000000"/>
  </sheetPr>
  <dimension ref="A1:F21"/>
  <sheetViews>
    <sheetView topLeftCell="A9" workbookViewId="0">
      <selection activeCell="H14" sqref="H14"/>
    </sheetView>
  </sheetViews>
  <sheetFormatPr defaultRowHeight="15" x14ac:dyDescent="0.25"/>
  <cols>
    <col min="1" max="1" width="7.85546875" style="9" customWidth="1"/>
    <col min="2" max="2" width="24.5703125" style="9" customWidth="1"/>
    <col min="3" max="3" width="29.42578125" style="9" customWidth="1"/>
    <col min="4" max="4" width="7.85546875" style="9" customWidth="1"/>
    <col min="5" max="5" width="10.28515625" style="9" customWidth="1"/>
    <col min="6" max="6" width="12.7109375" style="9" customWidth="1"/>
    <col min="7" max="10" width="7.85546875" style="9" customWidth="1"/>
    <col min="11" max="11" width="10.28515625" style="9" customWidth="1"/>
    <col min="12" max="12" width="12.7109375" style="9" customWidth="1"/>
    <col min="13" max="16384" width="9.140625" style="9"/>
  </cols>
  <sheetData>
    <row r="1" spans="1:6" ht="31.5" x14ac:dyDescent="0.25">
      <c r="A1" s="43" t="s">
        <v>2636</v>
      </c>
      <c r="B1" s="44" t="s">
        <v>2637</v>
      </c>
      <c r="C1" s="44" t="s">
        <v>2638</v>
      </c>
      <c r="D1" s="44" t="s">
        <v>2830</v>
      </c>
      <c r="E1" s="44" t="s">
        <v>2837</v>
      </c>
      <c r="F1" s="45" t="s">
        <v>2719</v>
      </c>
    </row>
    <row r="2" spans="1:6" ht="15.75" x14ac:dyDescent="0.25">
      <c r="A2" s="48" t="s">
        <v>2720</v>
      </c>
      <c r="B2" s="46" t="s">
        <v>2720</v>
      </c>
      <c r="C2" s="46" t="s">
        <v>3069</v>
      </c>
      <c r="D2" s="46" t="s">
        <v>4</v>
      </c>
      <c r="E2" s="46" t="s">
        <v>4</v>
      </c>
      <c r="F2" s="49" t="s">
        <v>4</v>
      </c>
    </row>
    <row r="3" spans="1:6" ht="31.5" x14ac:dyDescent="0.25">
      <c r="A3" s="48" t="s">
        <v>2845</v>
      </c>
      <c r="B3" s="128" t="s">
        <v>2846</v>
      </c>
      <c r="C3" s="46" t="s">
        <v>2847</v>
      </c>
      <c r="D3" s="46">
        <v>4</v>
      </c>
      <c r="E3" s="46">
        <v>27.96</v>
      </c>
      <c r="F3" s="49" t="s">
        <v>2848</v>
      </c>
    </row>
    <row r="4" spans="1:6" ht="31.5" x14ac:dyDescent="0.25">
      <c r="A4" s="48" t="s">
        <v>2849</v>
      </c>
      <c r="B4" s="128"/>
      <c r="C4" s="46" t="s">
        <v>2850</v>
      </c>
      <c r="D4" s="46">
        <v>4</v>
      </c>
      <c r="E4" s="46">
        <v>40.32</v>
      </c>
      <c r="F4" s="49" t="s">
        <v>2851</v>
      </c>
    </row>
    <row r="5" spans="1:6" ht="94.5" x14ac:dyDescent="0.25">
      <c r="A5" s="48" t="s">
        <v>2852</v>
      </c>
      <c r="B5" s="128" t="s">
        <v>2720</v>
      </c>
      <c r="C5" s="46" t="s">
        <v>2852</v>
      </c>
      <c r="D5" s="46">
        <v>1</v>
      </c>
      <c r="E5" s="46">
        <v>25.66</v>
      </c>
      <c r="F5" s="49" t="s">
        <v>2853</v>
      </c>
    </row>
    <row r="6" spans="1:6" ht="31.5" x14ac:dyDescent="0.25">
      <c r="A6" s="48" t="s">
        <v>2854</v>
      </c>
      <c r="B6" s="128"/>
      <c r="C6" s="46" t="s">
        <v>2855</v>
      </c>
      <c r="D6" s="46">
        <v>3</v>
      </c>
      <c r="E6" s="46">
        <v>214.06</v>
      </c>
      <c r="F6" s="49" t="s">
        <v>2856</v>
      </c>
    </row>
    <row r="7" spans="1:6" ht="31.5" x14ac:dyDescent="0.25">
      <c r="A7" s="48" t="s">
        <v>2857</v>
      </c>
      <c r="B7" s="128"/>
      <c r="C7" s="46" t="s">
        <v>2858</v>
      </c>
      <c r="D7" s="46">
        <v>3</v>
      </c>
      <c r="E7" s="46">
        <v>93.08</v>
      </c>
      <c r="F7" s="49" t="s">
        <v>2859</v>
      </c>
    </row>
    <row r="8" spans="1:6" ht="31.5" x14ac:dyDescent="0.25">
      <c r="A8" s="48" t="s">
        <v>2860</v>
      </c>
      <c r="B8" s="128"/>
      <c r="C8" s="46" t="s">
        <v>2861</v>
      </c>
      <c r="D8" s="46">
        <v>2</v>
      </c>
      <c r="E8" s="46">
        <v>122.47</v>
      </c>
      <c r="F8" s="49" t="s">
        <v>2862</v>
      </c>
    </row>
    <row r="9" spans="1:6" ht="15.75" x14ac:dyDescent="0.25">
      <c r="A9" s="48" t="s">
        <v>2863</v>
      </c>
      <c r="B9" s="46" t="s">
        <v>2846</v>
      </c>
      <c r="C9" s="46" t="s">
        <v>2863</v>
      </c>
      <c r="D9" s="46">
        <v>6</v>
      </c>
      <c r="E9" s="46">
        <v>266.19</v>
      </c>
      <c r="F9" s="49" t="s">
        <v>2864</v>
      </c>
    </row>
    <row r="10" spans="1:6" ht="110.25" x14ac:dyDescent="0.25">
      <c r="A10" s="48" t="s">
        <v>3070</v>
      </c>
      <c r="B10" s="46" t="s">
        <v>2720</v>
      </c>
      <c r="C10" s="46" t="s">
        <v>3070</v>
      </c>
      <c r="D10" s="46">
        <v>4</v>
      </c>
      <c r="E10" s="46">
        <v>192.60999999999999</v>
      </c>
      <c r="F10" s="49" t="s">
        <v>3071</v>
      </c>
    </row>
    <row r="11" spans="1:6" ht="15.75" x14ac:dyDescent="0.25">
      <c r="A11" s="48" t="s">
        <v>2885</v>
      </c>
      <c r="B11" s="128" t="s">
        <v>2846</v>
      </c>
      <c r="C11" s="46" t="s">
        <v>2886</v>
      </c>
      <c r="D11" s="46">
        <v>4</v>
      </c>
      <c r="E11" s="46">
        <v>36.130000000000003</v>
      </c>
      <c r="F11" s="49" t="s">
        <v>2887</v>
      </c>
    </row>
    <row r="12" spans="1:6" ht="15.75" x14ac:dyDescent="0.25">
      <c r="A12" s="48" t="s">
        <v>2888</v>
      </c>
      <c r="B12" s="128"/>
      <c r="C12" s="46" t="s">
        <v>2889</v>
      </c>
      <c r="D12" s="46">
        <v>4</v>
      </c>
      <c r="E12" s="46">
        <v>74.72</v>
      </c>
      <c r="F12" s="49" t="s">
        <v>2890</v>
      </c>
    </row>
    <row r="13" spans="1:6" ht="15.75" x14ac:dyDescent="0.25">
      <c r="A13" s="48" t="s">
        <v>2720</v>
      </c>
      <c r="B13" s="46" t="s">
        <v>2720</v>
      </c>
      <c r="C13" s="46" t="s">
        <v>3066</v>
      </c>
      <c r="D13" s="46" t="s">
        <v>4</v>
      </c>
      <c r="E13" s="46" t="s">
        <v>4</v>
      </c>
      <c r="F13" s="49" t="s">
        <v>4</v>
      </c>
    </row>
    <row r="14" spans="1:6" ht="15.75" x14ac:dyDescent="0.25">
      <c r="A14" s="48" t="s">
        <v>2720</v>
      </c>
      <c r="B14" s="46" t="s">
        <v>2866</v>
      </c>
      <c r="C14" s="46" t="s">
        <v>3001</v>
      </c>
      <c r="D14" s="46">
        <v>53.559999999999995</v>
      </c>
      <c r="E14" s="46">
        <v>18.190000000000001</v>
      </c>
      <c r="F14" s="49" t="s">
        <v>3034</v>
      </c>
    </row>
    <row r="15" spans="1:6" ht="15.75" x14ac:dyDescent="0.25">
      <c r="A15" s="48" t="s">
        <v>2720</v>
      </c>
      <c r="B15" s="128" t="s">
        <v>2876</v>
      </c>
      <c r="C15" s="46" t="s">
        <v>2877</v>
      </c>
      <c r="D15" s="46">
        <v>1.2671999999999999</v>
      </c>
      <c r="E15" s="46">
        <v>23.86</v>
      </c>
      <c r="F15" s="49" t="s">
        <v>2878</v>
      </c>
    </row>
    <row r="16" spans="1:6" ht="15.75" x14ac:dyDescent="0.25">
      <c r="A16" s="48" t="s">
        <v>2720</v>
      </c>
      <c r="B16" s="128"/>
      <c r="C16" s="46" t="s">
        <v>2883</v>
      </c>
      <c r="D16" s="46">
        <v>1.3056000000000001</v>
      </c>
      <c r="E16" s="46">
        <v>48.08</v>
      </c>
      <c r="F16" s="49" t="s">
        <v>3035</v>
      </c>
    </row>
    <row r="17" spans="1:6" ht="15.75" x14ac:dyDescent="0.25">
      <c r="A17" s="48" t="s">
        <v>2720</v>
      </c>
      <c r="B17" s="46" t="s">
        <v>2720</v>
      </c>
      <c r="C17" s="46" t="s">
        <v>3067</v>
      </c>
      <c r="D17" s="46" t="s">
        <v>4</v>
      </c>
      <c r="E17" s="46" t="s">
        <v>4</v>
      </c>
      <c r="F17" s="49" t="s">
        <v>4</v>
      </c>
    </row>
    <row r="18" spans="1:6" ht="15.75" x14ac:dyDescent="0.25">
      <c r="A18" s="48" t="s">
        <v>2720</v>
      </c>
      <c r="B18" s="46" t="s">
        <v>2660</v>
      </c>
      <c r="C18" s="46" t="s">
        <v>2838</v>
      </c>
      <c r="D18" s="46">
        <v>559.70000000000005</v>
      </c>
      <c r="E18" s="46">
        <v>1.998</v>
      </c>
      <c r="F18" s="49" t="s">
        <v>3003</v>
      </c>
    </row>
    <row r="19" spans="1:6" ht="15.75" x14ac:dyDescent="0.25">
      <c r="A19" s="48" t="s">
        <v>2720</v>
      </c>
      <c r="B19" s="128" t="s">
        <v>2720</v>
      </c>
      <c r="C19" s="46" t="s">
        <v>3068</v>
      </c>
      <c r="D19" s="46" t="s">
        <v>4</v>
      </c>
      <c r="E19" s="46" t="s">
        <v>4</v>
      </c>
      <c r="F19" s="49" t="s">
        <v>4</v>
      </c>
    </row>
    <row r="20" spans="1:6" ht="15.75" x14ac:dyDescent="0.25">
      <c r="A20" s="48" t="s">
        <v>2720</v>
      </c>
      <c r="B20" s="128"/>
      <c r="C20" s="46" t="s">
        <v>2842</v>
      </c>
      <c r="D20" s="46">
        <v>32.071999999999996</v>
      </c>
      <c r="E20" s="46" t="s">
        <v>4</v>
      </c>
      <c r="F20" s="49" t="s">
        <v>2372</v>
      </c>
    </row>
    <row r="21" spans="1:6" ht="16.5" thickBot="1" x14ac:dyDescent="0.3">
      <c r="A21" s="16" t="s">
        <v>2720</v>
      </c>
      <c r="B21" s="47" t="s">
        <v>2843</v>
      </c>
      <c r="C21" s="47" t="s">
        <v>2844</v>
      </c>
      <c r="D21" s="47">
        <v>34.300000000000004</v>
      </c>
      <c r="E21" s="47" t="s">
        <v>4</v>
      </c>
      <c r="F21" s="18" t="s">
        <v>2372</v>
      </c>
    </row>
  </sheetData>
  <mergeCells count="5">
    <mergeCell ref="B15:B16"/>
    <mergeCell ref="B5:B8"/>
    <mergeCell ref="B19:B20"/>
    <mergeCell ref="B11:B12"/>
    <mergeCell ref="B3:B4"/>
  </mergeCells>
  <conditionalFormatting sqref="A1:F21">
    <cfRule type="containsText" dxfId="87" priority="1" stopIfTrue="1" operator="containsText" text="С ЛИСТА">
      <formula>NOT(ISERROR(SEARCH("С ЛИСТА",A1)))</formula>
    </cfRule>
    <cfRule type="containsText" dxfId="86" priority="2" stopIfTrue="1" operator="containsText" text="ИЗ ФАЙЛА">
      <formula>NOT(ISERROR(SEARCH("ИЗ ФАЙЛА",A1)))</formula>
    </cfRule>
    <cfRule type="containsText" dxfId="85" priority="3" stopIfTrue="1" operator="containsText" text="!!!">
      <formula>NOT(ISERROR(SEARCH("!!!",A1)))</formula>
    </cfRule>
    <cfRule type="containsText" dxfId="84" priority="4" stopIfTrue="1" operator="containsText" text=" Изделия ">
      <formula>NOT(ISERROR(SEARCH(" Изделия ",A1)))</formula>
    </cfRule>
    <cfRule type="containsText" dxfId="83" priority="5" stopIfTrue="1" operator="containsText" text=" Прокат ">
      <formula>NOT(ISERROR(SEARCH(" Прокат ",A1)))</formula>
    </cfRule>
    <cfRule type="containsText" dxfId="82" priority="6" stopIfTrue="1" operator="containsText" text=" Сборочные единицы ">
      <formula>NOT(ISERROR(SEARCH(" Сборочные единицы ",A1)))</formula>
    </cfRule>
    <cfRule type="containsText" dxfId="81" priority="7" stopIfTrue="1" operator="containsText" text=" Материалы ">
      <formula>NOT(ISERROR(SEARCH(" Материалы ",A1)))</formula>
    </cfRule>
    <cfRule type="containsText" dxfId="80" priority="8" stopIfTrue="1" operator="containsText" text="Элементы на отм.">
      <formula>NOT(ISERROR(SEARCH("Элементы на отм.",A1)))</formula>
    </cfRule>
    <cfRule type="containsText" dxfId="79" priority="9" stopIfTrue="1" operator="containsText" text=", на ">
      <formula>NOT(ISERROR(SEARCH(", на ",A1)))</formula>
    </cfRule>
    <cfRule type="containsText" dxfId="78" priority="10" stopIfTrue="1" operator="containsText" text="шт.)">
      <formula>NOT(ISERROR(SEARCH("шт.)",A1)))</formula>
    </cfRule>
  </conditionalFormatting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>
    <tabColor rgb="FF000000"/>
    <pageSetUpPr fitToPage="1"/>
  </sheetPr>
  <dimension ref="A1:AI17"/>
  <sheetViews>
    <sheetView topLeftCell="A7" workbookViewId="0">
      <selection activeCell="G27" sqref="G27"/>
    </sheetView>
  </sheetViews>
  <sheetFormatPr defaultRowHeight="15" x14ac:dyDescent="0.25"/>
  <cols>
    <col min="1" max="1" width="16.28515625" style="9" customWidth="1"/>
    <col min="2" max="35" width="8.140625" style="9" customWidth="1"/>
    <col min="36" max="16384" width="9.140625" style="9"/>
  </cols>
  <sheetData>
    <row r="1" spans="1:35" ht="22.7" customHeight="1" x14ac:dyDescent="0.25">
      <c r="A1" s="130" t="s">
        <v>3046</v>
      </c>
      <c r="B1" s="129" t="s">
        <v>3047</v>
      </c>
      <c r="C1" s="129"/>
      <c r="D1" s="129"/>
      <c r="E1" s="129"/>
      <c r="F1" s="129"/>
      <c r="G1" s="129"/>
      <c r="H1" s="129"/>
      <c r="I1" s="129"/>
      <c r="J1" s="129"/>
      <c r="K1" s="129"/>
      <c r="L1" s="129"/>
      <c r="M1" s="129"/>
      <c r="N1" s="129"/>
      <c r="O1" s="129"/>
      <c r="P1" s="129"/>
      <c r="Q1" s="129"/>
      <c r="R1" s="129"/>
      <c r="S1" s="129"/>
      <c r="T1" s="129"/>
      <c r="U1" s="129"/>
      <c r="V1" s="129"/>
      <c r="W1" s="129"/>
      <c r="X1" s="129"/>
      <c r="Y1" s="129"/>
      <c r="Z1" s="129"/>
      <c r="AA1" s="129"/>
      <c r="AB1" s="129"/>
      <c r="AC1" s="129"/>
      <c r="AD1" s="129"/>
      <c r="AE1" s="129"/>
      <c r="AF1" s="89" t="s">
        <v>2836</v>
      </c>
      <c r="AG1" s="130" t="s">
        <v>3072</v>
      </c>
      <c r="AH1" s="129"/>
      <c r="AI1" s="133" t="s">
        <v>2836</v>
      </c>
    </row>
    <row r="2" spans="1:35" ht="22.7" customHeight="1" x14ac:dyDescent="0.25">
      <c r="A2" s="131"/>
      <c r="B2" s="128" t="s">
        <v>3048</v>
      </c>
      <c r="C2" s="128"/>
      <c r="D2" s="128"/>
      <c r="E2" s="128"/>
      <c r="F2" s="128"/>
      <c r="G2" s="128"/>
      <c r="H2" s="128"/>
      <c r="I2" s="128"/>
      <c r="J2" s="128"/>
      <c r="K2" s="128"/>
      <c r="L2" s="128" t="s">
        <v>2647</v>
      </c>
      <c r="M2" s="128"/>
      <c r="N2" s="128"/>
      <c r="O2" s="128"/>
      <c r="P2" s="128"/>
      <c r="Q2" s="128"/>
      <c r="R2" s="128"/>
      <c r="S2" s="128"/>
      <c r="T2" s="128"/>
      <c r="U2" s="128"/>
      <c r="V2" s="128"/>
      <c r="W2" s="128"/>
      <c r="X2" s="128"/>
      <c r="Y2" s="128"/>
      <c r="Z2" s="128"/>
      <c r="AA2" s="128"/>
      <c r="AB2" s="128"/>
      <c r="AC2" s="128"/>
      <c r="AD2" s="128"/>
      <c r="AE2" s="128" t="s">
        <v>2836</v>
      </c>
      <c r="AF2" s="137"/>
      <c r="AG2" s="135" t="s">
        <v>2912</v>
      </c>
      <c r="AH2" s="136" t="s">
        <v>2984</v>
      </c>
      <c r="AI2" s="134"/>
    </row>
    <row r="3" spans="1:35" ht="22.7" customHeight="1" x14ac:dyDescent="0.25">
      <c r="A3" s="131"/>
      <c r="B3" s="128" t="s">
        <v>2</v>
      </c>
      <c r="C3" s="128"/>
      <c r="D3" s="128"/>
      <c r="E3" s="128" t="s">
        <v>1</v>
      </c>
      <c r="F3" s="128"/>
      <c r="G3" s="128"/>
      <c r="H3" s="128" t="s">
        <v>2360</v>
      </c>
      <c r="I3" s="128"/>
      <c r="J3" s="128" t="s">
        <v>2363</v>
      </c>
      <c r="K3" s="128"/>
      <c r="L3" s="128" t="s">
        <v>3049</v>
      </c>
      <c r="M3" s="128"/>
      <c r="N3" s="128"/>
      <c r="O3" s="128"/>
      <c r="P3" s="128"/>
      <c r="Q3" s="128"/>
      <c r="R3" s="128" t="s">
        <v>3050</v>
      </c>
      <c r="S3" s="128"/>
      <c r="T3" s="128"/>
      <c r="U3" s="128"/>
      <c r="V3" s="128"/>
      <c r="W3" s="128"/>
      <c r="X3" s="128"/>
      <c r="Y3" s="128"/>
      <c r="Z3" s="128"/>
      <c r="AA3" s="128"/>
      <c r="AB3" s="128"/>
      <c r="AC3" s="128"/>
      <c r="AD3" s="128"/>
      <c r="AE3" s="128"/>
      <c r="AF3" s="137"/>
      <c r="AG3" s="135"/>
      <c r="AH3" s="136"/>
      <c r="AI3" s="134"/>
    </row>
    <row r="4" spans="1:35" ht="22.7" customHeight="1" x14ac:dyDescent="0.25">
      <c r="A4" s="131"/>
      <c r="B4" s="128" t="s">
        <v>2660</v>
      </c>
      <c r="C4" s="128"/>
      <c r="D4" s="128"/>
      <c r="E4" s="128"/>
      <c r="F4" s="128"/>
      <c r="G4" s="128"/>
      <c r="H4" s="128"/>
      <c r="I4" s="128"/>
      <c r="J4" s="128" t="s">
        <v>3073</v>
      </c>
      <c r="K4" s="128"/>
      <c r="L4" s="128" t="s">
        <v>3074</v>
      </c>
      <c r="M4" s="128"/>
      <c r="N4" s="128" t="s">
        <v>2876</v>
      </c>
      <c r="O4" s="128"/>
      <c r="P4" s="128"/>
      <c r="Q4" s="128"/>
      <c r="R4" s="128"/>
      <c r="S4" s="128"/>
      <c r="T4" s="128" t="s">
        <v>2866</v>
      </c>
      <c r="U4" s="128"/>
      <c r="V4" s="128"/>
      <c r="W4" s="128"/>
      <c r="X4" s="128"/>
      <c r="Y4" s="128"/>
      <c r="Z4" s="128" t="s">
        <v>2661</v>
      </c>
      <c r="AA4" s="128"/>
      <c r="AB4" s="128"/>
      <c r="AC4" s="128" t="s">
        <v>2961</v>
      </c>
      <c r="AD4" s="128"/>
      <c r="AE4" s="128"/>
      <c r="AF4" s="137"/>
      <c r="AG4" s="135"/>
      <c r="AH4" s="136"/>
      <c r="AI4" s="134"/>
    </row>
    <row r="5" spans="1:35" ht="32.25" thickBot="1" x14ac:dyDescent="0.3">
      <c r="A5" s="132"/>
      <c r="B5" s="51" t="s">
        <v>3075</v>
      </c>
      <c r="C5" s="51" t="s">
        <v>3076</v>
      </c>
      <c r="D5" s="51" t="s">
        <v>2836</v>
      </c>
      <c r="E5" s="51" t="s">
        <v>3075</v>
      </c>
      <c r="F5" s="51" t="s">
        <v>3077</v>
      </c>
      <c r="G5" s="51" t="s">
        <v>2836</v>
      </c>
      <c r="H5" s="51" t="s">
        <v>3051</v>
      </c>
      <c r="I5" s="51" t="s">
        <v>2836</v>
      </c>
      <c r="J5" s="51" t="s">
        <v>3078</v>
      </c>
      <c r="K5" s="51" t="s">
        <v>2836</v>
      </c>
      <c r="L5" s="51" t="s">
        <v>2350</v>
      </c>
      <c r="M5" s="51" t="s">
        <v>2836</v>
      </c>
      <c r="N5" s="51" t="s">
        <v>3052</v>
      </c>
      <c r="O5" s="51" t="s">
        <v>2622</v>
      </c>
      <c r="P5" s="51" t="s">
        <v>2624</v>
      </c>
      <c r="Q5" s="51" t="s">
        <v>2836</v>
      </c>
      <c r="R5" s="51" t="s">
        <v>3052</v>
      </c>
      <c r="S5" s="51" t="s">
        <v>2836</v>
      </c>
      <c r="T5" s="51" t="s">
        <v>1449</v>
      </c>
      <c r="U5" s="51" t="s">
        <v>244</v>
      </c>
      <c r="V5" s="51" t="s">
        <v>1613</v>
      </c>
      <c r="W5" s="51" t="s">
        <v>1211</v>
      </c>
      <c r="X5" s="51" t="s">
        <v>3053</v>
      </c>
      <c r="Y5" s="51" t="s">
        <v>2836</v>
      </c>
      <c r="Z5" s="51" t="s">
        <v>2061</v>
      </c>
      <c r="AA5" s="51" t="s">
        <v>2069</v>
      </c>
      <c r="AB5" s="51" t="s">
        <v>2836</v>
      </c>
      <c r="AC5" s="51" t="s">
        <v>3052</v>
      </c>
      <c r="AD5" s="51" t="s">
        <v>2836</v>
      </c>
      <c r="AE5" s="126"/>
      <c r="AF5" s="138"/>
      <c r="AG5" s="135"/>
      <c r="AH5" s="136"/>
      <c r="AI5" s="134"/>
    </row>
    <row r="6" spans="1:35" ht="22.7" customHeight="1" x14ac:dyDescent="0.25">
      <c r="A6" s="43" t="s">
        <v>3054</v>
      </c>
      <c r="B6" s="52" t="s">
        <v>4</v>
      </c>
      <c r="C6" s="52" t="s">
        <v>4</v>
      </c>
      <c r="D6" s="52" t="s">
        <v>4</v>
      </c>
      <c r="E6" s="52" t="s">
        <v>4</v>
      </c>
      <c r="F6" s="52" t="s">
        <v>4</v>
      </c>
      <c r="G6" s="52" t="s">
        <v>4</v>
      </c>
      <c r="H6" s="52" t="s">
        <v>4</v>
      </c>
      <c r="I6" s="52" t="s">
        <v>4</v>
      </c>
      <c r="J6" s="52" t="s">
        <v>4</v>
      </c>
      <c r="K6" s="52" t="s">
        <v>4</v>
      </c>
      <c r="L6" s="52" t="s">
        <v>4</v>
      </c>
      <c r="M6" s="52" t="s">
        <v>4</v>
      </c>
      <c r="N6" s="52" t="s">
        <v>4</v>
      </c>
      <c r="O6" s="52" t="s">
        <v>4</v>
      </c>
      <c r="P6" s="52" t="s">
        <v>4</v>
      </c>
      <c r="Q6" s="52" t="s">
        <v>4</v>
      </c>
      <c r="R6" s="52" t="s">
        <v>4</v>
      </c>
      <c r="S6" s="52" t="s">
        <v>4</v>
      </c>
      <c r="T6" s="52" t="s">
        <v>4</v>
      </c>
      <c r="U6" s="52" t="s">
        <v>4</v>
      </c>
      <c r="V6" s="52" t="s">
        <v>4</v>
      </c>
      <c r="W6" s="52" t="s">
        <v>4</v>
      </c>
      <c r="X6" s="52">
        <v>27</v>
      </c>
      <c r="Y6" s="52">
        <v>27</v>
      </c>
      <c r="Z6" s="52" t="s">
        <v>4</v>
      </c>
      <c r="AA6" s="52">
        <v>0.92</v>
      </c>
      <c r="AB6" s="52">
        <v>0.92</v>
      </c>
      <c r="AC6" s="52" t="s">
        <v>4</v>
      </c>
      <c r="AD6" s="52" t="s">
        <v>4</v>
      </c>
      <c r="AE6" s="52">
        <v>27.92</v>
      </c>
      <c r="AF6" s="56">
        <v>27.92</v>
      </c>
      <c r="AG6" s="48" t="s">
        <v>4</v>
      </c>
      <c r="AH6" s="46" t="s">
        <v>4</v>
      </c>
      <c r="AI6" s="49" t="s">
        <v>4</v>
      </c>
    </row>
    <row r="7" spans="1:35" ht="22.7" customHeight="1" x14ac:dyDescent="0.25">
      <c r="A7" s="48" t="s">
        <v>3055</v>
      </c>
      <c r="B7" s="53" t="s">
        <v>4</v>
      </c>
      <c r="C7" s="53" t="s">
        <v>4</v>
      </c>
      <c r="D7" s="53" t="s">
        <v>4</v>
      </c>
      <c r="E7" s="53" t="s">
        <v>4</v>
      </c>
      <c r="F7" s="53" t="s">
        <v>4</v>
      </c>
      <c r="G7" s="53" t="s">
        <v>4</v>
      </c>
      <c r="H7" s="53" t="s">
        <v>4</v>
      </c>
      <c r="I7" s="53" t="s">
        <v>4</v>
      </c>
      <c r="J7" s="53" t="s">
        <v>4</v>
      </c>
      <c r="K7" s="53" t="s">
        <v>4</v>
      </c>
      <c r="L7" s="53" t="s">
        <v>4</v>
      </c>
      <c r="M7" s="53" t="s">
        <v>4</v>
      </c>
      <c r="N7" s="53" t="s">
        <v>4</v>
      </c>
      <c r="O7" s="53" t="s">
        <v>4</v>
      </c>
      <c r="P7" s="53" t="s">
        <v>4</v>
      </c>
      <c r="Q7" s="53" t="s">
        <v>4</v>
      </c>
      <c r="R7" s="53" t="s">
        <v>4</v>
      </c>
      <c r="S7" s="53" t="s">
        <v>4</v>
      </c>
      <c r="T7" s="53" t="s">
        <v>4</v>
      </c>
      <c r="U7" s="53" t="s">
        <v>4</v>
      </c>
      <c r="V7" s="53" t="s">
        <v>4</v>
      </c>
      <c r="W7" s="53" t="s">
        <v>4</v>
      </c>
      <c r="X7" s="53">
        <v>39.36</v>
      </c>
      <c r="Y7" s="53">
        <v>39.36</v>
      </c>
      <c r="Z7" s="53" t="s">
        <v>4</v>
      </c>
      <c r="AA7" s="53">
        <v>0.92</v>
      </c>
      <c r="AB7" s="53">
        <v>0.92</v>
      </c>
      <c r="AC7" s="53" t="s">
        <v>4</v>
      </c>
      <c r="AD7" s="53" t="s">
        <v>4</v>
      </c>
      <c r="AE7" s="53">
        <v>40.28</v>
      </c>
      <c r="AF7" s="57">
        <v>40.28</v>
      </c>
      <c r="AG7" s="48" t="s">
        <v>4</v>
      </c>
      <c r="AH7" s="46" t="s">
        <v>4</v>
      </c>
      <c r="AI7" s="49" t="s">
        <v>4</v>
      </c>
    </row>
    <row r="8" spans="1:35" ht="63" x14ac:dyDescent="0.25">
      <c r="A8" s="48" t="s">
        <v>3079</v>
      </c>
      <c r="B8" s="53" t="s">
        <v>4</v>
      </c>
      <c r="C8" s="53">
        <v>15.4</v>
      </c>
      <c r="D8" s="53">
        <v>15.4</v>
      </c>
      <c r="E8" s="53" t="s">
        <v>4</v>
      </c>
      <c r="F8" s="53">
        <v>10.26</v>
      </c>
      <c r="G8" s="53">
        <v>10.26</v>
      </c>
      <c r="H8" s="53" t="s">
        <v>4</v>
      </c>
      <c r="I8" s="53" t="s">
        <v>4</v>
      </c>
      <c r="J8" s="53" t="s">
        <v>4</v>
      </c>
      <c r="K8" s="53" t="s">
        <v>4</v>
      </c>
      <c r="L8" s="53" t="s">
        <v>4</v>
      </c>
      <c r="M8" s="53" t="s">
        <v>4</v>
      </c>
      <c r="N8" s="53" t="s">
        <v>4</v>
      </c>
      <c r="O8" s="53" t="s">
        <v>4</v>
      </c>
      <c r="P8" s="53" t="s">
        <v>4</v>
      </c>
      <c r="Q8" s="53" t="s">
        <v>4</v>
      </c>
      <c r="R8" s="53" t="s">
        <v>4</v>
      </c>
      <c r="S8" s="53" t="s">
        <v>4</v>
      </c>
      <c r="T8" s="53" t="s">
        <v>4</v>
      </c>
      <c r="U8" s="53" t="s">
        <v>4</v>
      </c>
      <c r="V8" s="53" t="s">
        <v>4</v>
      </c>
      <c r="W8" s="53" t="s">
        <v>4</v>
      </c>
      <c r="X8" s="53" t="s">
        <v>4</v>
      </c>
      <c r="Y8" s="53" t="s">
        <v>4</v>
      </c>
      <c r="Z8" s="53" t="s">
        <v>4</v>
      </c>
      <c r="AA8" s="53" t="s">
        <v>4</v>
      </c>
      <c r="AB8" s="53" t="s">
        <v>4</v>
      </c>
      <c r="AC8" s="53" t="s">
        <v>4</v>
      </c>
      <c r="AD8" s="53" t="s">
        <v>4</v>
      </c>
      <c r="AE8" s="53">
        <v>25.66</v>
      </c>
      <c r="AF8" s="57">
        <v>25.66</v>
      </c>
      <c r="AG8" s="48">
        <v>0.19</v>
      </c>
      <c r="AH8" s="46" t="s">
        <v>4</v>
      </c>
      <c r="AI8" s="49">
        <v>0.19</v>
      </c>
    </row>
    <row r="9" spans="1:35" ht="31.5" x14ac:dyDescent="0.25">
      <c r="A9" s="48" t="s">
        <v>3056</v>
      </c>
      <c r="B9" s="53" t="s">
        <v>4</v>
      </c>
      <c r="C9" s="53" t="s">
        <v>4</v>
      </c>
      <c r="D9" s="53" t="s">
        <v>4</v>
      </c>
      <c r="E9" s="53" t="s">
        <v>4</v>
      </c>
      <c r="F9" s="53" t="s">
        <v>4</v>
      </c>
      <c r="G9" s="53" t="s">
        <v>4</v>
      </c>
      <c r="H9" s="53" t="s">
        <v>4</v>
      </c>
      <c r="I9" s="53" t="s">
        <v>4</v>
      </c>
      <c r="J9" s="53" t="s">
        <v>4</v>
      </c>
      <c r="K9" s="53" t="s">
        <v>4</v>
      </c>
      <c r="L9" s="53" t="s">
        <v>4</v>
      </c>
      <c r="M9" s="53" t="s">
        <v>4</v>
      </c>
      <c r="N9" s="53" t="s">
        <v>4</v>
      </c>
      <c r="O9" s="53" t="s">
        <v>4</v>
      </c>
      <c r="P9" s="53" t="s">
        <v>4</v>
      </c>
      <c r="Q9" s="53" t="s">
        <v>4</v>
      </c>
      <c r="R9" s="53">
        <v>45.68</v>
      </c>
      <c r="S9" s="53">
        <v>45.68</v>
      </c>
      <c r="T9" s="53" t="s">
        <v>4</v>
      </c>
      <c r="U9" s="53">
        <v>30.23</v>
      </c>
      <c r="V9" s="53">
        <v>82.36</v>
      </c>
      <c r="W9" s="53">
        <v>55.81</v>
      </c>
      <c r="X9" s="53" t="s">
        <v>4</v>
      </c>
      <c r="Y9" s="53">
        <v>168.38</v>
      </c>
      <c r="Z9" s="53" t="s">
        <v>4</v>
      </c>
      <c r="AA9" s="53" t="s">
        <v>4</v>
      </c>
      <c r="AB9" s="53" t="s">
        <v>4</v>
      </c>
      <c r="AC9" s="53" t="s">
        <v>4</v>
      </c>
      <c r="AD9" s="53" t="s">
        <v>4</v>
      </c>
      <c r="AE9" s="53">
        <v>214.06</v>
      </c>
      <c r="AF9" s="57">
        <v>214.06</v>
      </c>
      <c r="AG9" s="48" t="s">
        <v>4</v>
      </c>
      <c r="AH9" s="46" t="s">
        <v>4</v>
      </c>
      <c r="AI9" s="49" t="s">
        <v>4</v>
      </c>
    </row>
    <row r="10" spans="1:35" ht="31.5" x14ac:dyDescent="0.25">
      <c r="A10" s="48" t="s">
        <v>3057</v>
      </c>
      <c r="B10" s="53" t="s">
        <v>4</v>
      </c>
      <c r="C10" s="53" t="s">
        <v>4</v>
      </c>
      <c r="D10" s="53" t="s">
        <v>4</v>
      </c>
      <c r="E10" s="53" t="s">
        <v>4</v>
      </c>
      <c r="F10" s="53" t="s">
        <v>4</v>
      </c>
      <c r="G10" s="53" t="s">
        <v>4</v>
      </c>
      <c r="H10" s="53" t="s">
        <v>4</v>
      </c>
      <c r="I10" s="53" t="s">
        <v>4</v>
      </c>
      <c r="J10" s="53" t="s">
        <v>4</v>
      </c>
      <c r="K10" s="53" t="s">
        <v>4</v>
      </c>
      <c r="L10" s="53" t="s">
        <v>4</v>
      </c>
      <c r="M10" s="53" t="s">
        <v>4</v>
      </c>
      <c r="N10" s="53" t="s">
        <v>4</v>
      </c>
      <c r="O10" s="53" t="s">
        <v>4</v>
      </c>
      <c r="P10" s="53" t="s">
        <v>4</v>
      </c>
      <c r="Q10" s="53" t="s">
        <v>4</v>
      </c>
      <c r="R10" s="53">
        <v>19.010000000000002</v>
      </c>
      <c r="S10" s="53">
        <v>19.010000000000002</v>
      </c>
      <c r="T10" s="53" t="s">
        <v>4</v>
      </c>
      <c r="U10" s="53">
        <v>12.48</v>
      </c>
      <c r="V10" s="53">
        <v>38.43</v>
      </c>
      <c r="W10" s="53">
        <v>23.17</v>
      </c>
      <c r="X10" s="53" t="s">
        <v>4</v>
      </c>
      <c r="Y10" s="53">
        <v>74.08</v>
      </c>
      <c r="Z10" s="53" t="s">
        <v>4</v>
      </c>
      <c r="AA10" s="53" t="s">
        <v>4</v>
      </c>
      <c r="AB10" s="53" t="s">
        <v>4</v>
      </c>
      <c r="AC10" s="53" t="s">
        <v>4</v>
      </c>
      <c r="AD10" s="53" t="s">
        <v>4</v>
      </c>
      <c r="AE10" s="53">
        <v>93.08</v>
      </c>
      <c r="AF10" s="57">
        <v>93.08</v>
      </c>
      <c r="AG10" s="48" t="s">
        <v>4</v>
      </c>
      <c r="AH10" s="46" t="s">
        <v>4</v>
      </c>
      <c r="AI10" s="49" t="s">
        <v>4</v>
      </c>
    </row>
    <row r="11" spans="1:35" ht="31.5" x14ac:dyDescent="0.25">
      <c r="A11" s="48" t="s">
        <v>3058</v>
      </c>
      <c r="B11" s="53" t="s">
        <v>4</v>
      </c>
      <c r="C11" s="53" t="s">
        <v>4</v>
      </c>
      <c r="D11" s="53" t="s">
        <v>4</v>
      </c>
      <c r="E11" s="53" t="s">
        <v>4</v>
      </c>
      <c r="F11" s="53" t="s">
        <v>4</v>
      </c>
      <c r="G11" s="53" t="s">
        <v>4</v>
      </c>
      <c r="H11" s="53" t="s">
        <v>4</v>
      </c>
      <c r="I11" s="53" t="s">
        <v>4</v>
      </c>
      <c r="J11" s="53" t="s">
        <v>4</v>
      </c>
      <c r="K11" s="53" t="s">
        <v>4</v>
      </c>
      <c r="L11" s="53" t="s">
        <v>4</v>
      </c>
      <c r="M11" s="53" t="s">
        <v>4</v>
      </c>
      <c r="N11" s="53" t="s">
        <v>4</v>
      </c>
      <c r="O11" s="53" t="s">
        <v>4</v>
      </c>
      <c r="P11" s="53" t="s">
        <v>4</v>
      </c>
      <c r="Q11" s="53" t="s">
        <v>4</v>
      </c>
      <c r="R11" s="53">
        <v>25.38</v>
      </c>
      <c r="S11" s="53">
        <v>25.38</v>
      </c>
      <c r="T11" s="53" t="s">
        <v>4</v>
      </c>
      <c r="U11" s="53">
        <v>16.71</v>
      </c>
      <c r="V11" s="53">
        <v>49.419999999999995</v>
      </c>
      <c r="W11" s="53">
        <v>30.96</v>
      </c>
      <c r="X11" s="53" t="s">
        <v>4</v>
      </c>
      <c r="Y11" s="53">
        <v>97.09</v>
      </c>
      <c r="Z11" s="53" t="s">
        <v>4</v>
      </c>
      <c r="AA11" s="53" t="s">
        <v>4</v>
      </c>
      <c r="AB11" s="53" t="s">
        <v>4</v>
      </c>
      <c r="AC11" s="53" t="s">
        <v>4</v>
      </c>
      <c r="AD11" s="53" t="s">
        <v>4</v>
      </c>
      <c r="AE11" s="53">
        <v>122.47</v>
      </c>
      <c r="AF11" s="57">
        <v>122.47</v>
      </c>
      <c r="AG11" s="48" t="s">
        <v>4</v>
      </c>
      <c r="AH11" s="46" t="s">
        <v>4</v>
      </c>
      <c r="AI11" s="49" t="s">
        <v>4</v>
      </c>
    </row>
    <row r="12" spans="1:35" ht="22.7" customHeight="1" x14ac:dyDescent="0.25">
      <c r="A12" s="48" t="s">
        <v>3059</v>
      </c>
      <c r="B12" s="53" t="s">
        <v>4</v>
      </c>
      <c r="C12" s="53" t="s">
        <v>4</v>
      </c>
      <c r="D12" s="53" t="s">
        <v>4</v>
      </c>
      <c r="E12" s="53" t="s">
        <v>4</v>
      </c>
      <c r="F12" s="53" t="s">
        <v>4</v>
      </c>
      <c r="G12" s="53" t="s">
        <v>4</v>
      </c>
      <c r="H12" s="53" t="s">
        <v>4</v>
      </c>
      <c r="I12" s="53" t="s">
        <v>4</v>
      </c>
      <c r="J12" s="53" t="s">
        <v>4</v>
      </c>
      <c r="K12" s="53" t="s">
        <v>4</v>
      </c>
      <c r="L12" s="53" t="s">
        <v>4</v>
      </c>
      <c r="M12" s="53" t="s">
        <v>4</v>
      </c>
      <c r="N12" s="53">
        <v>7.56</v>
      </c>
      <c r="O12" s="53" t="s">
        <v>4</v>
      </c>
      <c r="P12" s="53">
        <v>15.48</v>
      </c>
      <c r="Q12" s="53">
        <v>23.04</v>
      </c>
      <c r="R12" s="53" t="s">
        <v>4</v>
      </c>
      <c r="S12" s="53" t="s">
        <v>4</v>
      </c>
      <c r="T12" s="53">
        <v>243.15</v>
      </c>
      <c r="U12" s="53" t="s">
        <v>4</v>
      </c>
      <c r="V12" s="53" t="s">
        <v>4</v>
      </c>
      <c r="W12" s="53" t="s">
        <v>4</v>
      </c>
      <c r="X12" s="53" t="s">
        <v>4</v>
      </c>
      <c r="Y12" s="53">
        <v>243.15</v>
      </c>
      <c r="Z12" s="53" t="s">
        <v>4</v>
      </c>
      <c r="AA12" s="53" t="s">
        <v>4</v>
      </c>
      <c r="AB12" s="53" t="s">
        <v>4</v>
      </c>
      <c r="AC12" s="53" t="s">
        <v>4</v>
      </c>
      <c r="AD12" s="53" t="s">
        <v>4</v>
      </c>
      <c r="AE12" s="53">
        <v>266.19</v>
      </c>
      <c r="AF12" s="57">
        <v>266.19</v>
      </c>
      <c r="AG12" s="48" t="s">
        <v>4</v>
      </c>
      <c r="AH12" s="46" t="s">
        <v>4</v>
      </c>
      <c r="AI12" s="49" t="s">
        <v>4</v>
      </c>
    </row>
    <row r="13" spans="1:35" ht="63" x14ac:dyDescent="0.25">
      <c r="A13" s="48" t="s">
        <v>3080</v>
      </c>
      <c r="B13" s="53">
        <v>98.35</v>
      </c>
      <c r="C13" s="53" t="s">
        <v>4</v>
      </c>
      <c r="D13" s="53">
        <v>98.35</v>
      </c>
      <c r="E13" s="53">
        <v>9.16</v>
      </c>
      <c r="F13" s="53" t="s">
        <v>4</v>
      </c>
      <c r="G13" s="53">
        <v>9.16</v>
      </c>
      <c r="H13" s="53" t="s">
        <v>4</v>
      </c>
      <c r="I13" s="53" t="s">
        <v>4</v>
      </c>
      <c r="J13" s="53">
        <v>35</v>
      </c>
      <c r="K13" s="53">
        <v>35</v>
      </c>
      <c r="L13" s="53">
        <v>44.84</v>
      </c>
      <c r="M13" s="53">
        <v>44.84</v>
      </c>
      <c r="N13" s="53" t="s">
        <v>4</v>
      </c>
      <c r="O13" s="53">
        <v>0.01</v>
      </c>
      <c r="P13" s="53" t="s">
        <v>4</v>
      </c>
      <c r="Q13" s="53">
        <v>0.01</v>
      </c>
      <c r="R13" s="53" t="s">
        <v>4</v>
      </c>
      <c r="S13" s="53" t="s">
        <v>4</v>
      </c>
      <c r="T13" s="53" t="s">
        <v>4</v>
      </c>
      <c r="U13" s="53" t="s">
        <v>4</v>
      </c>
      <c r="V13" s="53" t="s">
        <v>4</v>
      </c>
      <c r="W13" s="53" t="s">
        <v>4</v>
      </c>
      <c r="X13" s="53" t="s">
        <v>4</v>
      </c>
      <c r="Y13" s="53" t="s">
        <v>4</v>
      </c>
      <c r="Z13" s="53" t="s">
        <v>4</v>
      </c>
      <c r="AA13" s="53" t="s">
        <v>4</v>
      </c>
      <c r="AB13" s="53" t="s">
        <v>4</v>
      </c>
      <c r="AC13" s="53" t="s">
        <v>4</v>
      </c>
      <c r="AD13" s="53" t="s">
        <v>4</v>
      </c>
      <c r="AE13" s="53">
        <v>187.36</v>
      </c>
      <c r="AF13" s="57">
        <v>187.36</v>
      </c>
      <c r="AG13" s="48" t="s">
        <v>4</v>
      </c>
      <c r="AH13" s="46">
        <v>20.95</v>
      </c>
      <c r="AI13" s="49">
        <v>20.95</v>
      </c>
    </row>
    <row r="14" spans="1:35" ht="22.7" customHeight="1" x14ac:dyDescent="0.25">
      <c r="A14" s="48" t="s">
        <v>3060</v>
      </c>
      <c r="B14" s="53" t="s">
        <v>4</v>
      </c>
      <c r="C14" s="53" t="s">
        <v>4</v>
      </c>
      <c r="D14" s="53" t="s">
        <v>4</v>
      </c>
      <c r="E14" s="53" t="s">
        <v>4</v>
      </c>
      <c r="F14" s="53" t="s">
        <v>4</v>
      </c>
      <c r="G14" s="53" t="s">
        <v>4</v>
      </c>
      <c r="H14" s="53" t="s">
        <v>4</v>
      </c>
      <c r="I14" s="53" t="s">
        <v>4</v>
      </c>
      <c r="J14" s="53" t="s">
        <v>4</v>
      </c>
      <c r="K14" s="53" t="s">
        <v>4</v>
      </c>
      <c r="L14" s="53" t="s">
        <v>4</v>
      </c>
      <c r="M14" s="53" t="s">
        <v>4</v>
      </c>
      <c r="N14" s="53" t="s">
        <v>4</v>
      </c>
      <c r="O14" s="53" t="s">
        <v>4</v>
      </c>
      <c r="P14" s="53" t="s">
        <v>4</v>
      </c>
      <c r="Q14" s="53" t="s">
        <v>4</v>
      </c>
      <c r="R14" s="53" t="s">
        <v>4</v>
      </c>
      <c r="S14" s="53" t="s">
        <v>4</v>
      </c>
      <c r="T14" s="53" t="s">
        <v>4</v>
      </c>
      <c r="U14" s="53" t="s">
        <v>4</v>
      </c>
      <c r="V14" s="53" t="s">
        <v>4</v>
      </c>
      <c r="W14" s="53" t="s">
        <v>4</v>
      </c>
      <c r="X14" s="53" t="s">
        <v>4</v>
      </c>
      <c r="Y14" s="53" t="s">
        <v>4</v>
      </c>
      <c r="Z14" s="53">
        <v>11.52</v>
      </c>
      <c r="AA14" s="53" t="s">
        <v>4</v>
      </c>
      <c r="AB14" s="53">
        <v>11.52</v>
      </c>
      <c r="AC14" s="53">
        <v>24.51</v>
      </c>
      <c r="AD14" s="53">
        <v>24.51</v>
      </c>
      <c r="AE14" s="53">
        <v>36.03</v>
      </c>
      <c r="AF14" s="57">
        <v>36.03</v>
      </c>
      <c r="AG14" s="48" t="s">
        <v>4</v>
      </c>
      <c r="AH14" s="46" t="s">
        <v>4</v>
      </c>
      <c r="AI14" s="49" t="s">
        <v>4</v>
      </c>
    </row>
    <row r="15" spans="1:35" ht="22.7" customHeight="1" x14ac:dyDescent="0.25">
      <c r="A15" s="48" t="s">
        <v>3061</v>
      </c>
      <c r="B15" s="53" t="s">
        <v>4</v>
      </c>
      <c r="C15" s="53" t="s">
        <v>4</v>
      </c>
      <c r="D15" s="53" t="s">
        <v>4</v>
      </c>
      <c r="E15" s="53" t="s">
        <v>4</v>
      </c>
      <c r="F15" s="53" t="s">
        <v>4</v>
      </c>
      <c r="G15" s="53" t="s">
        <v>4</v>
      </c>
      <c r="H15" s="53" t="s">
        <v>4</v>
      </c>
      <c r="I15" s="53" t="s">
        <v>4</v>
      </c>
      <c r="J15" s="53" t="s">
        <v>4</v>
      </c>
      <c r="K15" s="53" t="s">
        <v>4</v>
      </c>
      <c r="L15" s="53" t="s">
        <v>4</v>
      </c>
      <c r="M15" s="53" t="s">
        <v>4</v>
      </c>
      <c r="N15" s="53" t="s">
        <v>4</v>
      </c>
      <c r="O15" s="53" t="s">
        <v>4</v>
      </c>
      <c r="P15" s="53" t="s">
        <v>4</v>
      </c>
      <c r="Q15" s="53" t="s">
        <v>4</v>
      </c>
      <c r="R15" s="53" t="s">
        <v>4</v>
      </c>
      <c r="S15" s="53" t="s">
        <v>4</v>
      </c>
      <c r="T15" s="53" t="s">
        <v>4</v>
      </c>
      <c r="U15" s="53" t="s">
        <v>4</v>
      </c>
      <c r="V15" s="53" t="s">
        <v>4</v>
      </c>
      <c r="W15" s="53" t="s">
        <v>4</v>
      </c>
      <c r="X15" s="53" t="s">
        <v>4</v>
      </c>
      <c r="Y15" s="53" t="s">
        <v>4</v>
      </c>
      <c r="Z15" s="53">
        <v>19.850000000000001</v>
      </c>
      <c r="AA15" s="53" t="s">
        <v>4</v>
      </c>
      <c r="AB15" s="53">
        <v>19.850000000000001</v>
      </c>
      <c r="AC15" s="53">
        <v>54.77</v>
      </c>
      <c r="AD15" s="53">
        <v>54.77</v>
      </c>
      <c r="AE15" s="53">
        <v>74.62</v>
      </c>
      <c r="AF15" s="57">
        <v>74.62</v>
      </c>
      <c r="AG15" s="48" t="s">
        <v>4</v>
      </c>
      <c r="AH15" s="46" t="s">
        <v>4</v>
      </c>
      <c r="AI15" s="49" t="s">
        <v>4</v>
      </c>
    </row>
    <row r="16" spans="1:35" ht="22.7" customHeight="1" x14ac:dyDescent="0.25">
      <c r="A16" s="48" t="s">
        <v>3062</v>
      </c>
      <c r="B16" s="53" t="s">
        <v>4</v>
      </c>
      <c r="C16" s="53" t="s">
        <v>4</v>
      </c>
      <c r="D16" s="53" t="s">
        <v>4</v>
      </c>
      <c r="E16" s="53" t="s">
        <v>4</v>
      </c>
      <c r="F16" s="53" t="s">
        <v>4</v>
      </c>
      <c r="G16" s="53" t="s">
        <v>4</v>
      </c>
      <c r="H16" s="53">
        <v>1118.83</v>
      </c>
      <c r="I16" s="53">
        <v>1118.83</v>
      </c>
      <c r="J16" s="53" t="s">
        <v>4</v>
      </c>
      <c r="K16" s="53" t="s">
        <v>4</v>
      </c>
      <c r="L16" s="53" t="s">
        <v>4</v>
      </c>
      <c r="M16" s="53" t="s">
        <v>4</v>
      </c>
      <c r="N16" s="53">
        <v>30.25</v>
      </c>
      <c r="O16" s="53" t="s">
        <v>4</v>
      </c>
      <c r="P16" s="53">
        <v>61.92</v>
      </c>
      <c r="Q16" s="53">
        <v>92.16</v>
      </c>
      <c r="R16" s="53" t="s">
        <v>4</v>
      </c>
      <c r="S16" s="53" t="s">
        <v>4</v>
      </c>
      <c r="T16" s="53">
        <v>972.6</v>
      </c>
      <c r="U16" s="53" t="s">
        <v>4</v>
      </c>
      <c r="V16" s="53" t="s">
        <v>4</v>
      </c>
      <c r="W16" s="53" t="s">
        <v>4</v>
      </c>
      <c r="X16" s="53" t="s">
        <v>4</v>
      </c>
      <c r="Y16" s="53">
        <v>972.6</v>
      </c>
      <c r="Z16" s="53" t="s">
        <v>4</v>
      </c>
      <c r="AA16" s="53" t="s">
        <v>4</v>
      </c>
      <c r="AB16" s="53" t="s">
        <v>4</v>
      </c>
      <c r="AC16" s="53" t="s">
        <v>4</v>
      </c>
      <c r="AD16" s="53" t="s">
        <v>4</v>
      </c>
      <c r="AE16" s="53">
        <v>2183.59</v>
      </c>
      <c r="AF16" s="57">
        <v>2183.59</v>
      </c>
      <c r="AG16" s="48" t="s">
        <v>4</v>
      </c>
      <c r="AH16" s="46" t="s">
        <v>4</v>
      </c>
      <c r="AI16" s="49" t="s">
        <v>4</v>
      </c>
    </row>
    <row r="17" spans="1:35" ht="22.7" customHeight="1" thickBot="1" x14ac:dyDescent="0.3">
      <c r="A17" s="54" t="s">
        <v>3063</v>
      </c>
      <c r="B17" s="55">
        <v>98.35</v>
      </c>
      <c r="C17" s="55">
        <v>15.4</v>
      </c>
      <c r="D17" s="55">
        <v>113.75</v>
      </c>
      <c r="E17" s="55">
        <v>9.16</v>
      </c>
      <c r="F17" s="55">
        <v>10.26</v>
      </c>
      <c r="G17" s="55">
        <v>19.420000000000002</v>
      </c>
      <c r="H17" s="55">
        <v>1118.83</v>
      </c>
      <c r="I17" s="55">
        <v>1118.83</v>
      </c>
      <c r="J17" s="55">
        <v>35</v>
      </c>
      <c r="K17" s="55">
        <v>35</v>
      </c>
      <c r="L17" s="55">
        <v>44.84</v>
      </c>
      <c r="M17" s="55">
        <v>44.84</v>
      </c>
      <c r="N17" s="55">
        <v>37.81</v>
      </c>
      <c r="O17" s="55">
        <v>0.01</v>
      </c>
      <c r="P17" s="55">
        <v>77.400000000000006</v>
      </c>
      <c r="Q17" s="55">
        <v>115.21</v>
      </c>
      <c r="R17" s="55">
        <v>90.07</v>
      </c>
      <c r="S17" s="55">
        <v>90.07</v>
      </c>
      <c r="T17" s="55">
        <v>1215.75</v>
      </c>
      <c r="U17" s="55">
        <v>59.42</v>
      </c>
      <c r="V17" s="55">
        <v>170.20999999999998</v>
      </c>
      <c r="W17" s="55">
        <v>109.94</v>
      </c>
      <c r="X17" s="55">
        <v>66.36</v>
      </c>
      <c r="Y17" s="55">
        <v>1621.6599999999999</v>
      </c>
      <c r="Z17" s="55">
        <v>31.37</v>
      </c>
      <c r="AA17" s="55">
        <v>1.84</v>
      </c>
      <c r="AB17" s="55">
        <v>33.21</v>
      </c>
      <c r="AC17" s="55">
        <v>79.28</v>
      </c>
      <c r="AD17" s="55">
        <v>79.28</v>
      </c>
      <c r="AE17" s="55">
        <v>3271.26</v>
      </c>
      <c r="AF17" s="58">
        <v>3271.26</v>
      </c>
      <c r="AG17" s="16">
        <v>0.19</v>
      </c>
      <c r="AH17" s="47">
        <v>20.95</v>
      </c>
      <c r="AI17" s="59">
        <v>21.14</v>
      </c>
    </row>
  </sheetData>
  <mergeCells count="23">
    <mergeCell ref="L2:AD2"/>
    <mergeCell ref="B3:D3"/>
    <mergeCell ref="E3:G3"/>
    <mergeCell ref="H3:I3"/>
    <mergeCell ref="J3:K3"/>
    <mergeCell ref="L3:Q3"/>
    <mergeCell ref="R3:AD3"/>
    <mergeCell ref="B1:AE1"/>
    <mergeCell ref="A1:A5"/>
    <mergeCell ref="AG1:AH1"/>
    <mergeCell ref="AI1:AI5"/>
    <mergeCell ref="AG2:AG5"/>
    <mergeCell ref="AH2:AH5"/>
    <mergeCell ref="AF1:AF5"/>
    <mergeCell ref="AC4:AD4"/>
    <mergeCell ref="AE2:AE5"/>
    <mergeCell ref="B4:I4"/>
    <mergeCell ref="J4:K4"/>
    <mergeCell ref="L4:M4"/>
    <mergeCell ref="N4:S4"/>
    <mergeCell ref="T4:Y4"/>
    <mergeCell ref="Z4:AB4"/>
    <mergeCell ref="B2:K2"/>
  </mergeCells>
  <conditionalFormatting sqref="A1:AF5">
    <cfRule type="containsText" dxfId="77" priority="21" stopIfTrue="1" operator="containsText" text="С ЛИСТА">
      <formula>NOT(ISERROR(SEARCH("С ЛИСТА",A1)))</formula>
    </cfRule>
    <cfRule type="containsText" dxfId="76" priority="22" stopIfTrue="1" operator="containsText" text="ИЗ ФАЙЛА">
      <formula>NOT(ISERROR(SEARCH("ИЗ ФАЙЛА",A1)))</formula>
    </cfRule>
    <cfRule type="containsText" dxfId="75" priority="23" stopIfTrue="1" operator="containsText" text="!!!">
      <formula>NOT(ISERROR(SEARCH("!!!",A1)))</formula>
    </cfRule>
    <cfRule type="containsText" dxfId="74" priority="24" stopIfTrue="1" operator="containsText" text=" Изделия ">
      <formula>NOT(ISERROR(SEARCH(" Изделия ",A1)))</formula>
    </cfRule>
    <cfRule type="containsText" dxfId="73" priority="25" stopIfTrue="1" operator="containsText" text=" Прокат ">
      <formula>NOT(ISERROR(SEARCH(" Прокат ",A1)))</formula>
    </cfRule>
    <cfRule type="containsText" dxfId="72" priority="26" stopIfTrue="1" operator="containsText" text=" Сборочные единицы ">
      <formula>NOT(ISERROR(SEARCH(" Сборочные единицы ",A1)))</formula>
    </cfRule>
    <cfRule type="containsText" dxfId="71" priority="27" stopIfTrue="1" operator="containsText" text=" Материалы ">
      <formula>NOT(ISERROR(SEARCH(" Материалы ",A1)))</formula>
    </cfRule>
    <cfRule type="containsText" dxfId="70" priority="28" stopIfTrue="1" operator="containsText" text="Элементы на отм.">
      <formula>NOT(ISERROR(SEARCH("Элементы на отм.",A1)))</formula>
    </cfRule>
    <cfRule type="containsText" dxfId="69" priority="29" stopIfTrue="1" operator="containsText" text=", на ">
      <formula>NOT(ISERROR(SEARCH(", на ",A1)))</formula>
    </cfRule>
    <cfRule type="containsText" dxfId="68" priority="30" stopIfTrue="1" operator="containsText" text="шт.)">
      <formula>NOT(ISERROR(SEARCH("шт.)",A1)))</formula>
    </cfRule>
  </conditionalFormatting>
  <conditionalFormatting sqref="A6:AF17">
    <cfRule type="containsText" dxfId="67" priority="11" stopIfTrue="1" operator="containsText" text="С ЛИСТА">
      <formula>NOT(ISERROR(SEARCH("С ЛИСТА",A6)))</formula>
    </cfRule>
    <cfRule type="containsText" dxfId="66" priority="12" stopIfTrue="1" operator="containsText" text="ИЗ ФАЙЛА">
      <formula>NOT(ISERROR(SEARCH("ИЗ ФАЙЛА",A6)))</formula>
    </cfRule>
    <cfRule type="containsText" dxfId="65" priority="13" stopIfTrue="1" operator="containsText" text="!!!">
      <formula>NOT(ISERROR(SEARCH("!!!",A6)))</formula>
    </cfRule>
    <cfRule type="containsText" dxfId="64" priority="14" stopIfTrue="1" operator="containsText" text=" Изделия ">
      <formula>NOT(ISERROR(SEARCH(" Изделия ",A6)))</formula>
    </cfRule>
    <cfRule type="containsText" dxfId="63" priority="15" stopIfTrue="1" operator="containsText" text=" Прокат ">
      <formula>NOT(ISERROR(SEARCH(" Прокат ",A6)))</formula>
    </cfRule>
    <cfRule type="containsText" dxfId="62" priority="16" stopIfTrue="1" operator="containsText" text=" Сборочные единицы ">
      <formula>NOT(ISERROR(SEARCH(" Сборочные единицы ",A6)))</formula>
    </cfRule>
    <cfRule type="containsText" dxfId="61" priority="17" stopIfTrue="1" operator="containsText" text=" Материалы ">
      <formula>NOT(ISERROR(SEARCH(" Материалы ",A6)))</formula>
    </cfRule>
    <cfRule type="containsText" dxfId="60" priority="18" stopIfTrue="1" operator="containsText" text="Элементы на отм.">
      <formula>NOT(ISERROR(SEARCH("Элементы на отм.",A6)))</formula>
    </cfRule>
    <cfRule type="containsText" dxfId="59" priority="19" stopIfTrue="1" operator="containsText" text=", на ">
      <formula>NOT(ISERROR(SEARCH(", на ",A6)))</formula>
    </cfRule>
    <cfRule type="containsText" dxfId="58" priority="20" stopIfTrue="1" operator="containsText" text="шт.)">
      <formula>NOT(ISERROR(SEARCH("шт.)",A6)))</formula>
    </cfRule>
  </conditionalFormatting>
  <conditionalFormatting sqref="AG1:AI17">
    <cfRule type="containsText" dxfId="57" priority="1" stopIfTrue="1" operator="containsText" text="С ЛИСТА">
      <formula>NOT(ISERROR(SEARCH("С ЛИСТА",AG1)))</formula>
    </cfRule>
    <cfRule type="containsText" dxfId="56" priority="2" stopIfTrue="1" operator="containsText" text="ИЗ ФАЙЛА">
      <formula>NOT(ISERROR(SEARCH("ИЗ ФАЙЛА",AG1)))</formula>
    </cfRule>
    <cfRule type="containsText" dxfId="55" priority="3" stopIfTrue="1" operator="containsText" text="!!!">
      <formula>NOT(ISERROR(SEARCH("!!!",AG1)))</formula>
    </cfRule>
    <cfRule type="containsText" dxfId="54" priority="4" stopIfTrue="1" operator="containsText" text=" Изделия ">
      <formula>NOT(ISERROR(SEARCH(" Изделия ",AG1)))</formula>
    </cfRule>
    <cfRule type="containsText" dxfId="53" priority="5" stopIfTrue="1" operator="containsText" text=" Прокат ">
      <formula>NOT(ISERROR(SEARCH(" Прокат ",AG1)))</formula>
    </cfRule>
    <cfRule type="containsText" dxfId="52" priority="6" stopIfTrue="1" operator="containsText" text=" Сборочные единицы ">
      <formula>NOT(ISERROR(SEARCH(" Сборочные единицы ",AG1)))</formula>
    </cfRule>
    <cfRule type="containsText" dxfId="51" priority="7" stopIfTrue="1" operator="containsText" text=" Материалы ">
      <formula>NOT(ISERROR(SEARCH(" Материалы ",AG1)))</formula>
    </cfRule>
    <cfRule type="containsText" dxfId="50" priority="8" stopIfTrue="1" operator="containsText" text="Элементы на отм.">
      <formula>NOT(ISERROR(SEARCH("Элементы на отм.",AG1)))</formula>
    </cfRule>
    <cfRule type="containsText" dxfId="49" priority="9" stopIfTrue="1" operator="containsText" text=", на ">
      <formula>NOT(ISERROR(SEARCH(", на ",AG1)))</formula>
    </cfRule>
    <cfRule type="containsText" dxfId="48" priority="10" stopIfTrue="1" operator="containsText" text="шт.)">
      <formula>NOT(ISERROR(SEARCH("шт.)",AG1)))</formula>
    </cfRule>
  </conditionalFormatting>
  <pageMargins left="0" right="0" top="0" bottom="0" header="0" footer="0"/>
  <pageSetup paperSize="9" scale="33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>
    <tabColor rgb="FF000000"/>
  </sheetPr>
  <dimension ref="A1:F86"/>
  <sheetViews>
    <sheetView topLeftCell="A50" zoomScaleNormal="100" workbookViewId="0">
      <selection activeCell="H63" sqref="H63"/>
    </sheetView>
  </sheetViews>
  <sheetFormatPr defaultRowHeight="15" x14ac:dyDescent="0.25"/>
  <cols>
    <col min="1" max="1" width="7.85546875" style="9" customWidth="1"/>
    <col min="2" max="2" width="24.5703125" style="9" customWidth="1"/>
    <col min="3" max="3" width="29.42578125" style="9" customWidth="1"/>
    <col min="4" max="4" width="7.85546875" style="9" customWidth="1"/>
    <col min="5" max="5" width="10.28515625" style="9" customWidth="1"/>
    <col min="6" max="6" width="12.7109375" style="9" customWidth="1"/>
    <col min="7" max="9" width="7.85546875" style="9" customWidth="1"/>
    <col min="10" max="10" width="10.28515625" style="9" customWidth="1"/>
    <col min="11" max="11" width="12.7109375" style="9" customWidth="1"/>
    <col min="12" max="16384" width="9.140625" style="9"/>
  </cols>
  <sheetData>
    <row r="1" spans="1:6" ht="31.5" x14ac:dyDescent="0.25">
      <c r="A1" s="43" t="s">
        <v>2636</v>
      </c>
      <c r="B1" s="44" t="s">
        <v>2637</v>
      </c>
      <c r="C1" s="44" t="s">
        <v>2638</v>
      </c>
      <c r="D1" s="44" t="s">
        <v>2830</v>
      </c>
      <c r="E1" s="44" t="s">
        <v>2837</v>
      </c>
      <c r="F1" s="45" t="s">
        <v>2719</v>
      </c>
    </row>
    <row r="2" spans="1:6" ht="15.75" x14ac:dyDescent="0.25">
      <c r="A2" s="131" t="s">
        <v>2892</v>
      </c>
      <c r="B2" s="128"/>
      <c r="C2" s="128"/>
      <c r="D2" s="128"/>
      <c r="E2" s="128"/>
      <c r="F2" s="134"/>
    </row>
    <row r="3" spans="1:6" ht="15.75" x14ac:dyDescent="0.25">
      <c r="A3" s="48">
        <v>1</v>
      </c>
      <c r="B3" s="128" t="s">
        <v>2866</v>
      </c>
      <c r="C3" s="46" t="s">
        <v>2893</v>
      </c>
      <c r="D3" s="46">
        <v>8</v>
      </c>
      <c r="E3" s="46">
        <v>6.75</v>
      </c>
      <c r="F3" s="49" t="s">
        <v>2894</v>
      </c>
    </row>
    <row r="4" spans="1:6" ht="15.75" x14ac:dyDescent="0.25">
      <c r="A4" s="48">
        <v>2</v>
      </c>
      <c r="B4" s="128"/>
      <c r="C4" s="46" t="s">
        <v>2893</v>
      </c>
      <c r="D4" s="46">
        <v>8</v>
      </c>
      <c r="E4" s="46">
        <v>6.75</v>
      </c>
      <c r="F4" s="49" t="s">
        <v>2894</v>
      </c>
    </row>
    <row r="5" spans="1:6" ht="15.75" x14ac:dyDescent="0.25">
      <c r="A5" s="48">
        <v>3</v>
      </c>
      <c r="B5" s="46" t="s">
        <v>2661</v>
      </c>
      <c r="C5" s="46" t="s">
        <v>2895</v>
      </c>
      <c r="D5" s="46">
        <v>16</v>
      </c>
      <c r="E5" s="46">
        <v>0.23</v>
      </c>
      <c r="F5" s="49" t="s">
        <v>2896</v>
      </c>
    </row>
    <row r="6" spans="1:6" ht="15.75" x14ac:dyDescent="0.25">
      <c r="A6" s="48">
        <v>4</v>
      </c>
      <c r="B6" s="46" t="s">
        <v>2897</v>
      </c>
      <c r="C6" s="46" t="s">
        <v>2898</v>
      </c>
      <c r="D6" s="46">
        <v>16</v>
      </c>
      <c r="E6" s="46">
        <v>0.01</v>
      </c>
      <c r="F6" s="49" t="s">
        <v>2899</v>
      </c>
    </row>
    <row r="7" spans="1:6" ht="15.75" x14ac:dyDescent="0.25">
      <c r="A7" s="48" t="s">
        <v>2720</v>
      </c>
      <c r="B7" s="46" t="s">
        <v>2843</v>
      </c>
      <c r="C7" s="46" t="s">
        <v>2844</v>
      </c>
      <c r="D7" s="46">
        <v>12.496</v>
      </c>
      <c r="E7" s="46" t="s">
        <v>4</v>
      </c>
      <c r="F7" s="49" t="s">
        <v>2372</v>
      </c>
    </row>
    <row r="8" spans="1:6" ht="15.75" x14ac:dyDescent="0.25">
      <c r="A8" s="131" t="s">
        <v>2900</v>
      </c>
      <c r="B8" s="128"/>
      <c r="C8" s="128"/>
      <c r="D8" s="128"/>
      <c r="E8" s="128"/>
      <c r="F8" s="134"/>
    </row>
    <row r="9" spans="1:6" ht="15.75" x14ac:dyDescent="0.25">
      <c r="A9" s="48">
        <v>1</v>
      </c>
      <c r="B9" s="128" t="s">
        <v>2866</v>
      </c>
      <c r="C9" s="46" t="s">
        <v>2901</v>
      </c>
      <c r="D9" s="46">
        <v>8</v>
      </c>
      <c r="E9" s="46">
        <v>9.8699999999999992</v>
      </c>
      <c r="F9" s="49" t="s">
        <v>2902</v>
      </c>
    </row>
    <row r="10" spans="1:6" ht="15.75" x14ac:dyDescent="0.25">
      <c r="A10" s="48">
        <v>2</v>
      </c>
      <c r="B10" s="128"/>
      <c r="C10" s="46" t="s">
        <v>2901</v>
      </c>
      <c r="D10" s="46">
        <v>8</v>
      </c>
      <c r="E10" s="46">
        <v>9.8699999999999992</v>
      </c>
      <c r="F10" s="49" t="s">
        <v>2902</v>
      </c>
    </row>
    <row r="11" spans="1:6" ht="15.75" x14ac:dyDescent="0.25">
      <c r="A11" s="48">
        <v>3</v>
      </c>
      <c r="B11" s="46" t="s">
        <v>2661</v>
      </c>
      <c r="C11" s="46" t="s">
        <v>2895</v>
      </c>
      <c r="D11" s="46">
        <v>16</v>
      </c>
      <c r="E11" s="46">
        <v>0.23</v>
      </c>
      <c r="F11" s="49" t="s">
        <v>2896</v>
      </c>
    </row>
    <row r="12" spans="1:6" ht="15.75" x14ac:dyDescent="0.25">
      <c r="A12" s="48">
        <v>4</v>
      </c>
      <c r="B12" s="46" t="s">
        <v>2897</v>
      </c>
      <c r="C12" s="46" t="s">
        <v>2898</v>
      </c>
      <c r="D12" s="46">
        <v>16</v>
      </c>
      <c r="E12" s="46">
        <v>0.01</v>
      </c>
      <c r="F12" s="49" t="s">
        <v>2899</v>
      </c>
    </row>
    <row r="13" spans="1:6" ht="15.75" x14ac:dyDescent="0.25">
      <c r="A13" s="48" t="s">
        <v>2720</v>
      </c>
      <c r="B13" s="46" t="s">
        <v>2843</v>
      </c>
      <c r="C13" s="46" t="s">
        <v>2844</v>
      </c>
      <c r="D13" s="46">
        <v>21.576000000000001</v>
      </c>
      <c r="E13" s="46" t="s">
        <v>4</v>
      </c>
      <c r="F13" s="49" t="s">
        <v>2372</v>
      </c>
    </row>
    <row r="14" spans="1:6" ht="15.75" x14ac:dyDescent="0.25">
      <c r="A14" s="131" t="s">
        <v>2903</v>
      </c>
      <c r="B14" s="128"/>
      <c r="C14" s="128"/>
      <c r="D14" s="128"/>
      <c r="E14" s="128"/>
      <c r="F14" s="134"/>
    </row>
    <row r="15" spans="1:6" ht="15.75" x14ac:dyDescent="0.25">
      <c r="A15" s="48" t="s">
        <v>2904</v>
      </c>
      <c r="B15" s="128" t="s">
        <v>2660</v>
      </c>
      <c r="C15" s="46" t="s">
        <v>2905</v>
      </c>
      <c r="D15" s="46">
        <v>27</v>
      </c>
      <c r="E15" s="46">
        <v>0.38</v>
      </c>
      <c r="F15" s="49" t="s">
        <v>2906</v>
      </c>
    </row>
    <row r="16" spans="1:6" ht="15.75" x14ac:dyDescent="0.25">
      <c r="A16" s="48">
        <v>4</v>
      </c>
      <c r="B16" s="128"/>
      <c r="C16" s="46" t="s">
        <v>2907</v>
      </c>
      <c r="D16" s="46">
        <v>25</v>
      </c>
      <c r="E16" s="46">
        <v>0.61599999999999999</v>
      </c>
      <c r="F16" s="49" t="s">
        <v>2908</v>
      </c>
    </row>
    <row r="17" spans="1:6" ht="31.5" x14ac:dyDescent="0.25">
      <c r="A17" s="48" t="s">
        <v>2720</v>
      </c>
      <c r="B17" s="46" t="s">
        <v>2909</v>
      </c>
      <c r="C17" s="46" t="s">
        <v>2910</v>
      </c>
      <c r="D17" s="46">
        <v>2</v>
      </c>
      <c r="E17" s="46" t="s">
        <v>4</v>
      </c>
      <c r="F17" s="49" t="s">
        <v>4</v>
      </c>
    </row>
    <row r="18" spans="1:6" ht="15.75" x14ac:dyDescent="0.25">
      <c r="A18" s="48" t="s">
        <v>2720</v>
      </c>
      <c r="B18" s="46" t="s">
        <v>2911</v>
      </c>
      <c r="C18" s="46" t="s">
        <v>2912</v>
      </c>
      <c r="D18" s="46">
        <v>0.18099999999999999</v>
      </c>
      <c r="E18" s="46" t="s">
        <v>4</v>
      </c>
      <c r="F18" s="49" t="s">
        <v>3</v>
      </c>
    </row>
    <row r="19" spans="1:6" ht="15.75" x14ac:dyDescent="0.25">
      <c r="A19" s="131" t="s">
        <v>2913</v>
      </c>
      <c r="B19" s="128"/>
      <c r="C19" s="128"/>
      <c r="D19" s="128"/>
      <c r="E19" s="128"/>
      <c r="F19" s="134"/>
    </row>
    <row r="20" spans="1:6" ht="15.75" x14ac:dyDescent="0.25">
      <c r="A20" s="48">
        <v>1</v>
      </c>
      <c r="B20" s="128" t="s">
        <v>2866</v>
      </c>
      <c r="C20" s="46" t="s">
        <v>2914</v>
      </c>
      <c r="D20" s="46">
        <v>3</v>
      </c>
      <c r="E20" s="46">
        <v>55.809999999999995</v>
      </c>
      <c r="F20" s="49" t="s">
        <v>2915</v>
      </c>
    </row>
    <row r="21" spans="1:6" ht="15.75" x14ac:dyDescent="0.25">
      <c r="A21" s="48">
        <v>2</v>
      </c>
      <c r="B21" s="128"/>
      <c r="C21" s="46" t="s">
        <v>2916</v>
      </c>
      <c r="D21" s="46">
        <v>45</v>
      </c>
      <c r="E21" s="46">
        <v>5.49</v>
      </c>
      <c r="F21" s="49" t="s">
        <v>2917</v>
      </c>
    </row>
    <row r="22" spans="1:6" ht="15.75" x14ac:dyDescent="0.25">
      <c r="A22" s="48">
        <v>3</v>
      </c>
      <c r="B22" s="128"/>
      <c r="C22" s="46" t="s">
        <v>2918</v>
      </c>
      <c r="D22" s="46">
        <v>3</v>
      </c>
      <c r="E22" s="46">
        <v>30.220000000000002</v>
      </c>
      <c r="F22" s="49" t="s">
        <v>2919</v>
      </c>
    </row>
    <row r="23" spans="1:6" ht="15.75" x14ac:dyDescent="0.25">
      <c r="A23" s="48">
        <v>4</v>
      </c>
      <c r="B23" s="128" t="s">
        <v>2876</v>
      </c>
      <c r="C23" s="46" t="s">
        <v>2920</v>
      </c>
      <c r="D23" s="46">
        <v>3</v>
      </c>
      <c r="E23" s="46">
        <v>43.129999999999995</v>
      </c>
      <c r="F23" s="49" t="s">
        <v>2921</v>
      </c>
    </row>
    <row r="24" spans="1:6" ht="15.75" x14ac:dyDescent="0.25">
      <c r="A24" s="48">
        <v>5</v>
      </c>
      <c r="B24" s="128"/>
      <c r="C24" s="46" t="s">
        <v>2922</v>
      </c>
      <c r="D24" s="46">
        <v>45</v>
      </c>
      <c r="E24" s="46">
        <v>0.05</v>
      </c>
      <c r="F24" s="49" t="s">
        <v>2923</v>
      </c>
    </row>
    <row r="25" spans="1:6" ht="15.75" x14ac:dyDescent="0.25">
      <c r="A25" s="48">
        <v>10</v>
      </c>
      <c r="B25" s="128"/>
      <c r="C25" s="46" t="s">
        <v>2924</v>
      </c>
      <c r="D25" s="46">
        <v>45</v>
      </c>
      <c r="E25" s="46">
        <v>0.12</v>
      </c>
      <c r="F25" s="49" t="s">
        <v>2925</v>
      </c>
    </row>
    <row r="26" spans="1:6" ht="15.75" x14ac:dyDescent="0.25">
      <c r="A26" s="48" t="s">
        <v>2720</v>
      </c>
      <c r="B26" s="46" t="s">
        <v>2843</v>
      </c>
      <c r="C26" s="46" t="s">
        <v>2844</v>
      </c>
      <c r="D26" s="46">
        <v>29.079000000000001</v>
      </c>
      <c r="E26" s="46" t="s">
        <v>4</v>
      </c>
      <c r="F26" s="49" t="s">
        <v>2372</v>
      </c>
    </row>
    <row r="27" spans="1:6" ht="15.75" x14ac:dyDescent="0.25">
      <c r="A27" s="131" t="s">
        <v>2926</v>
      </c>
      <c r="B27" s="128"/>
      <c r="C27" s="128"/>
      <c r="D27" s="128"/>
      <c r="E27" s="128"/>
      <c r="F27" s="134"/>
    </row>
    <row r="28" spans="1:6" ht="15.75" x14ac:dyDescent="0.25">
      <c r="A28" s="48">
        <v>1</v>
      </c>
      <c r="B28" s="128" t="s">
        <v>2866</v>
      </c>
      <c r="C28" s="46" t="s">
        <v>2927</v>
      </c>
      <c r="D28" s="46">
        <v>3</v>
      </c>
      <c r="E28" s="46">
        <v>23.17</v>
      </c>
      <c r="F28" s="49" t="s">
        <v>2928</v>
      </c>
    </row>
    <row r="29" spans="1:6" ht="15.75" x14ac:dyDescent="0.25">
      <c r="A29" s="48">
        <v>2</v>
      </c>
      <c r="B29" s="128"/>
      <c r="C29" s="46" t="s">
        <v>2916</v>
      </c>
      <c r="D29" s="46">
        <v>21</v>
      </c>
      <c r="E29" s="46">
        <v>5.49</v>
      </c>
      <c r="F29" s="49" t="s">
        <v>2929</v>
      </c>
    </row>
    <row r="30" spans="1:6" ht="15.75" x14ac:dyDescent="0.25">
      <c r="A30" s="48">
        <v>3</v>
      </c>
      <c r="B30" s="128"/>
      <c r="C30" s="46" t="s">
        <v>2930</v>
      </c>
      <c r="D30" s="46">
        <v>3</v>
      </c>
      <c r="E30" s="46">
        <v>12.48</v>
      </c>
      <c r="F30" s="49" t="s">
        <v>2931</v>
      </c>
    </row>
    <row r="31" spans="1:6" ht="15.75" x14ac:dyDescent="0.25">
      <c r="A31" s="48">
        <v>4</v>
      </c>
      <c r="B31" s="128" t="s">
        <v>2876</v>
      </c>
      <c r="C31" s="46" t="s">
        <v>2932</v>
      </c>
      <c r="D31" s="46">
        <v>3</v>
      </c>
      <c r="E31" s="46">
        <v>17.810000000000002</v>
      </c>
      <c r="F31" s="49" t="s">
        <v>2933</v>
      </c>
    </row>
    <row r="32" spans="1:6" ht="15.75" x14ac:dyDescent="0.25">
      <c r="A32" s="48">
        <v>5</v>
      </c>
      <c r="B32" s="128"/>
      <c r="C32" s="46" t="s">
        <v>2922</v>
      </c>
      <c r="D32" s="46">
        <v>21</v>
      </c>
      <c r="E32" s="46">
        <v>0.05</v>
      </c>
      <c r="F32" s="49" t="s">
        <v>2934</v>
      </c>
    </row>
    <row r="33" spans="1:6" ht="15.75" x14ac:dyDescent="0.25">
      <c r="A33" s="48">
        <v>10</v>
      </c>
      <c r="B33" s="128"/>
      <c r="C33" s="46" t="s">
        <v>2924</v>
      </c>
      <c r="D33" s="46">
        <v>21</v>
      </c>
      <c r="E33" s="46">
        <v>0.12</v>
      </c>
      <c r="F33" s="49" t="s">
        <v>2935</v>
      </c>
    </row>
    <row r="34" spans="1:6" ht="15.75" x14ac:dyDescent="0.25">
      <c r="A34" s="48" t="s">
        <v>2720</v>
      </c>
      <c r="B34" s="46" t="s">
        <v>2843</v>
      </c>
      <c r="C34" s="46" t="s">
        <v>2844</v>
      </c>
      <c r="D34" s="46">
        <v>12.657</v>
      </c>
      <c r="E34" s="46" t="s">
        <v>4</v>
      </c>
      <c r="F34" s="49" t="s">
        <v>2372</v>
      </c>
    </row>
    <row r="35" spans="1:6" ht="15.75" x14ac:dyDescent="0.25">
      <c r="A35" s="131" t="s">
        <v>2936</v>
      </c>
      <c r="B35" s="128"/>
      <c r="C35" s="128"/>
      <c r="D35" s="128"/>
      <c r="E35" s="128"/>
      <c r="F35" s="134"/>
    </row>
    <row r="36" spans="1:6" ht="15.75" x14ac:dyDescent="0.25">
      <c r="A36" s="48">
        <v>1</v>
      </c>
      <c r="B36" s="128" t="s">
        <v>2866</v>
      </c>
      <c r="C36" s="46" t="s">
        <v>2937</v>
      </c>
      <c r="D36" s="46">
        <v>2</v>
      </c>
      <c r="E36" s="46">
        <v>30.990000000000002</v>
      </c>
      <c r="F36" s="49" t="s">
        <v>2938</v>
      </c>
    </row>
    <row r="37" spans="1:6" ht="15.75" x14ac:dyDescent="0.25">
      <c r="A37" s="48">
        <v>2</v>
      </c>
      <c r="B37" s="128"/>
      <c r="C37" s="46" t="s">
        <v>2916</v>
      </c>
      <c r="D37" s="46">
        <v>18</v>
      </c>
      <c r="E37" s="46">
        <v>5.49</v>
      </c>
      <c r="F37" s="49" t="s">
        <v>2939</v>
      </c>
    </row>
    <row r="38" spans="1:6" ht="15.75" x14ac:dyDescent="0.25">
      <c r="A38" s="48">
        <v>3</v>
      </c>
      <c r="B38" s="128"/>
      <c r="C38" s="46" t="s">
        <v>2940</v>
      </c>
      <c r="D38" s="46">
        <v>2</v>
      </c>
      <c r="E38" s="46">
        <v>16.73</v>
      </c>
      <c r="F38" s="49" t="s">
        <v>2941</v>
      </c>
    </row>
    <row r="39" spans="1:6" ht="15.75" x14ac:dyDescent="0.25">
      <c r="A39" s="48">
        <v>4</v>
      </c>
      <c r="B39" s="128" t="s">
        <v>2876</v>
      </c>
      <c r="C39" s="46" t="s">
        <v>2942</v>
      </c>
      <c r="D39" s="46">
        <v>2</v>
      </c>
      <c r="E39" s="46">
        <v>23.85</v>
      </c>
      <c r="F39" s="49" t="s">
        <v>2943</v>
      </c>
    </row>
    <row r="40" spans="1:6" ht="15.75" x14ac:dyDescent="0.25">
      <c r="A40" s="48">
        <v>5</v>
      </c>
      <c r="B40" s="128"/>
      <c r="C40" s="46" t="s">
        <v>2922</v>
      </c>
      <c r="D40" s="46">
        <v>18</v>
      </c>
      <c r="E40" s="46">
        <v>0.05</v>
      </c>
      <c r="F40" s="49" t="s">
        <v>2944</v>
      </c>
    </row>
    <row r="41" spans="1:6" ht="15.75" x14ac:dyDescent="0.25">
      <c r="A41" s="48">
        <v>10</v>
      </c>
      <c r="B41" s="128"/>
      <c r="C41" s="46" t="s">
        <v>2924</v>
      </c>
      <c r="D41" s="46">
        <v>18</v>
      </c>
      <c r="E41" s="46">
        <v>0.12</v>
      </c>
      <c r="F41" s="49" t="s">
        <v>2945</v>
      </c>
    </row>
    <row r="42" spans="1:6" ht="15.75" x14ac:dyDescent="0.25">
      <c r="A42" s="48" t="s">
        <v>2720</v>
      </c>
      <c r="B42" s="46" t="s">
        <v>2843</v>
      </c>
      <c r="C42" s="46" t="s">
        <v>2844</v>
      </c>
      <c r="D42" s="46">
        <v>11.098000000000001</v>
      </c>
      <c r="E42" s="46" t="s">
        <v>4</v>
      </c>
      <c r="F42" s="49" t="s">
        <v>2372</v>
      </c>
    </row>
    <row r="43" spans="1:6" ht="15.75" x14ac:dyDescent="0.25">
      <c r="A43" s="131" t="s">
        <v>2946</v>
      </c>
      <c r="B43" s="128"/>
      <c r="C43" s="128"/>
      <c r="D43" s="128"/>
      <c r="E43" s="128"/>
      <c r="F43" s="134"/>
    </row>
    <row r="44" spans="1:6" ht="15.75" x14ac:dyDescent="0.25">
      <c r="A44" s="48" t="s">
        <v>2720</v>
      </c>
      <c r="B44" s="46" t="s">
        <v>2720</v>
      </c>
      <c r="C44" s="46" t="s">
        <v>2842</v>
      </c>
      <c r="D44" s="46">
        <v>48.108000000000004</v>
      </c>
      <c r="E44" s="46" t="s">
        <v>4</v>
      </c>
      <c r="F44" s="49" t="s">
        <v>2372</v>
      </c>
    </row>
    <row r="45" spans="1:6" ht="15.75" x14ac:dyDescent="0.25">
      <c r="A45" s="48" t="s">
        <v>2720</v>
      </c>
      <c r="B45" s="46" t="s">
        <v>2843</v>
      </c>
      <c r="C45" s="46" t="s">
        <v>2844</v>
      </c>
      <c r="D45" s="46">
        <v>51.45</v>
      </c>
      <c r="E45" s="46" t="s">
        <v>4</v>
      </c>
      <c r="F45" s="49" t="s">
        <v>2372</v>
      </c>
    </row>
    <row r="46" spans="1:6" ht="31.5" x14ac:dyDescent="0.25">
      <c r="A46" s="48" t="s">
        <v>2865</v>
      </c>
      <c r="B46" s="128" t="s">
        <v>2866</v>
      </c>
      <c r="C46" s="46" t="s">
        <v>2867</v>
      </c>
      <c r="D46" s="46">
        <v>6</v>
      </c>
      <c r="E46" s="46">
        <v>30.020000000000003</v>
      </c>
      <c r="F46" s="49" t="s">
        <v>2947</v>
      </c>
    </row>
    <row r="47" spans="1:6" ht="31.5" x14ac:dyDescent="0.25">
      <c r="A47" s="48" t="s">
        <v>2865</v>
      </c>
      <c r="B47" s="128"/>
      <c r="C47" s="46" t="s">
        <v>2869</v>
      </c>
      <c r="D47" s="46">
        <v>18</v>
      </c>
      <c r="E47" s="46">
        <v>34.57</v>
      </c>
      <c r="F47" s="49" t="s">
        <v>2948</v>
      </c>
    </row>
    <row r="48" spans="1:6" ht="31.5" x14ac:dyDescent="0.25">
      <c r="A48" s="48" t="s">
        <v>2865</v>
      </c>
      <c r="B48" s="128"/>
      <c r="C48" s="46" t="s">
        <v>2871</v>
      </c>
      <c r="D48" s="46">
        <v>6</v>
      </c>
      <c r="E48" s="46">
        <v>48.75</v>
      </c>
      <c r="F48" s="49" t="s">
        <v>2949</v>
      </c>
    </row>
    <row r="49" spans="1:6" ht="31.5" x14ac:dyDescent="0.25">
      <c r="A49" s="48" t="s">
        <v>2865</v>
      </c>
      <c r="B49" s="128"/>
      <c r="C49" s="46" t="s">
        <v>2873</v>
      </c>
      <c r="D49" s="46">
        <v>6</v>
      </c>
      <c r="E49" s="46">
        <v>61.12</v>
      </c>
      <c r="F49" s="49" t="s">
        <v>2950</v>
      </c>
    </row>
    <row r="50" spans="1:6" ht="15.75" x14ac:dyDescent="0.25">
      <c r="A50" s="48" t="s">
        <v>2875</v>
      </c>
      <c r="B50" s="128" t="s">
        <v>2876</v>
      </c>
      <c r="C50" s="46" t="s">
        <v>2877</v>
      </c>
      <c r="D50" s="46">
        <v>72</v>
      </c>
      <c r="E50" s="46">
        <v>0.63</v>
      </c>
      <c r="F50" s="49" t="s">
        <v>2951</v>
      </c>
    </row>
    <row r="51" spans="1:6" ht="15.75" x14ac:dyDescent="0.25">
      <c r="A51" s="48" t="s">
        <v>2879</v>
      </c>
      <c r="B51" s="128"/>
      <c r="C51" s="46" t="s">
        <v>2880</v>
      </c>
      <c r="D51" s="46">
        <v>72</v>
      </c>
      <c r="E51" s="46">
        <v>1.04</v>
      </c>
      <c r="F51" s="49" t="s">
        <v>2952</v>
      </c>
    </row>
    <row r="52" spans="1:6" ht="15.75" x14ac:dyDescent="0.25">
      <c r="A52" s="48" t="s">
        <v>2882</v>
      </c>
      <c r="B52" s="128"/>
      <c r="C52" s="46" t="s">
        <v>2883</v>
      </c>
      <c r="D52" s="46">
        <v>72</v>
      </c>
      <c r="E52" s="46">
        <v>0.25</v>
      </c>
      <c r="F52" s="49" t="s">
        <v>2953</v>
      </c>
    </row>
    <row r="53" spans="1:6" ht="15.75" x14ac:dyDescent="0.25">
      <c r="A53" s="131" t="s">
        <v>2977</v>
      </c>
      <c r="B53" s="128"/>
      <c r="C53" s="128"/>
      <c r="D53" s="128"/>
      <c r="E53" s="128"/>
      <c r="F53" s="134"/>
    </row>
    <row r="54" spans="1:6" ht="15.75" x14ac:dyDescent="0.25">
      <c r="A54" s="48">
        <v>1</v>
      </c>
      <c r="B54" s="128" t="s">
        <v>2660</v>
      </c>
      <c r="C54" s="46" t="s">
        <v>2978</v>
      </c>
      <c r="D54" s="46">
        <v>1772</v>
      </c>
      <c r="E54" s="46">
        <v>0.222</v>
      </c>
      <c r="F54" s="49" t="s">
        <v>2979</v>
      </c>
    </row>
    <row r="55" spans="1:6" ht="15.75" x14ac:dyDescent="0.25">
      <c r="A55" s="48" t="s">
        <v>2980</v>
      </c>
      <c r="B55" s="128"/>
      <c r="C55" s="46" t="s">
        <v>2981</v>
      </c>
      <c r="D55" s="46">
        <v>524</v>
      </c>
      <c r="E55" s="46">
        <v>0.06</v>
      </c>
      <c r="F55" s="49" t="s">
        <v>2982</v>
      </c>
    </row>
    <row r="56" spans="1:6" ht="31.5" x14ac:dyDescent="0.25">
      <c r="A56" s="48" t="s">
        <v>2720</v>
      </c>
      <c r="B56" s="46" t="s">
        <v>2983</v>
      </c>
      <c r="C56" s="46" t="s">
        <v>2984</v>
      </c>
      <c r="D56" s="46">
        <v>83.784000000000006</v>
      </c>
      <c r="E56" s="46" t="s">
        <v>4</v>
      </c>
      <c r="F56" s="49" t="s">
        <v>2372</v>
      </c>
    </row>
    <row r="57" spans="1:6" ht="31.5" x14ac:dyDescent="0.25">
      <c r="A57" s="48" t="s">
        <v>2720</v>
      </c>
      <c r="B57" s="128" t="s">
        <v>2720</v>
      </c>
      <c r="C57" s="46" t="s">
        <v>2985</v>
      </c>
      <c r="D57" s="46">
        <v>167.56800000000001</v>
      </c>
      <c r="E57" s="46" t="s">
        <v>4</v>
      </c>
      <c r="F57" s="49" t="s">
        <v>2372</v>
      </c>
    </row>
    <row r="58" spans="1:6" ht="15.75" x14ac:dyDescent="0.25">
      <c r="A58" s="48" t="s">
        <v>2986</v>
      </c>
      <c r="B58" s="128"/>
      <c r="C58" s="46" t="s">
        <v>2987</v>
      </c>
      <c r="D58" s="46">
        <v>304</v>
      </c>
      <c r="E58" s="46">
        <v>0.65</v>
      </c>
      <c r="F58" s="49" t="s">
        <v>2988</v>
      </c>
    </row>
    <row r="59" spans="1:6" ht="31.5" x14ac:dyDescent="0.25">
      <c r="A59" s="48" t="s">
        <v>2989</v>
      </c>
      <c r="B59" s="128"/>
      <c r="C59" s="46" t="s">
        <v>2990</v>
      </c>
      <c r="D59" s="46">
        <v>40</v>
      </c>
      <c r="E59" s="46">
        <v>0.2</v>
      </c>
      <c r="F59" s="49" t="s">
        <v>2991</v>
      </c>
    </row>
    <row r="60" spans="1:6" ht="15.75" x14ac:dyDescent="0.25">
      <c r="A60" s="48" t="s">
        <v>2992</v>
      </c>
      <c r="B60" s="128"/>
      <c r="C60" s="46" t="s">
        <v>2993</v>
      </c>
      <c r="D60" s="46">
        <v>40</v>
      </c>
      <c r="E60" s="46">
        <v>3.5</v>
      </c>
      <c r="F60" s="49" t="s">
        <v>2994</v>
      </c>
    </row>
    <row r="61" spans="1:6" ht="15.75" x14ac:dyDescent="0.25">
      <c r="A61" s="131" t="s">
        <v>2954</v>
      </c>
      <c r="B61" s="128"/>
      <c r="C61" s="128"/>
      <c r="D61" s="128"/>
      <c r="E61" s="128"/>
      <c r="F61" s="134"/>
    </row>
    <row r="62" spans="1:6" ht="15.75" x14ac:dyDescent="0.25">
      <c r="A62" s="48">
        <v>5</v>
      </c>
      <c r="B62" s="128" t="s">
        <v>2661</v>
      </c>
      <c r="C62" s="46" t="s">
        <v>2955</v>
      </c>
      <c r="D62" s="46">
        <v>8</v>
      </c>
      <c r="E62" s="46">
        <v>1.97</v>
      </c>
      <c r="F62" s="49" t="s">
        <v>2956</v>
      </c>
    </row>
    <row r="63" spans="1:6" ht="15.75" x14ac:dyDescent="0.25">
      <c r="A63" s="48">
        <v>6</v>
      </c>
      <c r="B63" s="128"/>
      <c r="C63" s="46" t="s">
        <v>2955</v>
      </c>
      <c r="D63" s="46">
        <v>8</v>
      </c>
      <c r="E63" s="46">
        <v>1.97</v>
      </c>
      <c r="F63" s="49" t="s">
        <v>2956</v>
      </c>
    </row>
    <row r="64" spans="1:6" ht="15.75" x14ac:dyDescent="0.25">
      <c r="A64" s="48">
        <v>7</v>
      </c>
      <c r="B64" s="128"/>
      <c r="C64" s="46" t="s">
        <v>2957</v>
      </c>
      <c r="D64" s="46">
        <v>8</v>
      </c>
      <c r="E64" s="46">
        <v>1.82</v>
      </c>
      <c r="F64" s="49" t="s">
        <v>2958</v>
      </c>
    </row>
    <row r="65" spans="1:6" ht="31.5" x14ac:dyDescent="0.25">
      <c r="A65" s="48">
        <v>8</v>
      </c>
      <c r="B65" s="46" t="s">
        <v>2680</v>
      </c>
      <c r="C65" s="46" t="s">
        <v>2959</v>
      </c>
      <c r="D65" s="46">
        <v>8</v>
      </c>
      <c r="E65" s="46">
        <v>0.05</v>
      </c>
      <c r="F65" s="49" t="s">
        <v>2960</v>
      </c>
    </row>
    <row r="66" spans="1:6" ht="15.75" x14ac:dyDescent="0.25">
      <c r="A66" s="48">
        <v>9</v>
      </c>
      <c r="B66" s="46" t="s">
        <v>2961</v>
      </c>
      <c r="C66" s="46" t="s">
        <v>2962</v>
      </c>
      <c r="D66" s="46">
        <v>4</v>
      </c>
      <c r="E66" s="46">
        <v>24.51</v>
      </c>
      <c r="F66" s="49" t="s">
        <v>2963</v>
      </c>
    </row>
    <row r="67" spans="1:6" ht="15.75" x14ac:dyDescent="0.25">
      <c r="A67" s="48" t="s">
        <v>2720</v>
      </c>
      <c r="B67" s="46" t="s">
        <v>2843</v>
      </c>
      <c r="C67" s="46" t="s">
        <v>2844</v>
      </c>
      <c r="D67" s="46">
        <v>12.496</v>
      </c>
      <c r="E67" s="46" t="s">
        <v>4</v>
      </c>
      <c r="F67" s="49" t="s">
        <v>2372</v>
      </c>
    </row>
    <row r="68" spans="1:6" ht="15.75" x14ac:dyDescent="0.25">
      <c r="A68" s="131" t="s">
        <v>2964</v>
      </c>
      <c r="B68" s="128"/>
      <c r="C68" s="128"/>
      <c r="D68" s="128"/>
      <c r="E68" s="128"/>
      <c r="F68" s="134"/>
    </row>
    <row r="69" spans="1:6" ht="15.75" x14ac:dyDescent="0.25">
      <c r="A69" s="48">
        <v>5</v>
      </c>
      <c r="B69" s="128" t="s">
        <v>2661</v>
      </c>
      <c r="C69" s="46" t="s">
        <v>2965</v>
      </c>
      <c r="D69" s="46">
        <v>8</v>
      </c>
      <c r="E69" s="46">
        <v>2.9099999999999997</v>
      </c>
      <c r="F69" s="49" t="s">
        <v>2966</v>
      </c>
    </row>
    <row r="70" spans="1:6" ht="15.75" x14ac:dyDescent="0.25">
      <c r="A70" s="48">
        <v>6</v>
      </c>
      <c r="B70" s="128"/>
      <c r="C70" s="46" t="s">
        <v>2965</v>
      </c>
      <c r="D70" s="46">
        <v>8</v>
      </c>
      <c r="E70" s="46">
        <v>2.9099999999999997</v>
      </c>
      <c r="F70" s="49" t="s">
        <v>2966</v>
      </c>
    </row>
    <row r="71" spans="1:6" ht="15.75" x14ac:dyDescent="0.25">
      <c r="A71" s="48">
        <v>7</v>
      </c>
      <c r="B71" s="128"/>
      <c r="C71" s="46" t="s">
        <v>2967</v>
      </c>
      <c r="D71" s="46">
        <v>12</v>
      </c>
      <c r="E71" s="46">
        <v>2.76</v>
      </c>
      <c r="F71" s="49" t="s">
        <v>2968</v>
      </c>
    </row>
    <row r="72" spans="1:6" ht="31.5" x14ac:dyDescent="0.25">
      <c r="A72" s="48">
        <v>8</v>
      </c>
      <c r="B72" s="46" t="s">
        <v>2680</v>
      </c>
      <c r="C72" s="46" t="s">
        <v>2959</v>
      </c>
      <c r="D72" s="46">
        <v>8</v>
      </c>
      <c r="E72" s="46">
        <v>0.05</v>
      </c>
      <c r="F72" s="49" t="s">
        <v>2960</v>
      </c>
    </row>
    <row r="73" spans="1:6" ht="15.75" x14ac:dyDescent="0.25">
      <c r="A73" s="48">
        <v>9</v>
      </c>
      <c r="B73" s="46" t="s">
        <v>2961</v>
      </c>
      <c r="C73" s="46" t="s">
        <v>2969</v>
      </c>
      <c r="D73" s="46">
        <v>4</v>
      </c>
      <c r="E73" s="46">
        <v>54.77</v>
      </c>
      <c r="F73" s="49" t="s">
        <v>2970</v>
      </c>
    </row>
    <row r="74" spans="1:6" ht="15.75" x14ac:dyDescent="0.25">
      <c r="A74" s="48" t="s">
        <v>2720</v>
      </c>
      <c r="B74" s="46" t="s">
        <v>2843</v>
      </c>
      <c r="C74" s="46" t="s">
        <v>2844</v>
      </c>
      <c r="D74" s="46">
        <v>21.576000000000001</v>
      </c>
      <c r="E74" s="46" t="s">
        <v>4</v>
      </c>
      <c r="F74" s="49" t="s">
        <v>2372</v>
      </c>
    </row>
    <row r="75" spans="1:6" ht="15.75" x14ac:dyDescent="0.25">
      <c r="A75" s="131" t="s">
        <v>2971</v>
      </c>
      <c r="B75" s="128"/>
      <c r="C75" s="128"/>
      <c r="D75" s="128"/>
      <c r="E75" s="128"/>
      <c r="F75" s="134"/>
    </row>
    <row r="76" spans="1:6" ht="15.75" x14ac:dyDescent="0.25">
      <c r="A76" s="48">
        <v>1</v>
      </c>
      <c r="B76" s="128" t="s">
        <v>2660</v>
      </c>
      <c r="C76" s="46" t="s">
        <v>2838</v>
      </c>
      <c r="D76" s="46">
        <v>286.10000000000002</v>
      </c>
      <c r="E76" s="46">
        <v>1.998</v>
      </c>
      <c r="F76" s="49" t="s">
        <v>2839</v>
      </c>
    </row>
    <row r="77" spans="1:6" ht="15.75" x14ac:dyDescent="0.25">
      <c r="A77" s="48">
        <v>2</v>
      </c>
      <c r="B77" s="128"/>
      <c r="C77" s="46" t="s">
        <v>2840</v>
      </c>
      <c r="D77" s="46">
        <v>72</v>
      </c>
      <c r="E77" s="46">
        <v>7.6</v>
      </c>
      <c r="F77" s="49" t="s">
        <v>2841</v>
      </c>
    </row>
    <row r="78" spans="1:6" ht="15.75" x14ac:dyDescent="0.25">
      <c r="A78" s="48" t="s">
        <v>2720</v>
      </c>
      <c r="B78" s="46" t="s">
        <v>2720</v>
      </c>
      <c r="C78" s="46" t="s">
        <v>2842</v>
      </c>
      <c r="D78" s="46">
        <v>32.071999999999996</v>
      </c>
      <c r="E78" s="46" t="s">
        <v>4</v>
      </c>
      <c r="F78" s="49" t="s">
        <v>2372</v>
      </c>
    </row>
    <row r="79" spans="1:6" ht="15.75" x14ac:dyDescent="0.25">
      <c r="A79" s="48" t="s">
        <v>2720</v>
      </c>
      <c r="B79" s="46" t="s">
        <v>2843</v>
      </c>
      <c r="C79" s="46" t="s">
        <v>2844</v>
      </c>
      <c r="D79" s="46">
        <v>34.300000000000004</v>
      </c>
      <c r="E79" s="46" t="s">
        <v>4</v>
      </c>
      <c r="F79" s="49" t="s">
        <v>2372</v>
      </c>
    </row>
    <row r="80" spans="1:6" ht="31.5" x14ac:dyDescent="0.25">
      <c r="A80" s="48" t="s">
        <v>2865</v>
      </c>
      <c r="B80" s="128" t="s">
        <v>2866</v>
      </c>
      <c r="C80" s="46" t="s">
        <v>2867</v>
      </c>
      <c r="D80" s="46">
        <v>4</v>
      </c>
      <c r="E80" s="46">
        <v>30.020000000000003</v>
      </c>
      <c r="F80" s="49" t="s">
        <v>2868</v>
      </c>
    </row>
    <row r="81" spans="1:6" ht="31.5" x14ac:dyDescent="0.25">
      <c r="A81" s="48" t="s">
        <v>2865</v>
      </c>
      <c r="B81" s="128"/>
      <c r="C81" s="46" t="s">
        <v>2869</v>
      </c>
      <c r="D81" s="46">
        <v>12</v>
      </c>
      <c r="E81" s="46">
        <v>34.57</v>
      </c>
      <c r="F81" s="49" t="s">
        <v>2870</v>
      </c>
    </row>
    <row r="82" spans="1:6" ht="31.5" x14ac:dyDescent="0.25">
      <c r="A82" s="48" t="s">
        <v>2865</v>
      </c>
      <c r="B82" s="128"/>
      <c r="C82" s="46" t="s">
        <v>2871</v>
      </c>
      <c r="D82" s="46">
        <v>4</v>
      </c>
      <c r="E82" s="46">
        <v>48.75</v>
      </c>
      <c r="F82" s="49" t="s">
        <v>2872</v>
      </c>
    </row>
    <row r="83" spans="1:6" ht="31.5" x14ac:dyDescent="0.25">
      <c r="A83" s="48" t="s">
        <v>2865</v>
      </c>
      <c r="B83" s="128"/>
      <c r="C83" s="46" t="s">
        <v>2873</v>
      </c>
      <c r="D83" s="46">
        <v>4</v>
      </c>
      <c r="E83" s="46">
        <v>61.12</v>
      </c>
      <c r="F83" s="49" t="s">
        <v>2874</v>
      </c>
    </row>
    <row r="84" spans="1:6" ht="15.75" x14ac:dyDescent="0.25">
      <c r="A84" s="48" t="s">
        <v>2875</v>
      </c>
      <c r="B84" s="128" t="s">
        <v>2876</v>
      </c>
      <c r="C84" s="46" t="s">
        <v>2877</v>
      </c>
      <c r="D84" s="46">
        <v>48</v>
      </c>
      <c r="E84" s="46">
        <v>0.63</v>
      </c>
      <c r="F84" s="49" t="s">
        <v>2878</v>
      </c>
    </row>
    <row r="85" spans="1:6" ht="15.75" x14ac:dyDescent="0.25">
      <c r="A85" s="48" t="s">
        <v>2879</v>
      </c>
      <c r="B85" s="128"/>
      <c r="C85" s="46" t="s">
        <v>2880</v>
      </c>
      <c r="D85" s="46">
        <v>48</v>
      </c>
      <c r="E85" s="46">
        <v>1.04</v>
      </c>
      <c r="F85" s="49" t="s">
        <v>2881</v>
      </c>
    </row>
    <row r="86" spans="1:6" ht="16.5" thickBot="1" x14ac:dyDescent="0.3">
      <c r="A86" s="16" t="s">
        <v>2882</v>
      </c>
      <c r="B86" s="139"/>
      <c r="C86" s="47" t="s">
        <v>2883</v>
      </c>
      <c r="D86" s="47">
        <v>48</v>
      </c>
      <c r="E86" s="47">
        <v>0.25</v>
      </c>
      <c r="F86" s="18" t="s">
        <v>2884</v>
      </c>
    </row>
  </sheetData>
  <mergeCells count="29">
    <mergeCell ref="B80:B83"/>
    <mergeCell ref="B84:B86"/>
    <mergeCell ref="A61:F61"/>
    <mergeCell ref="A68:F68"/>
    <mergeCell ref="A75:F75"/>
    <mergeCell ref="B62:B64"/>
    <mergeCell ref="B69:B71"/>
    <mergeCell ref="B76:B77"/>
    <mergeCell ref="B57:B60"/>
    <mergeCell ref="A43:F43"/>
    <mergeCell ref="A53:F53"/>
    <mergeCell ref="B3:B4"/>
    <mergeCell ref="B9:B10"/>
    <mergeCell ref="B15:B16"/>
    <mergeCell ref="B20:B22"/>
    <mergeCell ref="B23:B25"/>
    <mergeCell ref="B28:B30"/>
    <mergeCell ref="A35:F35"/>
    <mergeCell ref="B31:B33"/>
    <mergeCell ref="B36:B38"/>
    <mergeCell ref="B39:B41"/>
    <mergeCell ref="B46:B49"/>
    <mergeCell ref="B50:B52"/>
    <mergeCell ref="B54:B55"/>
    <mergeCell ref="A2:F2"/>
    <mergeCell ref="A8:F8"/>
    <mergeCell ref="A14:F14"/>
    <mergeCell ref="A19:F19"/>
    <mergeCell ref="A27:F27"/>
  </mergeCells>
  <conditionalFormatting sqref="A1:F86">
    <cfRule type="containsText" dxfId="47" priority="1" stopIfTrue="1" operator="containsText" text="С ЛИСТА">
      <formula>NOT(ISERROR(SEARCH("С ЛИСТА",A1)))</formula>
    </cfRule>
    <cfRule type="containsText" dxfId="46" priority="2" stopIfTrue="1" operator="containsText" text="ИЗ ФАЙЛА">
      <formula>NOT(ISERROR(SEARCH("ИЗ ФАЙЛА",A1)))</formula>
    </cfRule>
    <cfRule type="containsText" dxfId="45" priority="3" stopIfTrue="1" operator="containsText" text="!!!">
      <formula>NOT(ISERROR(SEARCH("!!!",A1)))</formula>
    </cfRule>
    <cfRule type="containsText" dxfId="44" priority="4" stopIfTrue="1" operator="containsText" text=" Изделия ">
      <formula>NOT(ISERROR(SEARCH(" Изделия ",A1)))</formula>
    </cfRule>
    <cfRule type="containsText" dxfId="43" priority="5" stopIfTrue="1" operator="containsText" text=" Прокат ">
      <formula>NOT(ISERROR(SEARCH(" Прокат ",A1)))</formula>
    </cfRule>
    <cfRule type="containsText" dxfId="42" priority="6" stopIfTrue="1" operator="containsText" text=" Сборочные единицы ">
      <formula>NOT(ISERROR(SEARCH(" Сборочные единицы ",A1)))</formula>
    </cfRule>
    <cfRule type="containsText" dxfId="41" priority="7" stopIfTrue="1" operator="containsText" text=" Материалы ">
      <formula>NOT(ISERROR(SEARCH(" Материалы ",A1)))</formula>
    </cfRule>
    <cfRule type="containsText" dxfId="40" priority="8" stopIfTrue="1" operator="containsText" text="Элементы на отм.">
      <formula>NOT(ISERROR(SEARCH("Элементы на отм.",A1)))</formula>
    </cfRule>
    <cfRule type="containsText" dxfId="39" priority="9" stopIfTrue="1" operator="containsText" text=", на ">
      <formula>NOT(ISERROR(SEARCH(", на ",A1)))</formula>
    </cfRule>
    <cfRule type="containsText" dxfId="38" priority="10" stopIfTrue="1" operator="containsText" text="шт.)">
      <formula>NOT(ISERROR(SEARCH("шт.)",A1)))</formula>
    </cfRule>
  </conditionalFormatting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>
    <tabColor rgb="FF000000"/>
    <pageSetUpPr fitToPage="1"/>
  </sheetPr>
  <dimension ref="A1:F13"/>
  <sheetViews>
    <sheetView workbookViewId="0">
      <selection activeCell="F21" sqref="F21"/>
    </sheetView>
  </sheetViews>
  <sheetFormatPr defaultRowHeight="15" x14ac:dyDescent="0.25"/>
  <cols>
    <col min="1" max="1" width="9" style="9" bestFit="1" customWidth="1"/>
    <col min="2" max="2" width="7" style="9" customWidth="1"/>
    <col min="3" max="3" width="45.140625" style="9" customWidth="1"/>
    <col min="4" max="4" width="7" style="9" customWidth="1"/>
    <col min="5" max="6" width="9.5703125" style="9" customWidth="1"/>
    <col min="7" max="16384" width="9.140625" style="9"/>
  </cols>
  <sheetData>
    <row r="1" spans="1:6" ht="47.25" x14ac:dyDescent="0.25">
      <c r="A1" s="43" t="s">
        <v>3082</v>
      </c>
      <c r="B1" s="44" t="s">
        <v>3083</v>
      </c>
      <c r="C1" s="44" t="s">
        <v>2638</v>
      </c>
      <c r="D1" s="44" t="s">
        <v>3084</v>
      </c>
      <c r="E1" s="44" t="s">
        <v>3085</v>
      </c>
      <c r="F1" s="45" t="s">
        <v>3086</v>
      </c>
    </row>
    <row r="2" spans="1:6" ht="15.75" x14ac:dyDescent="0.25">
      <c r="A2" s="131" t="s">
        <v>3087</v>
      </c>
      <c r="B2" s="46">
        <v>1</v>
      </c>
      <c r="C2" s="46" t="s">
        <v>3088</v>
      </c>
      <c r="D2" s="46">
        <v>304</v>
      </c>
      <c r="E2" s="46" t="s">
        <v>3089</v>
      </c>
      <c r="F2" s="134">
        <v>197.6</v>
      </c>
    </row>
    <row r="3" spans="1:6" ht="15.75" x14ac:dyDescent="0.25">
      <c r="A3" s="131"/>
      <c r="B3" s="46">
        <v>2</v>
      </c>
      <c r="C3" s="46" t="s">
        <v>3090</v>
      </c>
      <c r="D3" s="46">
        <v>304</v>
      </c>
      <c r="E3" s="46" t="s">
        <v>3091</v>
      </c>
      <c r="F3" s="134"/>
    </row>
    <row r="4" spans="1:6" ht="15.75" x14ac:dyDescent="0.25">
      <c r="A4" s="131" t="s">
        <v>3092</v>
      </c>
      <c r="B4" s="128"/>
      <c r="C4" s="128"/>
      <c r="D4" s="128"/>
      <c r="E4" s="128"/>
      <c r="F4" s="134"/>
    </row>
    <row r="5" spans="1:6" ht="47.25" x14ac:dyDescent="0.25">
      <c r="A5" s="48" t="s">
        <v>3082</v>
      </c>
      <c r="B5" s="46" t="s">
        <v>3083</v>
      </c>
      <c r="C5" s="46" t="s">
        <v>2638</v>
      </c>
      <c r="D5" s="46" t="s">
        <v>3084</v>
      </c>
      <c r="E5" s="46" t="s">
        <v>3085</v>
      </c>
      <c r="F5" s="49" t="s">
        <v>3086</v>
      </c>
    </row>
    <row r="6" spans="1:6" ht="15.75" x14ac:dyDescent="0.25">
      <c r="A6" s="131" t="s">
        <v>3093</v>
      </c>
      <c r="B6" s="46">
        <v>1</v>
      </c>
      <c r="C6" s="46" t="s">
        <v>3088</v>
      </c>
      <c r="D6" s="46">
        <v>40</v>
      </c>
      <c r="E6" s="46" t="s">
        <v>3089</v>
      </c>
      <c r="F6" s="134">
        <v>7.65</v>
      </c>
    </row>
    <row r="7" spans="1:6" ht="31.5" x14ac:dyDescent="0.25">
      <c r="A7" s="131"/>
      <c r="B7" s="46">
        <v>2</v>
      </c>
      <c r="C7" s="46" t="s">
        <v>3094</v>
      </c>
      <c r="D7" s="46">
        <v>40</v>
      </c>
      <c r="E7" s="46" t="s">
        <v>3095</v>
      </c>
      <c r="F7" s="134"/>
    </row>
    <row r="8" spans="1:6" ht="15.75" x14ac:dyDescent="0.25">
      <c r="A8" s="131"/>
      <c r="B8" s="46">
        <v>3</v>
      </c>
      <c r="C8" s="46" t="s">
        <v>3096</v>
      </c>
      <c r="D8" s="46">
        <v>40</v>
      </c>
      <c r="E8" s="46" t="s">
        <v>3097</v>
      </c>
      <c r="F8" s="134"/>
    </row>
    <row r="9" spans="1:6" ht="15.75" x14ac:dyDescent="0.25">
      <c r="A9" s="131" t="s">
        <v>3092</v>
      </c>
      <c r="B9" s="128"/>
      <c r="C9" s="128"/>
      <c r="D9" s="128"/>
      <c r="E9" s="128"/>
      <c r="F9" s="134"/>
    </row>
    <row r="10" spans="1:6" ht="47.25" x14ac:dyDescent="0.25">
      <c r="A10" s="48" t="s">
        <v>3082</v>
      </c>
      <c r="B10" s="46" t="s">
        <v>3083</v>
      </c>
      <c r="C10" s="46" t="s">
        <v>2638</v>
      </c>
      <c r="D10" s="46" t="s">
        <v>3084</v>
      </c>
      <c r="E10" s="46" t="s">
        <v>3085</v>
      </c>
      <c r="F10" s="49" t="s">
        <v>3086</v>
      </c>
    </row>
    <row r="11" spans="1:6" ht="15.75" x14ac:dyDescent="0.25">
      <c r="A11" s="131" t="s">
        <v>3098</v>
      </c>
      <c r="B11" s="46">
        <v>1</v>
      </c>
      <c r="C11" s="46" t="s">
        <v>3099</v>
      </c>
      <c r="D11" s="46">
        <v>80</v>
      </c>
      <c r="E11" s="46" t="s">
        <v>3100</v>
      </c>
      <c r="F11" s="134">
        <v>140</v>
      </c>
    </row>
    <row r="12" spans="1:6" ht="15.75" x14ac:dyDescent="0.25">
      <c r="A12" s="131"/>
      <c r="B12" s="46">
        <v>2</v>
      </c>
      <c r="C12" s="46" t="s">
        <v>3101</v>
      </c>
      <c r="D12" s="46">
        <v>4760</v>
      </c>
      <c r="E12" s="46" t="s">
        <v>3102</v>
      </c>
      <c r="F12" s="134"/>
    </row>
    <row r="13" spans="1:6" ht="16.5" thickBot="1" x14ac:dyDescent="0.3">
      <c r="A13" s="140" t="s">
        <v>3092</v>
      </c>
      <c r="B13" s="139"/>
      <c r="C13" s="139"/>
      <c r="D13" s="139"/>
      <c r="E13" s="139"/>
      <c r="F13" s="141"/>
    </row>
  </sheetData>
  <mergeCells count="9">
    <mergeCell ref="A11:A12"/>
    <mergeCell ref="F11:F12"/>
    <mergeCell ref="A13:F13"/>
    <mergeCell ref="A2:A3"/>
    <mergeCell ref="F2:F3"/>
    <mergeCell ref="A4:F4"/>
    <mergeCell ref="A6:A8"/>
    <mergeCell ref="F6:F8"/>
    <mergeCell ref="A9:F9"/>
  </mergeCells>
  <conditionalFormatting sqref="A1:F13">
    <cfRule type="containsText" dxfId="37" priority="1" stopIfTrue="1" operator="containsText" text="С ЛИСТА">
      <formula>NOT(ISERROR(SEARCH("С ЛИСТА",A1)))</formula>
    </cfRule>
    <cfRule type="containsText" dxfId="36" priority="2" stopIfTrue="1" operator="containsText" text="ИЗ ФАЙЛА">
      <formula>NOT(ISERROR(SEARCH("ИЗ ФАЙЛА",A1)))</formula>
    </cfRule>
    <cfRule type="containsText" dxfId="35" priority="3" stopIfTrue="1" operator="containsText" text="!!!">
      <formula>NOT(ISERROR(SEARCH("!!!",A1)))</formula>
    </cfRule>
    <cfRule type="containsText" dxfId="34" priority="4" stopIfTrue="1" operator="containsText" text=" Изделия ">
      <formula>NOT(ISERROR(SEARCH(" Изделия ",A1)))</formula>
    </cfRule>
    <cfRule type="containsText" dxfId="33" priority="5" stopIfTrue="1" operator="containsText" text=" Прокат ">
      <formula>NOT(ISERROR(SEARCH(" Прокат ",A1)))</formula>
    </cfRule>
    <cfRule type="containsText" dxfId="32" priority="6" stopIfTrue="1" operator="containsText" text=" Сборочные единицы ">
      <formula>NOT(ISERROR(SEARCH(" Сборочные единицы ",A1)))</formula>
    </cfRule>
    <cfRule type="containsText" dxfId="31" priority="7" stopIfTrue="1" operator="containsText" text=" Материалы ">
      <formula>NOT(ISERROR(SEARCH(" Материалы ",A1)))</formula>
    </cfRule>
    <cfRule type="containsText" dxfId="30" priority="8" stopIfTrue="1" operator="containsText" text="Элементы на отм.">
      <formula>NOT(ISERROR(SEARCH("Элементы на отм.",A1)))</formula>
    </cfRule>
    <cfRule type="containsText" dxfId="29" priority="9" stopIfTrue="1" operator="containsText" text=", на ">
      <formula>NOT(ISERROR(SEARCH(", на ",A1)))</formula>
    </cfRule>
    <cfRule type="containsText" dxfId="28" priority="10" stopIfTrue="1" operator="containsText" text="шт.)">
      <formula>NOT(ISERROR(SEARCH("шт.)",A1)))</formula>
    </cfRule>
  </conditionalFormatting>
  <pageMargins left="0" right="0" top="0" bottom="0" header="0" footer="0"/>
  <pageSetup paperSize="9" fitToHeight="0" orientation="portrait" r:id="rId1"/>
  <rowBreaks count="3" manualBreakCount="3">
    <brk id="4" max="16383" man="1"/>
    <brk id="9" max="16383" man="1"/>
    <brk id="13" max="16383" man="1"/>
  </rowBreaks>
  <colBreaks count="1" manualBreakCount="1">
    <brk id="5" max="1048575" man="1"/>
  </colBreak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>
    <tabColor rgb="FF000000"/>
  </sheetPr>
  <dimension ref="A1:F4"/>
  <sheetViews>
    <sheetView workbookViewId="0">
      <selection activeCell="C11" sqref="C11"/>
    </sheetView>
  </sheetViews>
  <sheetFormatPr defaultRowHeight="15" x14ac:dyDescent="0.25"/>
  <cols>
    <col min="1" max="1" width="8.140625" style="9" customWidth="1"/>
    <col min="2" max="2" width="29.7109375" style="9" customWidth="1"/>
    <col min="3" max="3" width="35.140625" style="9" customWidth="1"/>
    <col min="4" max="4" width="10.85546875" style="9" customWidth="1"/>
    <col min="5" max="6" width="13.5703125" style="9" customWidth="1"/>
    <col min="7" max="8" width="10.85546875" style="9" customWidth="1"/>
    <col min="9" max="10" width="13.5703125" style="9" customWidth="1"/>
    <col min="11" max="16384" width="9.140625" style="9"/>
  </cols>
  <sheetData>
    <row r="1" spans="1:6" ht="42.6" customHeight="1" x14ac:dyDescent="0.25">
      <c r="A1" s="41" t="s">
        <v>2829</v>
      </c>
      <c r="B1" s="36" t="s">
        <v>2637</v>
      </c>
      <c r="C1" s="36" t="s">
        <v>2638</v>
      </c>
      <c r="D1" s="36" t="s">
        <v>2830</v>
      </c>
      <c r="E1" s="36" t="s">
        <v>2831</v>
      </c>
      <c r="F1" s="38" t="s">
        <v>2719</v>
      </c>
    </row>
    <row r="2" spans="1:6" ht="31.5" x14ac:dyDescent="0.25">
      <c r="A2" s="142" t="s">
        <v>2832</v>
      </c>
      <c r="B2" s="144" t="s">
        <v>2833</v>
      </c>
      <c r="C2" s="40" t="s">
        <v>2834</v>
      </c>
      <c r="D2" s="40">
        <v>12</v>
      </c>
      <c r="E2" s="40" t="s">
        <v>4</v>
      </c>
      <c r="F2" s="42" t="s">
        <v>2720</v>
      </c>
    </row>
    <row r="3" spans="1:6" ht="22.7" customHeight="1" thickBot="1" x14ac:dyDescent="0.3">
      <c r="A3" s="143"/>
      <c r="B3" s="116"/>
      <c r="C3" s="37" t="s">
        <v>2973</v>
      </c>
      <c r="D3" s="37">
        <v>48</v>
      </c>
      <c r="E3" s="37">
        <v>1.5</v>
      </c>
      <c r="F3" s="39" t="s">
        <v>20</v>
      </c>
    </row>
    <row r="4" spans="1:6" ht="22.7" customHeight="1" x14ac:dyDescent="0.25"/>
  </sheetData>
  <mergeCells count="2">
    <mergeCell ref="A2:A3"/>
    <mergeCell ref="B2:B3"/>
  </mergeCells>
  <conditionalFormatting sqref="A1:F3">
    <cfRule type="containsText" dxfId="27" priority="1" stopIfTrue="1" operator="containsText" text="С ЛИСТА">
      <formula>NOT(ISERROR(SEARCH("С ЛИСТА",A1)))</formula>
    </cfRule>
    <cfRule type="containsText" dxfId="26" priority="2" stopIfTrue="1" operator="containsText" text="ИЗ ФАЙЛА">
      <formula>NOT(ISERROR(SEARCH("ИЗ ФАЙЛА",A1)))</formula>
    </cfRule>
    <cfRule type="containsText" dxfId="25" priority="3" stopIfTrue="1" operator="containsText" text="!!!">
      <formula>NOT(ISERROR(SEARCH("!!!",A1)))</formula>
    </cfRule>
    <cfRule type="containsText" dxfId="24" priority="4" stopIfTrue="1" operator="containsText" text=" Изделия ">
      <formula>NOT(ISERROR(SEARCH(" Изделия ",A1)))</formula>
    </cfRule>
    <cfRule type="containsText" dxfId="23" priority="5" stopIfTrue="1" operator="containsText" text=" Прокат ">
      <formula>NOT(ISERROR(SEARCH(" Прокат ",A1)))</formula>
    </cfRule>
    <cfRule type="containsText" dxfId="22" priority="6" stopIfTrue="1" operator="containsText" text=" Сборочные единицы ">
      <formula>NOT(ISERROR(SEARCH(" Сборочные единицы ",A1)))</formula>
    </cfRule>
    <cfRule type="containsText" dxfId="21" priority="7" stopIfTrue="1" operator="containsText" text=" Материалы ">
      <formula>NOT(ISERROR(SEARCH(" Материалы ",A1)))</formula>
    </cfRule>
    <cfRule type="containsText" dxfId="20" priority="8" stopIfTrue="1" operator="containsText" text="Элементы на отм.">
      <formula>NOT(ISERROR(SEARCH("Элементы на отм.",A1)))</formula>
    </cfRule>
    <cfRule type="containsText" dxfId="19" priority="9" stopIfTrue="1" operator="containsText" text=", на ">
      <formula>NOT(ISERROR(SEARCH(", на ",A1)))</formula>
    </cfRule>
    <cfRule type="containsText" dxfId="18" priority="10" stopIfTrue="1" operator="containsText" text="шт.)">
      <formula>NOT(ISERROR(SEARCH("шт.)",A1)))</formula>
    </cfRule>
  </conditionalFormatting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2">
    <tabColor rgb="FF000000" tint="1"/>
  </sheetPr>
  <dimension ref="A1:AV806"/>
  <sheetViews>
    <sheetView workbookViewId="0"/>
  </sheetViews>
  <sheetFormatPr defaultRowHeight="15" x14ac:dyDescent="0.25"/>
  <sheetData>
    <row r="1" spans="1:48" x14ac:dyDescent="0.25">
      <c r="A1" t="s">
        <v>44</v>
      </c>
      <c r="B1" t="s">
        <v>6</v>
      </c>
      <c r="C1" t="s">
        <v>1181</v>
      </c>
      <c r="D1" t="s">
        <v>1608</v>
      </c>
      <c r="E1" t="s">
        <v>2377</v>
      </c>
      <c r="F1" t="s">
        <v>1780</v>
      </c>
      <c r="G1" t="s">
        <v>1942</v>
      </c>
      <c r="H1" t="s">
        <v>1960</v>
      </c>
      <c r="I1" t="s">
        <v>1991</v>
      </c>
      <c r="J1" t="s">
        <v>2021</v>
      </c>
      <c r="K1" t="s">
        <v>2038</v>
      </c>
      <c r="L1" t="s">
        <v>2046</v>
      </c>
      <c r="M1" t="s">
        <v>2168</v>
      </c>
      <c r="N1" t="s">
        <v>2231</v>
      </c>
      <c r="O1" t="s">
        <v>2346</v>
      </c>
      <c r="P1" t="s">
        <v>2356</v>
      </c>
      <c r="Q1" t="s">
        <v>2380</v>
      </c>
      <c r="R1" t="s">
        <v>2621</v>
      </c>
      <c r="S1" t="s">
        <v>2380</v>
      </c>
      <c r="T1" t="s">
        <v>2389</v>
      </c>
      <c r="U1" t="s">
        <v>2392</v>
      </c>
      <c r="V1" t="s">
        <v>2493</v>
      </c>
      <c r="W1" t="s">
        <v>2544</v>
      </c>
      <c r="X1" t="s">
        <v>2568</v>
      </c>
      <c r="AA1" t="s">
        <v>2</v>
      </c>
      <c r="AB1" t="s">
        <v>1</v>
      </c>
      <c r="AC1" t="s">
        <v>2359</v>
      </c>
      <c r="AD1" t="s">
        <v>2360</v>
      </c>
      <c r="AE1" t="s">
        <v>2361</v>
      </c>
      <c r="AF1" t="s">
        <v>2362</v>
      </c>
      <c r="AG1" t="s">
        <v>2363</v>
      </c>
      <c r="AH1" t="s">
        <v>2364</v>
      </c>
      <c r="AJ1" t="s">
        <v>17</v>
      </c>
      <c r="AK1" t="s">
        <v>5</v>
      </c>
      <c r="AL1" t="s">
        <v>18</v>
      </c>
      <c r="AM1" t="s">
        <v>2366</v>
      </c>
      <c r="AN1" t="s">
        <v>19</v>
      </c>
      <c r="AO1" t="s">
        <v>2367</v>
      </c>
      <c r="AP1" t="s">
        <v>2368</v>
      </c>
      <c r="AQ1" t="s">
        <v>2370</v>
      </c>
      <c r="AU1" t="s">
        <v>0</v>
      </c>
      <c r="AV1" t="s">
        <v>4</v>
      </c>
    </row>
    <row r="2" spans="1:48" x14ac:dyDescent="0.25">
      <c r="A2" t="s">
        <v>45</v>
      </c>
      <c r="B2" t="s">
        <v>45</v>
      </c>
      <c r="F2" t="s">
        <v>1781</v>
      </c>
      <c r="G2">
        <v>0</v>
      </c>
      <c r="H2">
        <v>0</v>
      </c>
      <c r="I2">
        <v>0</v>
      </c>
      <c r="J2">
        <v>0</v>
      </c>
      <c r="K2">
        <v>0</v>
      </c>
      <c r="P2">
        <v>0</v>
      </c>
      <c r="Q2">
        <v>0</v>
      </c>
      <c r="R2">
        <v>0</v>
      </c>
      <c r="S2">
        <v>0</v>
      </c>
      <c r="T2">
        <v>0</v>
      </c>
      <c r="U2" t="s">
        <v>45</v>
      </c>
      <c r="V2" t="s">
        <v>1781</v>
      </c>
      <c r="W2" t="s">
        <v>1781</v>
      </c>
      <c r="AA2">
        <v>4</v>
      </c>
      <c r="AB2">
        <v>6</v>
      </c>
      <c r="AC2">
        <v>32</v>
      </c>
      <c r="AD2">
        <v>6</v>
      </c>
      <c r="AE2">
        <v>10</v>
      </c>
      <c r="AF2">
        <v>10</v>
      </c>
      <c r="AG2">
        <v>3</v>
      </c>
      <c r="AH2">
        <v>3</v>
      </c>
      <c r="AJ2" t="s">
        <v>2365</v>
      </c>
      <c r="AK2" t="s">
        <v>2365</v>
      </c>
      <c r="AL2" t="s">
        <v>2365</v>
      </c>
      <c r="AM2" t="s">
        <v>2365</v>
      </c>
      <c r="AN2" t="s">
        <v>2365</v>
      </c>
      <c r="AO2" t="s">
        <v>2365</v>
      </c>
      <c r="AP2" t="s">
        <v>2369</v>
      </c>
      <c r="AQ2" t="s">
        <v>2371</v>
      </c>
      <c r="AU2" t="s">
        <v>20</v>
      </c>
      <c r="AV2" t="s">
        <v>21</v>
      </c>
    </row>
    <row r="3" spans="1:48" x14ac:dyDescent="0.25">
      <c r="A3" t="s">
        <v>46</v>
      </c>
      <c r="B3" t="s">
        <v>850</v>
      </c>
      <c r="C3" t="s">
        <v>1182</v>
      </c>
      <c r="D3" t="s">
        <v>244</v>
      </c>
      <c r="E3" t="s">
        <v>46</v>
      </c>
      <c r="F3" t="s">
        <v>1782</v>
      </c>
      <c r="G3" t="s">
        <v>1943</v>
      </c>
      <c r="H3" t="s">
        <v>1961</v>
      </c>
      <c r="I3" t="s">
        <v>1992</v>
      </c>
      <c r="J3" t="s">
        <v>2022</v>
      </c>
      <c r="K3" t="s">
        <v>2039</v>
      </c>
      <c r="L3" t="s">
        <v>2047</v>
      </c>
      <c r="M3" t="s">
        <v>2169</v>
      </c>
      <c r="N3" t="s">
        <v>2232</v>
      </c>
      <c r="O3" t="s">
        <v>2347</v>
      </c>
      <c r="P3" t="s">
        <v>2582</v>
      </c>
      <c r="Q3" t="s">
        <v>2381</v>
      </c>
      <c r="R3" t="s">
        <v>2622</v>
      </c>
      <c r="S3" t="s">
        <v>2381</v>
      </c>
      <c r="T3" t="s">
        <v>2390</v>
      </c>
      <c r="U3" t="s">
        <v>2393</v>
      </c>
      <c r="V3" t="s">
        <v>2494</v>
      </c>
      <c r="W3" t="s">
        <v>2545</v>
      </c>
      <c r="X3" t="s">
        <v>2569</v>
      </c>
      <c r="AA3">
        <v>5</v>
      </c>
      <c r="AB3">
        <v>7</v>
      </c>
      <c r="AC3">
        <v>36</v>
      </c>
      <c r="AD3">
        <v>7</v>
      </c>
      <c r="AE3">
        <v>12</v>
      </c>
      <c r="AF3">
        <v>12</v>
      </c>
      <c r="AG3">
        <v>4</v>
      </c>
      <c r="AH3">
        <v>4</v>
      </c>
      <c r="AU3" t="s">
        <v>2372</v>
      </c>
      <c r="AV3" t="s">
        <v>22</v>
      </c>
    </row>
    <row r="4" spans="1:48" x14ac:dyDescent="0.25">
      <c r="A4" t="s">
        <v>47</v>
      </c>
      <c r="B4" t="s">
        <v>851</v>
      </c>
      <c r="C4" t="s">
        <v>1183</v>
      </c>
      <c r="D4" t="s">
        <v>246</v>
      </c>
      <c r="E4" t="s">
        <v>65</v>
      </c>
      <c r="F4" t="s">
        <v>1783</v>
      </c>
      <c r="G4" t="s">
        <v>1944</v>
      </c>
      <c r="H4" t="s">
        <v>1962</v>
      </c>
      <c r="I4" t="s">
        <v>1993</v>
      </c>
      <c r="J4" t="s">
        <v>2023</v>
      </c>
      <c r="K4" t="s">
        <v>2040</v>
      </c>
      <c r="L4" t="s">
        <v>2048</v>
      </c>
      <c r="M4" t="s">
        <v>2170</v>
      </c>
      <c r="N4" t="s">
        <v>2233</v>
      </c>
      <c r="O4" t="s">
        <v>2061</v>
      </c>
      <c r="P4" t="s">
        <v>2583</v>
      </c>
      <c r="Q4" t="s">
        <v>2382</v>
      </c>
      <c r="R4" t="s">
        <v>2623</v>
      </c>
      <c r="S4" t="s">
        <v>2382</v>
      </c>
      <c r="T4" t="s">
        <v>2391</v>
      </c>
      <c r="U4" t="s">
        <v>2394</v>
      </c>
      <c r="V4" t="s">
        <v>2495</v>
      </c>
      <c r="W4" t="s">
        <v>2546</v>
      </c>
      <c r="X4" t="s">
        <v>2570</v>
      </c>
      <c r="AA4">
        <v>6</v>
      </c>
      <c r="AB4">
        <v>8</v>
      </c>
      <c r="AC4">
        <v>40</v>
      </c>
      <c r="AD4">
        <v>8</v>
      </c>
      <c r="AE4">
        <v>14</v>
      </c>
      <c r="AF4">
        <v>14</v>
      </c>
      <c r="AG4">
        <v>5</v>
      </c>
      <c r="AH4">
        <v>5</v>
      </c>
      <c r="AU4" t="s">
        <v>3</v>
      </c>
      <c r="AV4" t="s">
        <v>23</v>
      </c>
    </row>
    <row r="5" spans="1:48" x14ac:dyDescent="0.25">
      <c r="A5" t="s">
        <v>48</v>
      </c>
      <c r="B5" t="s">
        <v>852</v>
      </c>
      <c r="C5" t="s">
        <v>1184</v>
      </c>
      <c r="D5" t="s">
        <v>248</v>
      </c>
      <c r="E5" t="s">
        <v>68</v>
      </c>
      <c r="F5" t="s">
        <v>1784</v>
      </c>
      <c r="G5" t="s">
        <v>1945</v>
      </c>
      <c r="H5" t="s">
        <v>1963</v>
      </c>
      <c r="I5" t="s">
        <v>1994</v>
      </c>
      <c r="J5" t="s">
        <v>2024</v>
      </c>
      <c r="K5" t="s">
        <v>2041</v>
      </c>
      <c r="L5" t="s">
        <v>2049</v>
      </c>
      <c r="M5" t="s">
        <v>2171</v>
      </c>
      <c r="N5" t="s">
        <v>2234</v>
      </c>
      <c r="O5" t="s">
        <v>2061</v>
      </c>
      <c r="P5" t="s">
        <v>2584</v>
      </c>
      <c r="Q5" t="s">
        <v>2383</v>
      </c>
      <c r="R5" t="s">
        <v>2624</v>
      </c>
      <c r="S5" t="s">
        <v>2383</v>
      </c>
      <c r="U5" t="s">
        <v>2395</v>
      </c>
      <c r="V5" t="s">
        <v>2496</v>
      </c>
      <c r="W5" t="s">
        <v>2547</v>
      </c>
      <c r="X5" t="s">
        <v>2571</v>
      </c>
      <c r="AA5">
        <v>8</v>
      </c>
      <c r="AB5">
        <v>10</v>
      </c>
      <c r="AC5">
        <v>45</v>
      </c>
      <c r="AD5">
        <v>10</v>
      </c>
      <c r="AE5">
        <v>16</v>
      </c>
      <c r="AF5">
        <v>16</v>
      </c>
      <c r="AH5">
        <v>6</v>
      </c>
      <c r="AU5" t="s">
        <v>2373</v>
      </c>
      <c r="AV5" t="s">
        <v>2375</v>
      </c>
    </row>
    <row r="6" spans="1:48" x14ac:dyDescent="0.25">
      <c r="A6" t="s">
        <v>49</v>
      </c>
      <c r="B6" t="s">
        <v>853</v>
      </c>
      <c r="C6" t="s">
        <v>1185</v>
      </c>
      <c r="D6" t="s">
        <v>1609</v>
      </c>
      <c r="E6" t="s">
        <v>93</v>
      </c>
      <c r="F6" t="s">
        <v>1785</v>
      </c>
      <c r="G6" t="s">
        <v>1946</v>
      </c>
      <c r="H6" t="s">
        <v>1964</v>
      </c>
      <c r="I6" t="s">
        <v>16</v>
      </c>
      <c r="J6" t="s">
        <v>2025</v>
      </c>
      <c r="K6" t="s">
        <v>2042</v>
      </c>
      <c r="L6" t="s">
        <v>2050</v>
      </c>
      <c r="M6" t="s">
        <v>2172</v>
      </c>
      <c r="N6" t="s">
        <v>2235</v>
      </c>
      <c r="O6" t="s">
        <v>2069</v>
      </c>
      <c r="P6" t="s">
        <v>2585</v>
      </c>
      <c r="Q6" t="s">
        <v>2384</v>
      </c>
      <c r="R6" t="s">
        <v>2625</v>
      </c>
      <c r="S6" t="s">
        <v>2384</v>
      </c>
      <c r="U6" t="s">
        <v>2396</v>
      </c>
      <c r="V6" t="s">
        <v>2497</v>
      </c>
      <c r="W6" t="s">
        <v>2548</v>
      </c>
      <c r="X6" t="s">
        <v>2572</v>
      </c>
      <c r="AA6">
        <v>10</v>
      </c>
      <c r="AB6">
        <v>12</v>
      </c>
      <c r="AC6">
        <v>50</v>
      </c>
      <c r="AD6">
        <v>12</v>
      </c>
      <c r="AE6">
        <v>18</v>
      </c>
      <c r="AF6">
        <v>18</v>
      </c>
      <c r="AH6">
        <v>7</v>
      </c>
      <c r="AU6" t="s">
        <v>2374</v>
      </c>
    </row>
    <row r="7" spans="1:48" x14ac:dyDescent="0.25">
      <c r="A7" t="s">
        <v>50</v>
      </c>
      <c r="B7" t="s">
        <v>854</v>
      </c>
      <c r="C7" t="s">
        <v>1186</v>
      </c>
      <c r="D7" t="s">
        <v>1610</v>
      </c>
      <c r="E7" t="s">
        <v>96</v>
      </c>
      <c r="F7" t="s">
        <v>1786</v>
      </c>
      <c r="G7" t="s">
        <v>1947</v>
      </c>
      <c r="H7" t="s">
        <v>1965</v>
      </c>
      <c r="I7" t="s">
        <v>1995</v>
      </c>
      <c r="J7" t="s">
        <v>2026</v>
      </c>
      <c r="K7" t="s">
        <v>2042</v>
      </c>
      <c r="L7" t="s">
        <v>2051</v>
      </c>
      <c r="M7" t="s">
        <v>2173</v>
      </c>
      <c r="N7" t="s">
        <v>2236</v>
      </c>
      <c r="O7" t="s">
        <v>2070</v>
      </c>
      <c r="P7" t="s">
        <v>2586</v>
      </c>
      <c r="Q7" t="s">
        <v>2385</v>
      </c>
      <c r="R7" t="s">
        <v>2626</v>
      </c>
      <c r="S7" t="s">
        <v>2385</v>
      </c>
      <c r="U7" t="s">
        <v>2397</v>
      </c>
      <c r="V7" t="s">
        <v>2498</v>
      </c>
      <c r="W7" t="s">
        <v>2549</v>
      </c>
      <c r="X7" t="s">
        <v>2573</v>
      </c>
      <c r="AA7">
        <v>12</v>
      </c>
      <c r="AB7">
        <v>14</v>
      </c>
      <c r="AC7">
        <v>55</v>
      </c>
      <c r="AD7">
        <v>14</v>
      </c>
      <c r="AE7">
        <v>20</v>
      </c>
      <c r="AF7">
        <v>20</v>
      </c>
      <c r="AH7">
        <v>8</v>
      </c>
    </row>
    <row r="8" spans="1:48" x14ac:dyDescent="0.25">
      <c r="A8" t="s">
        <v>51</v>
      </c>
      <c r="B8" t="s">
        <v>855</v>
      </c>
      <c r="C8" t="s">
        <v>1187</v>
      </c>
      <c r="D8" t="s">
        <v>1611</v>
      </c>
      <c r="E8" t="s">
        <v>99</v>
      </c>
      <c r="F8" t="s">
        <v>1787</v>
      </c>
      <c r="G8" t="s">
        <v>1948</v>
      </c>
      <c r="H8" t="s">
        <v>1966</v>
      </c>
      <c r="I8" t="s">
        <v>1996</v>
      </c>
      <c r="J8" t="s">
        <v>2027</v>
      </c>
      <c r="K8" t="s">
        <v>2043</v>
      </c>
      <c r="L8" t="s">
        <v>2052</v>
      </c>
      <c r="M8" t="s">
        <v>2174</v>
      </c>
      <c r="N8" t="s">
        <v>2237</v>
      </c>
      <c r="O8" t="s">
        <v>2348</v>
      </c>
      <c r="P8" t="s">
        <v>2587</v>
      </c>
      <c r="Q8" t="s">
        <v>2386</v>
      </c>
      <c r="R8" t="s">
        <v>2627</v>
      </c>
      <c r="S8" t="s">
        <v>2386</v>
      </c>
      <c r="U8" t="s">
        <v>2398</v>
      </c>
      <c r="V8" t="s">
        <v>2499</v>
      </c>
      <c r="W8" t="s">
        <v>2550</v>
      </c>
      <c r="X8" t="s">
        <v>2574</v>
      </c>
      <c r="AA8">
        <v>14</v>
      </c>
      <c r="AB8">
        <v>16</v>
      </c>
      <c r="AC8">
        <v>60</v>
      </c>
      <c r="AD8">
        <v>16</v>
      </c>
      <c r="AE8">
        <v>22</v>
      </c>
      <c r="AF8">
        <v>22</v>
      </c>
    </row>
    <row r="9" spans="1:48" x14ac:dyDescent="0.25">
      <c r="A9" t="s">
        <v>52</v>
      </c>
      <c r="B9" t="s">
        <v>856</v>
      </c>
      <c r="C9" t="s">
        <v>1188</v>
      </c>
      <c r="D9" t="s">
        <v>1612</v>
      </c>
      <c r="E9" t="s">
        <v>132</v>
      </c>
      <c r="F9" t="s">
        <v>1788</v>
      </c>
      <c r="G9" t="s">
        <v>15</v>
      </c>
      <c r="H9" t="s">
        <v>1967</v>
      </c>
      <c r="I9" t="s">
        <v>1997</v>
      </c>
      <c r="J9" t="s">
        <v>2028</v>
      </c>
      <c r="K9" t="s">
        <v>2044</v>
      </c>
      <c r="L9" t="s">
        <v>2053</v>
      </c>
      <c r="M9" t="s">
        <v>2175</v>
      </c>
      <c r="N9" t="s">
        <v>2238</v>
      </c>
      <c r="O9" t="s">
        <v>2077</v>
      </c>
      <c r="P9" t="s">
        <v>2588</v>
      </c>
      <c r="Q9" t="s">
        <v>2387</v>
      </c>
      <c r="R9" t="s">
        <v>2628</v>
      </c>
      <c r="S9" t="s">
        <v>2387</v>
      </c>
      <c r="U9" t="s">
        <v>2399</v>
      </c>
      <c r="V9" t="s">
        <v>2500</v>
      </c>
      <c r="W9" t="s">
        <v>2551</v>
      </c>
      <c r="X9" t="s">
        <v>2575</v>
      </c>
      <c r="AA9">
        <v>16</v>
      </c>
      <c r="AB9">
        <v>18</v>
      </c>
      <c r="AC9">
        <v>70</v>
      </c>
      <c r="AD9">
        <v>18</v>
      </c>
      <c r="AF9">
        <v>25</v>
      </c>
    </row>
    <row r="10" spans="1:48" x14ac:dyDescent="0.25">
      <c r="A10" t="s">
        <v>53</v>
      </c>
      <c r="B10" t="s">
        <v>857</v>
      </c>
      <c r="C10" t="s">
        <v>1189</v>
      </c>
      <c r="D10" t="s">
        <v>1613</v>
      </c>
      <c r="E10" t="s">
        <v>135</v>
      </c>
      <c r="F10" t="s">
        <v>1789</v>
      </c>
      <c r="G10" t="s">
        <v>1949</v>
      </c>
      <c r="H10" t="s">
        <v>1968</v>
      </c>
      <c r="I10" t="s">
        <v>1998</v>
      </c>
      <c r="J10" t="s">
        <v>2029</v>
      </c>
      <c r="K10" t="s">
        <v>2045</v>
      </c>
      <c r="L10" t="s">
        <v>2054</v>
      </c>
      <c r="M10" t="s">
        <v>2176</v>
      </c>
      <c r="N10" t="s">
        <v>2239</v>
      </c>
      <c r="O10" t="s">
        <v>2087</v>
      </c>
      <c r="P10" t="s">
        <v>2589</v>
      </c>
      <c r="Q10" t="s">
        <v>2388</v>
      </c>
      <c r="R10" t="s">
        <v>2629</v>
      </c>
      <c r="S10" t="s">
        <v>2388</v>
      </c>
      <c r="U10" t="s">
        <v>2400</v>
      </c>
      <c r="V10" t="s">
        <v>2501</v>
      </c>
      <c r="W10" t="s">
        <v>2552</v>
      </c>
      <c r="X10" t="s">
        <v>2576</v>
      </c>
      <c r="AA10">
        <v>18</v>
      </c>
      <c r="AB10">
        <v>20</v>
      </c>
      <c r="AC10">
        <v>80</v>
      </c>
      <c r="AD10">
        <v>20</v>
      </c>
      <c r="AF10">
        <v>28</v>
      </c>
    </row>
    <row r="11" spans="1:48" x14ac:dyDescent="0.25">
      <c r="A11" t="s">
        <v>54</v>
      </c>
      <c r="B11" t="s">
        <v>366</v>
      </c>
      <c r="C11" t="s">
        <v>1190</v>
      </c>
      <c r="D11" t="s">
        <v>1614</v>
      </c>
      <c r="E11" t="s">
        <v>138</v>
      </c>
      <c r="F11" t="s">
        <v>1790</v>
      </c>
      <c r="G11" t="s">
        <v>1950</v>
      </c>
      <c r="H11" t="s">
        <v>1969</v>
      </c>
      <c r="I11" t="s">
        <v>1999</v>
      </c>
      <c r="J11" t="s">
        <v>2030</v>
      </c>
      <c r="L11" t="s">
        <v>2055</v>
      </c>
      <c r="M11" t="s">
        <v>2177</v>
      </c>
      <c r="N11" t="s">
        <v>1835</v>
      </c>
      <c r="O11" t="s">
        <v>2349</v>
      </c>
      <c r="P11" t="s">
        <v>2590</v>
      </c>
      <c r="R11" t="s">
        <v>2630</v>
      </c>
      <c r="U11" t="s">
        <v>2401</v>
      </c>
      <c r="V11" t="s">
        <v>2502</v>
      </c>
      <c r="W11" t="s">
        <v>2553</v>
      </c>
      <c r="X11" t="s">
        <v>2577</v>
      </c>
      <c r="AA11">
        <v>20</v>
      </c>
      <c r="AB11">
        <v>22</v>
      </c>
      <c r="AD11">
        <v>22</v>
      </c>
      <c r="AF11">
        <v>32</v>
      </c>
    </row>
    <row r="12" spans="1:48" x14ac:dyDescent="0.25">
      <c r="A12" t="s">
        <v>55</v>
      </c>
      <c r="B12" t="s">
        <v>367</v>
      </c>
      <c r="C12" t="s">
        <v>1191</v>
      </c>
      <c r="D12" t="s">
        <v>1615</v>
      </c>
      <c r="E12" t="s">
        <v>140</v>
      </c>
      <c r="F12" t="s">
        <v>1791</v>
      </c>
      <c r="G12" t="s">
        <v>1951</v>
      </c>
      <c r="H12" t="s">
        <v>1970</v>
      </c>
      <c r="I12" t="s">
        <v>2000</v>
      </c>
      <c r="J12" t="s">
        <v>2031</v>
      </c>
      <c r="L12" t="s">
        <v>2056</v>
      </c>
      <c r="M12" t="s">
        <v>2178</v>
      </c>
      <c r="N12" t="s">
        <v>1837</v>
      </c>
      <c r="O12" t="s">
        <v>2350</v>
      </c>
      <c r="P12" t="s">
        <v>2357</v>
      </c>
      <c r="R12" t="s">
        <v>2631</v>
      </c>
      <c r="U12" t="s">
        <v>2402</v>
      </c>
      <c r="V12" t="s">
        <v>2503</v>
      </c>
      <c r="W12" t="s">
        <v>2554</v>
      </c>
      <c r="X12" t="s">
        <v>2578</v>
      </c>
      <c r="AA12">
        <v>22</v>
      </c>
      <c r="AB12">
        <v>25</v>
      </c>
      <c r="AD12">
        <v>25</v>
      </c>
    </row>
    <row r="13" spans="1:48" x14ac:dyDescent="0.25">
      <c r="A13" t="s">
        <v>56</v>
      </c>
      <c r="B13" t="s">
        <v>368</v>
      </c>
      <c r="C13" t="s">
        <v>1192</v>
      </c>
      <c r="D13" t="s">
        <v>1616</v>
      </c>
      <c r="E13" t="s">
        <v>1742</v>
      </c>
      <c r="F13" t="s">
        <v>1792</v>
      </c>
      <c r="G13" t="s">
        <v>1952</v>
      </c>
      <c r="H13" t="s">
        <v>1971</v>
      </c>
      <c r="I13" t="s">
        <v>2001</v>
      </c>
      <c r="J13" t="s">
        <v>2032</v>
      </c>
      <c r="L13" t="s">
        <v>2057</v>
      </c>
      <c r="M13" t="s">
        <v>2179</v>
      </c>
      <c r="N13" t="s">
        <v>1845</v>
      </c>
      <c r="O13" t="s">
        <v>2098</v>
      </c>
      <c r="P13" t="s">
        <v>2591</v>
      </c>
      <c r="R13" t="s">
        <v>2632</v>
      </c>
      <c r="U13" t="s">
        <v>2403</v>
      </c>
      <c r="V13" t="s">
        <v>2504</v>
      </c>
      <c r="W13" t="s">
        <v>1745</v>
      </c>
      <c r="X13" t="s">
        <v>2579</v>
      </c>
      <c r="AA13">
        <v>25</v>
      </c>
      <c r="AB13">
        <v>28</v>
      </c>
      <c r="AD13">
        <v>28</v>
      </c>
    </row>
    <row r="14" spans="1:48" x14ac:dyDescent="0.25">
      <c r="A14" t="s">
        <v>57</v>
      </c>
      <c r="B14" t="s">
        <v>858</v>
      </c>
      <c r="C14" t="s">
        <v>1193</v>
      </c>
      <c r="D14" t="s">
        <v>1617</v>
      </c>
      <c r="E14" t="s">
        <v>174</v>
      </c>
      <c r="F14" t="s">
        <v>1793</v>
      </c>
      <c r="G14" t="s">
        <v>1953</v>
      </c>
      <c r="H14" t="s">
        <v>1972</v>
      </c>
      <c r="I14" t="s">
        <v>2002</v>
      </c>
      <c r="J14" t="s">
        <v>2033</v>
      </c>
      <c r="L14" t="s">
        <v>2058</v>
      </c>
      <c r="M14" t="s">
        <v>2180</v>
      </c>
      <c r="N14" t="s">
        <v>1846</v>
      </c>
      <c r="O14" t="s">
        <v>2099</v>
      </c>
      <c r="P14" t="s">
        <v>2592</v>
      </c>
      <c r="R14" t="s">
        <v>2633</v>
      </c>
      <c r="U14" t="s">
        <v>2404</v>
      </c>
      <c r="V14" t="s">
        <v>2505</v>
      </c>
      <c r="W14" t="s">
        <v>1777</v>
      </c>
      <c r="X14" t="s">
        <v>2580</v>
      </c>
      <c r="AA14">
        <v>28</v>
      </c>
      <c r="AB14">
        <v>32</v>
      </c>
      <c r="AD14">
        <v>32</v>
      </c>
    </row>
    <row r="15" spans="1:48" x14ac:dyDescent="0.25">
      <c r="A15" t="s">
        <v>58</v>
      </c>
      <c r="B15" t="s">
        <v>859</v>
      </c>
      <c r="C15" t="s">
        <v>1194</v>
      </c>
      <c r="D15" t="s">
        <v>1618</v>
      </c>
      <c r="E15" t="s">
        <v>176</v>
      </c>
      <c r="F15" t="s">
        <v>1794</v>
      </c>
      <c r="G15" t="s">
        <v>1954</v>
      </c>
      <c r="H15" t="s">
        <v>1973</v>
      </c>
      <c r="I15" t="s">
        <v>2003</v>
      </c>
      <c r="J15" t="s">
        <v>2034</v>
      </c>
      <c r="L15" t="s">
        <v>2059</v>
      </c>
      <c r="M15" t="s">
        <v>2181</v>
      </c>
      <c r="N15" t="s">
        <v>2240</v>
      </c>
      <c r="O15" t="s">
        <v>2100</v>
      </c>
      <c r="P15" t="s">
        <v>2593</v>
      </c>
      <c r="R15" t="s">
        <v>2634</v>
      </c>
      <c r="U15" t="s">
        <v>2405</v>
      </c>
      <c r="V15" t="s">
        <v>2506</v>
      </c>
      <c r="W15" t="s">
        <v>1747</v>
      </c>
      <c r="X15" t="s">
        <v>2581</v>
      </c>
      <c r="AA15">
        <v>32</v>
      </c>
      <c r="AB15">
        <v>36</v>
      </c>
      <c r="AD15">
        <v>36</v>
      </c>
    </row>
    <row r="16" spans="1:48" x14ac:dyDescent="0.25">
      <c r="A16" t="s">
        <v>59</v>
      </c>
      <c r="B16" t="s">
        <v>860</v>
      </c>
      <c r="C16" t="s">
        <v>1195</v>
      </c>
      <c r="D16" t="s">
        <v>1619</v>
      </c>
      <c r="E16" t="s">
        <v>1743</v>
      </c>
      <c r="F16" t="s">
        <v>1795</v>
      </c>
      <c r="G16" t="s">
        <v>1955</v>
      </c>
      <c r="H16" t="s">
        <v>1974</v>
      </c>
      <c r="I16" t="s">
        <v>2004</v>
      </c>
      <c r="J16" t="s">
        <v>2035</v>
      </c>
      <c r="L16" t="s">
        <v>2060</v>
      </c>
      <c r="M16" t="s">
        <v>2182</v>
      </c>
      <c r="N16" t="s">
        <v>2241</v>
      </c>
      <c r="O16" t="s">
        <v>2351</v>
      </c>
      <c r="P16" t="s">
        <v>2594</v>
      </c>
      <c r="U16" t="s">
        <v>2406</v>
      </c>
      <c r="V16" t="s">
        <v>2507</v>
      </c>
      <c r="W16" t="s">
        <v>1778</v>
      </c>
      <c r="AA16">
        <v>36</v>
      </c>
      <c r="AB16">
        <v>40</v>
      </c>
      <c r="AD16">
        <v>40</v>
      </c>
    </row>
    <row r="17" spans="1:27" x14ac:dyDescent="0.25">
      <c r="A17" t="s">
        <v>60</v>
      </c>
      <c r="B17" t="s">
        <v>861</v>
      </c>
      <c r="C17" t="s">
        <v>1196</v>
      </c>
      <c r="D17" t="s">
        <v>349</v>
      </c>
      <c r="E17" t="s">
        <v>1744</v>
      </c>
      <c r="F17" t="s">
        <v>1796</v>
      </c>
      <c r="G17" t="s">
        <v>1956</v>
      </c>
      <c r="H17" t="s">
        <v>1975</v>
      </c>
      <c r="I17" t="s">
        <v>2005</v>
      </c>
      <c r="J17" t="s">
        <v>2036</v>
      </c>
      <c r="L17" t="s">
        <v>2061</v>
      </c>
      <c r="M17" t="s">
        <v>2183</v>
      </c>
      <c r="N17" t="s">
        <v>2242</v>
      </c>
      <c r="O17" t="s">
        <v>2352</v>
      </c>
      <c r="P17" t="s">
        <v>2595</v>
      </c>
      <c r="U17" t="s">
        <v>2407</v>
      </c>
      <c r="V17" t="s">
        <v>2508</v>
      </c>
      <c r="W17" t="s">
        <v>1610</v>
      </c>
      <c r="AA17">
        <v>40</v>
      </c>
    </row>
    <row r="18" spans="1:27" x14ac:dyDescent="0.25">
      <c r="A18" t="s">
        <v>61</v>
      </c>
      <c r="B18" t="s">
        <v>862</v>
      </c>
      <c r="C18" t="s">
        <v>1197</v>
      </c>
      <c r="D18" t="s">
        <v>351</v>
      </c>
      <c r="E18" t="s">
        <v>1745</v>
      </c>
      <c r="F18" t="s">
        <v>1797</v>
      </c>
      <c r="G18" t="s">
        <v>1957</v>
      </c>
      <c r="H18" t="s">
        <v>1976</v>
      </c>
      <c r="I18" t="s">
        <v>2006</v>
      </c>
      <c r="J18" t="s">
        <v>2037</v>
      </c>
      <c r="L18" t="s">
        <v>2062</v>
      </c>
      <c r="M18" t="s">
        <v>2184</v>
      </c>
      <c r="N18" t="s">
        <v>2243</v>
      </c>
      <c r="O18" t="s">
        <v>2353</v>
      </c>
      <c r="P18" t="s">
        <v>2358</v>
      </c>
      <c r="U18" t="s">
        <v>2408</v>
      </c>
      <c r="V18" t="s">
        <v>2509</v>
      </c>
      <c r="W18" t="s">
        <v>1756</v>
      </c>
    </row>
    <row r="19" spans="1:27" x14ac:dyDescent="0.25">
      <c r="A19" t="s">
        <v>62</v>
      </c>
      <c r="B19" t="s">
        <v>863</v>
      </c>
      <c r="C19" t="s">
        <v>1198</v>
      </c>
      <c r="D19" t="s">
        <v>353</v>
      </c>
      <c r="E19" t="s">
        <v>214</v>
      </c>
      <c r="F19" t="s">
        <v>1798</v>
      </c>
      <c r="G19" t="s">
        <v>1958</v>
      </c>
      <c r="H19" t="s">
        <v>1977</v>
      </c>
      <c r="I19" t="s">
        <v>2007</v>
      </c>
      <c r="L19" t="s">
        <v>2063</v>
      </c>
      <c r="M19" t="s">
        <v>2185</v>
      </c>
      <c r="N19" t="s">
        <v>2244</v>
      </c>
      <c r="O19" t="s">
        <v>2111</v>
      </c>
      <c r="P19" t="s">
        <v>2596</v>
      </c>
      <c r="U19" t="s">
        <v>2409</v>
      </c>
      <c r="V19" t="s">
        <v>2510</v>
      </c>
      <c r="W19" t="s">
        <v>1615</v>
      </c>
    </row>
    <row r="20" spans="1:27" x14ac:dyDescent="0.25">
      <c r="A20" t="s">
        <v>63</v>
      </c>
      <c r="B20" t="s">
        <v>864</v>
      </c>
      <c r="C20" t="s">
        <v>1199</v>
      </c>
      <c r="D20" t="s">
        <v>355</v>
      </c>
      <c r="E20" t="s">
        <v>216</v>
      </c>
      <c r="F20" t="s">
        <v>1799</v>
      </c>
      <c r="G20" t="s">
        <v>1959</v>
      </c>
      <c r="H20" t="s">
        <v>1978</v>
      </c>
      <c r="I20" t="s">
        <v>2008</v>
      </c>
      <c r="L20" t="s">
        <v>2064</v>
      </c>
      <c r="M20" t="s">
        <v>2186</v>
      </c>
      <c r="N20" t="s">
        <v>2245</v>
      </c>
      <c r="O20" t="s">
        <v>2354</v>
      </c>
      <c r="P20" t="s">
        <v>2597</v>
      </c>
      <c r="U20" t="s">
        <v>2410</v>
      </c>
      <c r="V20" t="s">
        <v>2511</v>
      </c>
      <c r="W20" t="s">
        <v>2555</v>
      </c>
    </row>
    <row r="21" spans="1:27" x14ac:dyDescent="0.25">
      <c r="A21" t="s">
        <v>64</v>
      </c>
      <c r="B21" t="s">
        <v>865</v>
      </c>
      <c r="C21" t="s">
        <v>1200</v>
      </c>
      <c r="D21" t="s">
        <v>10</v>
      </c>
      <c r="E21" t="s">
        <v>218</v>
      </c>
      <c r="F21" t="s">
        <v>1800</v>
      </c>
      <c r="H21" t="s">
        <v>1979</v>
      </c>
      <c r="I21" t="s">
        <v>2009</v>
      </c>
      <c r="L21" t="s">
        <v>2065</v>
      </c>
      <c r="M21" t="s">
        <v>2187</v>
      </c>
      <c r="N21" t="s">
        <v>2246</v>
      </c>
      <c r="O21" t="s">
        <v>2355</v>
      </c>
      <c r="P21" t="s">
        <v>2598</v>
      </c>
      <c r="U21" t="s">
        <v>2411</v>
      </c>
      <c r="V21" t="s">
        <v>2512</v>
      </c>
      <c r="W21" t="s">
        <v>10</v>
      </c>
    </row>
    <row r="22" spans="1:27" x14ac:dyDescent="0.25">
      <c r="A22" t="s">
        <v>65</v>
      </c>
      <c r="B22" t="s">
        <v>866</v>
      </c>
      <c r="C22" t="s">
        <v>1201</v>
      </c>
      <c r="D22" t="s">
        <v>1620</v>
      </c>
      <c r="E22" t="s">
        <v>1746</v>
      </c>
      <c r="F22" t="s">
        <v>1801</v>
      </c>
      <c r="H22" t="s">
        <v>1980</v>
      </c>
      <c r="I22" t="s">
        <v>2010</v>
      </c>
      <c r="L22" t="s">
        <v>2066</v>
      </c>
      <c r="M22" t="s">
        <v>2188</v>
      </c>
      <c r="N22" t="s">
        <v>2247</v>
      </c>
      <c r="P22" t="s">
        <v>2599</v>
      </c>
      <c r="U22" t="s">
        <v>2412</v>
      </c>
      <c r="V22" t="s">
        <v>2513</v>
      </c>
      <c r="W22" t="s">
        <v>2556</v>
      </c>
    </row>
    <row r="23" spans="1:27" x14ac:dyDescent="0.25">
      <c r="A23" t="s">
        <v>66</v>
      </c>
      <c r="B23" t="s">
        <v>867</v>
      </c>
      <c r="C23" t="s">
        <v>1202</v>
      </c>
      <c r="D23" t="s">
        <v>1621</v>
      </c>
      <c r="E23" t="s">
        <v>1747</v>
      </c>
      <c r="F23" t="s">
        <v>1802</v>
      </c>
      <c r="H23" t="s">
        <v>1981</v>
      </c>
      <c r="I23" t="s">
        <v>2011</v>
      </c>
      <c r="L23" t="s">
        <v>2067</v>
      </c>
      <c r="M23" t="s">
        <v>2189</v>
      </c>
      <c r="N23" t="s">
        <v>1187</v>
      </c>
      <c r="P23" t="s">
        <v>2600</v>
      </c>
      <c r="U23" t="s">
        <v>2413</v>
      </c>
      <c r="V23" t="s">
        <v>2514</v>
      </c>
      <c r="W23" t="s">
        <v>2557</v>
      </c>
    </row>
    <row r="24" spans="1:27" x14ac:dyDescent="0.25">
      <c r="A24" t="s">
        <v>67</v>
      </c>
      <c r="B24" t="s">
        <v>868</v>
      </c>
      <c r="C24" t="s">
        <v>1203</v>
      </c>
      <c r="D24" t="s">
        <v>1622</v>
      </c>
      <c r="E24" t="s">
        <v>1748</v>
      </c>
      <c r="F24" t="s">
        <v>1803</v>
      </c>
      <c r="H24" t="s">
        <v>1982</v>
      </c>
      <c r="I24" t="s">
        <v>2012</v>
      </c>
      <c r="L24" t="s">
        <v>2068</v>
      </c>
      <c r="M24" t="s">
        <v>2190</v>
      </c>
      <c r="N24" t="s">
        <v>1188</v>
      </c>
      <c r="P24" t="s">
        <v>2601</v>
      </c>
      <c r="U24" t="s">
        <v>2414</v>
      </c>
      <c r="V24" t="s">
        <v>2515</v>
      </c>
      <c r="W24" t="s">
        <v>381</v>
      </c>
    </row>
    <row r="25" spans="1:27" x14ac:dyDescent="0.25">
      <c r="A25" t="s">
        <v>68</v>
      </c>
      <c r="B25" t="s">
        <v>869</v>
      </c>
      <c r="C25" t="s">
        <v>1204</v>
      </c>
      <c r="D25" t="s">
        <v>1623</v>
      </c>
      <c r="E25" t="s">
        <v>244</v>
      </c>
      <c r="F25" t="s">
        <v>1804</v>
      </c>
      <c r="H25" t="s">
        <v>1983</v>
      </c>
      <c r="I25" t="s">
        <v>2013</v>
      </c>
      <c r="L25" t="s">
        <v>2069</v>
      </c>
      <c r="M25" t="s">
        <v>2191</v>
      </c>
      <c r="N25" t="s">
        <v>2248</v>
      </c>
      <c r="P25" t="s">
        <v>2602</v>
      </c>
      <c r="U25" t="s">
        <v>2415</v>
      </c>
      <c r="V25" t="s">
        <v>2516</v>
      </c>
      <c r="W25" t="s">
        <v>2558</v>
      </c>
    </row>
    <row r="26" spans="1:27" x14ac:dyDescent="0.25">
      <c r="A26" t="s">
        <v>69</v>
      </c>
      <c r="B26" t="s">
        <v>870</v>
      </c>
      <c r="C26" t="s">
        <v>1205</v>
      </c>
      <c r="D26" t="s">
        <v>373</v>
      </c>
      <c r="E26" t="s">
        <v>246</v>
      </c>
      <c r="F26" t="s">
        <v>1805</v>
      </c>
      <c r="H26" t="s">
        <v>1984</v>
      </c>
      <c r="I26" t="s">
        <v>2014</v>
      </c>
      <c r="L26" t="s">
        <v>2070</v>
      </c>
      <c r="M26" t="s">
        <v>2192</v>
      </c>
      <c r="N26" t="s">
        <v>1193</v>
      </c>
      <c r="P26" t="s">
        <v>2603</v>
      </c>
      <c r="U26" t="s">
        <v>2416</v>
      </c>
      <c r="V26" t="s">
        <v>2517</v>
      </c>
      <c r="W26" t="s">
        <v>1631</v>
      </c>
    </row>
    <row r="27" spans="1:27" x14ac:dyDescent="0.25">
      <c r="A27" t="s">
        <v>70</v>
      </c>
      <c r="B27" t="s">
        <v>871</v>
      </c>
      <c r="C27" t="s">
        <v>1206</v>
      </c>
      <c r="D27" t="s">
        <v>375</v>
      </c>
      <c r="E27" t="s">
        <v>248</v>
      </c>
      <c r="F27" t="s">
        <v>1806</v>
      </c>
      <c r="H27" t="s">
        <v>1985</v>
      </c>
      <c r="I27" t="s">
        <v>2015</v>
      </c>
      <c r="L27" t="s">
        <v>2071</v>
      </c>
      <c r="M27" t="s">
        <v>2193</v>
      </c>
      <c r="N27" t="s">
        <v>1194</v>
      </c>
      <c r="P27" t="s">
        <v>2604</v>
      </c>
      <c r="U27" t="s">
        <v>2417</v>
      </c>
      <c r="V27" t="s">
        <v>2518</v>
      </c>
      <c r="W27" t="s">
        <v>2559</v>
      </c>
    </row>
    <row r="28" spans="1:27" x14ac:dyDescent="0.25">
      <c r="A28" t="s">
        <v>71</v>
      </c>
      <c r="B28" t="s">
        <v>872</v>
      </c>
      <c r="C28" t="s">
        <v>1207</v>
      </c>
      <c r="D28" t="s">
        <v>377</v>
      </c>
      <c r="E28" t="s">
        <v>1609</v>
      </c>
      <c r="F28" t="s">
        <v>1807</v>
      </c>
      <c r="H28" t="s">
        <v>1986</v>
      </c>
      <c r="I28" t="s">
        <v>2016</v>
      </c>
      <c r="L28" t="s">
        <v>2072</v>
      </c>
      <c r="M28" t="s">
        <v>2194</v>
      </c>
      <c r="N28" t="s">
        <v>1195</v>
      </c>
      <c r="P28" t="s">
        <v>2605</v>
      </c>
      <c r="U28" t="s">
        <v>2418</v>
      </c>
      <c r="V28" t="s">
        <v>2519</v>
      </c>
      <c r="W28" t="s">
        <v>1641</v>
      </c>
    </row>
    <row r="29" spans="1:27" x14ac:dyDescent="0.25">
      <c r="A29" t="s">
        <v>72</v>
      </c>
      <c r="B29" t="s">
        <v>873</v>
      </c>
      <c r="C29" t="s">
        <v>1208</v>
      </c>
      <c r="D29" t="s">
        <v>379</v>
      </c>
      <c r="E29" t="s">
        <v>1610</v>
      </c>
      <c r="F29" t="s">
        <v>1808</v>
      </c>
      <c r="H29" t="s">
        <v>1987</v>
      </c>
      <c r="I29" t="s">
        <v>2017</v>
      </c>
      <c r="L29" t="s">
        <v>2073</v>
      </c>
      <c r="M29" t="s">
        <v>2195</v>
      </c>
      <c r="N29" t="s">
        <v>1197</v>
      </c>
      <c r="P29" t="s">
        <v>2606</v>
      </c>
      <c r="U29" t="s">
        <v>2419</v>
      </c>
      <c r="V29" t="s">
        <v>2520</v>
      </c>
      <c r="W29" t="s">
        <v>2560</v>
      </c>
    </row>
    <row r="30" spans="1:27" x14ac:dyDescent="0.25">
      <c r="A30" t="s">
        <v>73</v>
      </c>
      <c r="B30" t="s">
        <v>874</v>
      </c>
      <c r="C30" t="s">
        <v>1209</v>
      </c>
      <c r="D30" t="s">
        <v>381</v>
      </c>
      <c r="E30" t="s">
        <v>1749</v>
      </c>
      <c r="F30" t="s">
        <v>1809</v>
      </c>
      <c r="H30" t="s">
        <v>1988</v>
      </c>
      <c r="I30" t="s">
        <v>2018</v>
      </c>
      <c r="L30" t="s">
        <v>2074</v>
      </c>
      <c r="M30" t="s">
        <v>2196</v>
      </c>
      <c r="N30" t="s">
        <v>2249</v>
      </c>
      <c r="P30" t="s">
        <v>2607</v>
      </c>
      <c r="U30" t="s">
        <v>2420</v>
      </c>
      <c r="V30" t="s">
        <v>2521</v>
      </c>
      <c r="W30" t="s">
        <v>1652</v>
      </c>
    </row>
    <row r="31" spans="1:27" x14ac:dyDescent="0.25">
      <c r="A31" t="s">
        <v>74</v>
      </c>
      <c r="B31" t="s">
        <v>875</v>
      </c>
      <c r="C31" t="s">
        <v>1210</v>
      </c>
      <c r="D31" t="s">
        <v>1624</v>
      </c>
      <c r="E31" t="s">
        <v>1750</v>
      </c>
      <c r="F31" t="s">
        <v>1810</v>
      </c>
      <c r="H31" t="s">
        <v>1989</v>
      </c>
      <c r="I31" t="s">
        <v>2019</v>
      </c>
      <c r="L31" t="s">
        <v>2075</v>
      </c>
      <c r="M31" t="s">
        <v>2197</v>
      </c>
      <c r="N31" t="s">
        <v>2250</v>
      </c>
      <c r="P31" t="s">
        <v>2608</v>
      </c>
      <c r="U31" t="s">
        <v>2421</v>
      </c>
      <c r="V31" t="s">
        <v>2522</v>
      </c>
      <c r="W31" t="s">
        <v>2561</v>
      </c>
    </row>
    <row r="32" spans="1:27" x14ac:dyDescent="0.25">
      <c r="A32" t="s">
        <v>75</v>
      </c>
      <c r="B32" t="s">
        <v>876</v>
      </c>
      <c r="C32" t="s">
        <v>1211</v>
      </c>
      <c r="D32" t="s">
        <v>1625</v>
      </c>
      <c r="E32" t="s">
        <v>258</v>
      </c>
      <c r="F32" t="s">
        <v>1811</v>
      </c>
      <c r="H32" t="s">
        <v>1990</v>
      </c>
      <c r="I32" t="s">
        <v>2020</v>
      </c>
      <c r="L32" t="s">
        <v>2076</v>
      </c>
      <c r="M32" t="s">
        <v>2198</v>
      </c>
      <c r="N32" t="s">
        <v>2251</v>
      </c>
      <c r="P32" t="s">
        <v>2609</v>
      </c>
      <c r="U32" t="s">
        <v>2422</v>
      </c>
      <c r="V32" t="s">
        <v>2523</v>
      </c>
      <c r="W32" t="s">
        <v>2562</v>
      </c>
    </row>
    <row r="33" spans="1:23" x14ac:dyDescent="0.25">
      <c r="A33" t="s">
        <v>76</v>
      </c>
      <c r="B33" t="s">
        <v>877</v>
      </c>
      <c r="C33" t="s">
        <v>1212</v>
      </c>
      <c r="D33" t="s">
        <v>1626</v>
      </c>
      <c r="E33" t="s">
        <v>1751</v>
      </c>
      <c r="F33" t="s">
        <v>1812</v>
      </c>
      <c r="L33" t="s">
        <v>2077</v>
      </c>
      <c r="M33" t="s">
        <v>2199</v>
      </c>
      <c r="N33" t="s">
        <v>2252</v>
      </c>
      <c r="P33" t="s">
        <v>2610</v>
      </c>
      <c r="U33" t="s">
        <v>2423</v>
      </c>
      <c r="V33" t="s">
        <v>2524</v>
      </c>
      <c r="W33" t="s">
        <v>1662</v>
      </c>
    </row>
    <row r="34" spans="1:23" x14ac:dyDescent="0.25">
      <c r="A34" t="s">
        <v>77</v>
      </c>
      <c r="B34" t="s">
        <v>878</v>
      </c>
      <c r="C34" t="s">
        <v>1213</v>
      </c>
      <c r="D34" t="s">
        <v>1627</v>
      </c>
      <c r="E34" t="s">
        <v>1752</v>
      </c>
      <c r="F34" t="s">
        <v>1813</v>
      </c>
      <c r="L34" t="s">
        <v>2078</v>
      </c>
      <c r="M34" t="s">
        <v>2200</v>
      </c>
      <c r="N34" t="s">
        <v>2253</v>
      </c>
      <c r="P34" t="s">
        <v>2611</v>
      </c>
      <c r="U34" t="s">
        <v>2424</v>
      </c>
      <c r="V34" t="s">
        <v>2525</v>
      </c>
      <c r="W34" t="s">
        <v>2563</v>
      </c>
    </row>
    <row r="35" spans="1:23" x14ac:dyDescent="0.25">
      <c r="A35" t="s">
        <v>78</v>
      </c>
      <c r="B35" t="s">
        <v>879</v>
      </c>
      <c r="C35" t="s">
        <v>1214</v>
      </c>
      <c r="D35" t="s">
        <v>1628</v>
      </c>
      <c r="E35" t="s">
        <v>1753</v>
      </c>
      <c r="F35" t="s">
        <v>1814</v>
      </c>
      <c r="L35" t="s">
        <v>2079</v>
      </c>
      <c r="M35" t="s">
        <v>2201</v>
      </c>
      <c r="N35" t="s">
        <v>1201</v>
      </c>
      <c r="P35" t="s">
        <v>2612</v>
      </c>
      <c r="U35" t="s">
        <v>2425</v>
      </c>
      <c r="V35" t="s">
        <v>2526</v>
      </c>
      <c r="W35" t="s">
        <v>2564</v>
      </c>
    </row>
    <row r="36" spans="1:23" x14ac:dyDescent="0.25">
      <c r="A36" t="s">
        <v>79</v>
      </c>
      <c r="B36" t="s">
        <v>880</v>
      </c>
      <c r="C36" t="s">
        <v>1215</v>
      </c>
      <c r="D36" t="s">
        <v>1629</v>
      </c>
      <c r="E36" t="s">
        <v>1754</v>
      </c>
      <c r="F36" t="s">
        <v>1815</v>
      </c>
      <c r="L36" t="s">
        <v>2080</v>
      </c>
      <c r="M36" t="s">
        <v>2202</v>
      </c>
      <c r="N36" t="s">
        <v>1202</v>
      </c>
      <c r="P36" t="s">
        <v>2613</v>
      </c>
      <c r="U36" t="s">
        <v>2426</v>
      </c>
      <c r="V36" t="s">
        <v>2527</v>
      </c>
      <c r="W36" t="s">
        <v>517</v>
      </c>
    </row>
    <row r="37" spans="1:23" x14ac:dyDescent="0.25">
      <c r="A37" t="s">
        <v>80</v>
      </c>
      <c r="B37" t="s">
        <v>881</v>
      </c>
      <c r="C37" t="s">
        <v>1216</v>
      </c>
      <c r="D37" t="s">
        <v>11</v>
      </c>
      <c r="E37" t="s">
        <v>278</v>
      </c>
      <c r="F37" t="s">
        <v>1816</v>
      </c>
      <c r="L37" t="s">
        <v>2081</v>
      </c>
      <c r="M37" t="s">
        <v>2203</v>
      </c>
      <c r="N37" t="s">
        <v>2254</v>
      </c>
      <c r="P37" t="s">
        <v>2614</v>
      </c>
      <c r="U37" t="s">
        <v>2427</v>
      </c>
      <c r="V37" t="s">
        <v>2528</v>
      </c>
      <c r="W37" t="s">
        <v>1675</v>
      </c>
    </row>
    <row r="38" spans="1:23" x14ac:dyDescent="0.25">
      <c r="A38" t="s">
        <v>81</v>
      </c>
      <c r="B38" t="s">
        <v>882</v>
      </c>
      <c r="C38" t="s">
        <v>1217</v>
      </c>
      <c r="D38" t="s">
        <v>1630</v>
      </c>
      <c r="E38" t="s">
        <v>1755</v>
      </c>
      <c r="F38" t="s">
        <v>1817</v>
      </c>
      <c r="L38" t="s">
        <v>2082</v>
      </c>
      <c r="M38" t="s">
        <v>2204</v>
      </c>
      <c r="N38" t="s">
        <v>2255</v>
      </c>
      <c r="P38" t="s">
        <v>2615</v>
      </c>
      <c r="U38" t="s">
        <v>2428</v>
      </c>
      <c r="V38" t="s">
        <v>2529</v>
      </c>
      <c r="W38" t="s">
        <v>1684</v>
      </c>
    </row>
    <row r="39" spans="1:23" x14ac:dyDescent="0.25">
      <c r="A39" t="s">
        <v>82</v>
      </c>
      <c r="B39" t="s">
        <v>883</v>
      </c>
      <c r="C39" t="s">
        <v>1218</v>
      </c>
      <c r="D39" t="s">
        <v>1631</v>
      </c>
      <c r="E39" t="s">
        <v>1756</v>
      </c>
      <c r="F39" t="s">
        <v>1818</v>
      </c>
      <c r="L39" t="s">
        <v>2083</v>
      </c>
      <c r="M39" t="s">
        <v>2205</v>
      </c>
      <c r="N39" t="s">
        <v>2256</v>
      </c>
      <c r="P39" t="s">
        <v>2616</v>
      </c>
      <c r="U39" t="s">
        <v>2429</v>
      </c>
      <c r="V39" t="s">
        <v>2530</v>
      </c>
      <c r="W39" t="s">
        <v>2565</v>
      </c>
    </row>
    <row r="40" spans="1:23" x14ac:dyDescent="0.25">
      <c r="A40" t="s">
        <v>83</v>
      </c>
      <c r="B40" t="s">
        <v>884</v>
      </c>
      <c r="C40" t="s">
        <v>1219</v>
      </c>
      <c r="D40" t="s">
        <v>1632</v>
      </c>
      <c r="E40" t="s">
        <v>1757</v>
      </c>
      <c r="F40" t="s">
        <v>1819</v>
      </c>
      <c r="L40" t="s">
        <v>2084</v>
      </c>
      <c r="M40" t="s">
        <v>2206</v>
      </c>
      <c r="N40" t="s">
        <v>1209</v>
      </c>
      <c r="P40" t="s">
        <v>2617</v>
      </c>
      <c r="U40" t="s">
        <v>2430</v>
      </c>
      <c r="V40" t="s">
        <v>2531</v>
      </c>
      <c r="W40" t="s">
        <v>582</v>
      </c>
    </row>
    <row r="41" spans="1:23" x14ac:dyDescent="0.25">
      <c r="A41" t="s">
        <v>84</v>
      </c>
      <c r="B41" t="s">
        <v>885</v>
      </c>
      <c r="C41" t="s">
        <v>1220</v>
      </c>
      <c r="D41" t="s">
        <v>12</v>
      </c>
      <c r="E41" t="s">
        <v>1758</v>
      </c>
      <c r="F41" t="s">
        <v>1820</v>
      </c>
      <c r="L41" t="s">
        <v>2085</v>
      </c>
      <c r="M41" t="s">
        <v>2207</v>
      </c>
      <c r="N41" t="s">
        <v>1211</v>
      </c>
      <c r="P41" t="s">
        <v>2618</v>
      </c>
      <c r="U41" t="s">
        <v>2431</v>
      </c>
      <c r="V41" t="s">
        <v>2532</v>
      </c>
      <c r="W41" t="s">
        <v>2566</v>
      </c>
    </row>
    <row r="42" spans="1:23" x14ac:dyDescent="0.25">
      <c r="A42" t="s">
        <v>85</v>
      </c>
      <c r="B42" t="s">
        <v>886</v>
      </c>
      <c r="C42" t="s">
        <v>1221</v>
      </c>
      <c r="D42" t="s">
        <v>1633</v>
      </c>
      <c r="E42" t="s">
        <v>1759</v>
      </c>
      <c r="F42" t="s">
        <v>1821</v>
      </c>
      <c r="L42" t="s">
        <v>2086</v>
      </c>
      <c r="M42" t="s">
        <v>2208</v>
      </c>
      <c r="N42" t="s">
        <v>2257</v>
      </c>
      <c r="P42" t="s">
        <v>2619</v>
      </c>
      <c r="U42" t="s">
        <v>2432</v>
      </c>
      <c r="V42" t="s">
        <v>2533</v>
      </c>
      <c r="W42" t="s">
        <v>2567</v>
      </c>
    </row>
    <row r="43" spans="1:23" x14ac:dyDescent="0.25">
      <c r="A43" t="s">
        <v>86</v>
      </c>
      <c r="B43" t="s">
        <v>887</v>
      </c>
      <c r="C43" t="s">
        <v>1222</v>
      </c>
      <c r="D43" t="s">
        <v>1634</v>
      </c>
      <c r="E43" t="s">
        <v>1760</v>
      </c>
      <c r="F43" t="s">
        <v>1822</v>
      </c>
      <c r="L43" t="s">
        <v>2087</v>
      </c>
      <c r="M43" t="s">
        <v>2209</v>
      </c>
      <c r="N43" t="s">
        <v>2258</v>
      </c>
      <c r="P43" t="s">
        <v>2620</v>
      </c>
      <c r="U43" t="s">
        <v>2433</v>
      </c>
      <c r="V43" t="s">
        <v>2534</v>
      </c>
    </row>
    <row r="44" spans="1:23" x14ac:dyDescent="0.25">
      <c r="A44" t="s">
        <v>87</v>
      </c>
      <c r="B44" t="s">
        <v>888</v>
      </c>
      <c r="C44" t="s">
        <v>1223</v>
      </c>
      <c r="D44" t="s">
        <v>1635</v>
      </c>
      <c r="E44" t="s">
        <v>1613</v>
      </c>
      <c r="F44" t="s">
        <v>1823</v>
      </c>
      <c r="L44" t="s">
        <v>2088</v>
      </c>
      <c r="M44" t="s">
        <v>2210</v>
      </c>
      <c r="N44" t="s">
        <v>2259</v>
      </c>
      <c r="U44" t="s">
        <v>2434</v>
      </c>
      <c r="V44" t="s">
        <v>2535</v>
      </c>
    </row>
    <row r="45" spans="1:23" x14ac:dyDescent="0.25">
      <c r="A45" t="s">
        <v>88</v>
      </c>
      <c r="B45" t="s">
        <v>889</v>
      </c>
      <c r="C45" t="s">
        <v>1224</v>
      </c>
      <c r="D45" t="s">
        <v>1636</v>
      </c>
      <c r="E45" t="s">
        <v>1614</v>
      </c>
      <c r="F45" t="s">
        <v>1824</v>
      </c>
      <c r="L45" t="s">
        <v>2089</v>
      </c>
      <c r="M45" t="s">
        <v>2211</v>
      </c>
      <c r="N45" t="s">
        <v>2260</v>
      </c>
      <c r="U45" t="s">
        <v>2435</v>
      </c>
      <c r="V45" t="s">
        <v>2536</v>
      </c>
    </row>
    <row r="46" spans="1:23" x14ac:dyDescent="0.25">
      <c r="A46" t="s">
        <v>89</v>
      </c>
      <c r="B46" t="s">
        <v>890</v>
      </c>
      <c r="C46" t="s">
        <v>1225</v>
      </c>
      <c r="D46" t="s">
        <v>1637</v>
      </c>
      <c r="E46" t="s">
        <v>1615</v>
      </c>
      <c r="F46" t="s">
        <v>1825</v>
      </c>
      <c r="L46" t="s">
        <v>2090</v>
      </c>
      <c r="M46" t="s">
        <v>2212</v>
      </c>
      <c r="N46" t="s">
        <v>2261</v>
      </c>
      <c r="U46" t="s">
        <v>2436</v>
      </c>
      <c r="V46" t="s">
        <v>2537</v>
      </c>
    </row>
    <row r="47" spans="1:23" x14ac:dyDescent="0.25">
      <c r="A47" t="s">
        <v>90</v>
      </c>
      <c r="B47" t="s">
        <v>891</v>
      </c>
      <c r="C47" t="s">
        <v>1226</v>
      </c>
      <c r="D47" t="s">
        <v>1638</v>
      </c>
      <c r="E47" t="s">
        <v>1617</v>
      </c>
      <c r="F47" t="s">
        <v>1826</v>
      </c>
      <c r="L47" t="s">
        <v>2091</v>
      </c>
      <c r="M47" t="s">
        <v>2213</v>
      </c>
      <c r="N47" t="s">
        <v>2262</v>
      </c>
      <c r="U47" t="s">
        <v>2437</v>
      </c>
      <c r="V47" t="s">
        <v>2538</v>
      </c>
    </row>
    <row r="48" spans="1:23" x14ac:dyDescent="0.25">
      <c r="A48" t="s">
        <v>91</v>
      </c>
      <c r="B48" t="s">
        <v>892</v>
      </c>
      <c r="C48" t="s">
        <v>1227</v>
      </c>
      <c r="D48" t="s">
        <v>1639</v>
      </c>
      <c r="E48" t="s">
        <v>1619</v>
      </c>
      <c r="F48" t="s">
        <v>1827</v>
      </c>
      <c r="L48" t="s">
        <v>2092</v>
      </c>
      <c r="M48" t="s">
        <v>2214</v>
      </c>
      <c r="N48" t="s">
        <v>2263</v>
      </c>
      <c r="U48" t="s">
        <v>2438</v>
      </c>
      <c r="V48" t="s">
        <v>2539</v>
      </c>
    </row>
    <row r="49" spans="1:22" x14ac:dyDescent="0.25">
      <c r="A49" t="s">
        <v>92</v>
      </c>
      <c r="B49" t="s">
        <v>893</v>
      </c>
      <c r="C49" t="s">
        <v>1228</v>
      </c>
      <c r="D49" t="s">
        <v>1640</v>
      </c>
      <c r="E49" t="s">
        <v>1761</v>
      </c>
      <c r="F49" t="s">
        <v>1828</v>
      </c>
      <c r="L49" t="s">
        <v>2093</v>
      </c>
      <c r="M49" t="s">
        <v>2215</v>
      </c>
      <c r="N49" t="s">
        <v>2264</v>
      </c>
      <c r="U49" t="s">
        <v>2439</v>
      </c>
      <c r="V49" t="s">
        <v>2540</v>
      </c>
    </row>
    <row r="50" spans="1:22" x14ac:dyDescent="0.25">
      <c r="A50" t="s">
        <v>93</v>
      </c>
      <c r="B50" t="s">
        <v>894</v>
      </c>
      <c r="C50" t="s">
        <v>1229</v>
      </c>
      <c r="D50" t="s">
        <v>1641</v>
      </c>
      <c r="E50" t="s">
        <v>1762</v>
      </c>
      <c r="F50" t="s">
        <v>1829</v>
      </c>
      <c r="L50" t="s">
        <v>2094</v>
      </c>
      <c r="M50" t="s">
        <v>2216</v>
      </c>
      <c r="N50" t="s">
        <v>2265</v>
      </c>
      <c r="U50" t="s">
        <v>2440</v>
      </c>
      <c r="V50" t="s">
        <v>2541</v>
      </c>
    </row>
    <row r="51" spans="1:22" x14ac:dyDescent="0.25">
      <c r="A51" t="s">
        <v>94</v>
      </c>
      <c r="B51" t="s">
        <v>895</v>
      </c>
      <c r="C51" t="s">
        <v>1230</v>
      </c>
      <c r="D51" t="s">
        <v>1642</v>
      </c>
      <c r="E51" t="s">
        <v>355</v>
      </c>
      <c r="F51" t="s">
        <v>1830</v>
      </c>
      <c r="L51" t="s">
        <v>2095</v>
      </c>
      <c r="M51" t="s">
        <v>2217</v>
      </c>
      <c r="N51" t="s">
        <v>1885</v>
      </c>
      <c r="U51" t="s">
        <v>2441</v>
      </c>
      <c r="V51" t="s">
        <v>2542</v>
      </c>
    </row>
    <row r="52" spans="1:22" x14ac:dyDescent="0.25">
      <c r="A52" t="s">
        <v>95</v>
      </c>
      <c r="B52" t="s">
        <v>896</v>
      </c>
      <c r="C52" t="s">
        <v>1231</v>
      </c>
      <c r="D52" t="s">
        <v>1643</v>
      </c>
      <c r="E52" t="s">
        <v>10</v>
      </c>
      <c r="F52" t="s">
        <v>1831</v>
      </c>
      <c r="L52" t="s">
        <v>2096</v>
      </c>
      <c r="M52" t="s">
        <v>2218</v>
      </c>
      <c r="N52" t="s">
        <v>1220</v>
      </c>
      <c r="U52" t="s">
        <v>2442</v>
      </c>
      <c r="V52" t="s">
        <v>2543</v>
      </c>
    </row>
    <row r="53" spans="1:22" x14ac:dyDescent="0.25">
      <c r="A53" t="s">
        <v>96</v>
      </c>
      <c r="B53" t="s">
        <v>897</v>
      </c>
      <c r="C53" t="s">
        <v>1232</v>
      </c>
      <c r="D53" t="s">
        <v>1644</v>
      </c>
      <c r="E53" t="s">
        <v>1621</v>
      </c>
      <c r="F53" t="s">
        <v>1832</v>
      </c>
      <c r="L53" t="s">
        <v>2097</v>
      </c>
      <c r="M53" t="s">
        <v>2219</v>
      </c>
      <c r="N53" t="s">
        <v>1222</v>
      </c>
      <c r="U53" t="s">
        <v>2443</v>
      </c>
    </row>
    <row r="54" spans="1:22" x14ac:dyDescent="0.25">
      <c r="A54" t="s">
        <v>97</v>
      </c>
      <c r="B54" t="s">
        <v>898</v>
      </c>
      <c r="C54" t="s">
        <v>1233</v>
      </c>
      <c r="D54" t="s">
        <v>1645</v>
      </c>
      <c r="E54" t="s">
        <v>1623</v>
      </c>
      <c r="F54" t="s">
        <v>1833</v>
      </c>
      <c r="L54" t="s">
        <v>2098</v>
      </c>
      <c r="M54" t="s">
        <v>2220</v>
      </c>
      <c r="N54" t="s">
        <v>2266</v>
      </c>
      <c r="U54" t="s">
        <v>2444</v>
      </c>
    </row>
    <row r="55" spans="1:22" x14ac:dyDescent="0.25">
      <c r="A55" t="s">
        <v>98</v>
      </c>
      <c r="B55" t="s">
        <v>899</v>
      </c>
      <c r="C55" t="s">
        <v>1234</v>
      </c>
      <c r="D55" t="s">
        <v>1646</v>
      </c>
      <c r="E55" t="s">
        <v>1763</v>
      </c>
      <c r="F55" t="s">
        <v>1834</v>
      </c>
      <c r="L55" t="s">
        <v>2099</v>
      </c>
      <c r="M55" t="s">
        <v>2221</v>
      </c>
      <c r="N55" t="s">
        <v>2267</v>
      </c>
      <c r="U55" t="s">
        <v>2445</v>
      </c>
    </row>
    <row r="56" spans="1:22" x14ac:dyDescent="0.25">
      <c r="A56" t="s">
        <v>99</v>
      </c>
      <c r="B56" t="s">
        <v>900</v>
      </c>
      <c r="C56" t="s">
        <v>1235</v>
      </c>
      <c r="D56" t="s">
        <v>1647</v>
      </c>
      <c r="E56" t="s">
        <v>1764</v>
      </c>
      <c r="F56" t="s">
        <v>1835</v>
      </c>
      <c r="L56" t="s">
        <v>2100</v>
      </c>
      <c r="M56" t="s">
        <v>2222</v>
      </c>
      <c r="N56" t="s">
        <v>2268</v>
      </c>
      <c r="U56" t="s">
        <v>2446</v>
      </c>
    </row>
    <row r="57" spans="1:22" x14ac:dyDescent="0.25">
      <c r="A57" t="s">
        <v>100</v>
      </c>
      <c r="B57" t="s">
        <v>901</v>
      </c>
      <c r="C57" t="s">
        <v>1236</v>
      </c>
      <c r="D57" t="s">
        <v>1648</v>
      </c>
      <c r="E57" t="s">
        <v>381</v>
      </c>
      <c r="F57" t="s">
        <v>1836</v>
      </c>
      <c r="L57" t="s">
        <v>2101</v>
      </c>
      <c r="M57" t="s">
        <v>2223</v>
      </c>
      <c r="N57" t="s">
        <v>2269</v>
      </c>
      <c r="U57" t="s">
        <v>2447</v>
      </c>
    </row>
    <row r="58" spans="1:22" x14ac:dyDescent="0.25">
      <c r="A58" t="s">
        <v>101</v>
      </c>
      <c r="B58" t="s">
        <v>902</v>
      </c>
      <c r="C58" t="s">
        <v>1237</v>
      </c>
      <c r="D58" t="s">
        <v>1649</v>
      </c>
      <c r="E58" t="s">
        <v>1625</v>
      </c>
      <c r="F58" t="s">
        <v>1837</v>
      </c>
      <c r="L58" t="s">
        <v>2102</v>
      </c>
      <c r="M58" t="s">
        <v>2224</v>
      </c>
      <c r="N58" t="s">
        <v>2270</v>
      </c>
      <c r="U58" t="s">
        <v>2448</v>
      </c>
    </row>
    <row r="59" spans="1:22" x14ac:dyDescent="0.25">
      <c r="A59" t="s">
        <v>102</v>
      </c>
      <c r="B59" t="s">
        <v>903</v>
      </c>
      <c r="C59" t="s">
        <v>1238</v>
      </c>
      <c r="D59" t="s">
        <v>1650</v>
      </c>
      <c r="E59" t="s">
        <v>1627</v>
      </c>
      <c r="F59" t="s">
        <v>1838</v>
      </c>
      <c r="L59" t="s">
        <v>2103</v>
      </c>
      <c r="M59" t="s">
        <v>2225</v>
      </c>
      <c r="N59" t="s">
        <v>1228</v>
      </c>
      <c r="U59" t="s">
        <v>2449</v>
      </c>
    </row>
    <row r="60" spans="1:22" x14ac:dyDescent="0.25">
      <c r="A60" t="s">
        <v>103</v>
      </c>
      <c r="B60" t="s">
        <v>904</v>
      </c>
      <c r="C60" t="s">
        <v>1239</v>
      </c>
      <c r="D60" t="s">
        <v>1651</v>
      </c>
      <c r="E60" t="s">
        <v>1629</v>
      </c>
      <c r="F60" t="s">
        <v>1839</v>
      </c>
      <c r="L60" t="s">
        <v>2104</v>
      </c>
      <c r="M60" t="s">
        <v>2226</v>
      </c>
      <c r="N60" t="s">
        <v>1229</v>
      </c>
      <c r="U60" t="s">
        <v>2450</v>
      </c>
    </row>
    <row r="61" spans="1:22" x14ac:dyDescent="0.25">
      <c r="A61" t="s">
        <v>104</v>
      </c>
      <c r="B61" t="s">
        <v>905</v>
      </c>
      <c r="C61" t="s">
        <v>1240</v>
      </c>
      <c r="D61" t="s">
        <v>1652</v>
      </c>
      <c r="E61" t="s">
        <v>1765</v>
      </c>
      <c r="F61" t="s">
        <v>1840</v>
      </c>
      <c r="L61" t="s">
        <v>2105</v>
      </c>
      <c r="M61" t="s">
        <v>2227</v>
      </c>
      <c r="N61" t="s">
        <v>1893</v>
      </c>
      <c r="U61" t="s">
        <v>2451</v>
      </c>
    </row>
    <row r="62" spans="1:22" x14ac:dyDescent="0.25">
      <c r="A62" t="s">
        <v>105</v>
      </c>
      <c r="B62" t="s">
        <v>906</v>
      </c>
      <c r="C62" t="s">
        <v>1241</v>
      </c>
      <c r="D62" t="s">
        <v>1653</v>
      </c>
      <c r="E62" t="s">
        <v>1631</v>
      </c>
      <c r="F62" t="s">
        <v>1841</v>
      </c>
      <c r="L62" t="s">
        <v>2106</v>
      </c>
      <c r="M62" t="s">
        <v>2228</v>
      </c>
      <c r="N62" t="s">
        <v>1238</v>
      </c>
      <c r="U62" t="s">
        <v>2452</v>
      </c>
    </row>
    <row r="63" spans="1:22" x14ac:dyDescent="0.25">
      <c r="A63" t="s">
        <v>106</v>
      </c>
      <c r="B63" t="s">
        <v>907</v>
      </c>
      <c r="C63" t="s">
        <v>1242</v>
      </c>
      <c r="D63" t="s">
        <v>1654</v>
      </c>
      <c r="E63" t="s">
        <v>12</v>
      </c>
      <c r="F63" t="s">
        <v>1842</v>
      </c>
      <c r="L63" t="s">
        <v>2107</v>
      </c>
      <c r="M63" t="s">
        <v>2229</v>
      </c>
      <c r="N63" t="s">
        <v>1240</v>
      </c>
      <c r="U63" t="s">
        <v>2453</v>
      </c>
    </row>
    <row r="64" spans="1:22" x14ac:dyDescent="0.25">
      <c r="A64" t="s">
        <v>107</v>
      </c>
      <c r="B64" t="s">
        <v>908</v>
      </c>
      <c r="C64" t="s">
        <v>1243</v>
      </c>
      <c r="D64" t="s">
        <v>1655</v>
      </c>
      <c r="E64" t="s">
        <v>1634</v>
      </c>
      <c r="F64" t="s">
        <v>1843</v>
      </c>
      <c r="L64" t="s">
        <v>2108</v>
      </c>
      <c r="M64" t="s">
        <v>2230</v>
      </c>
      <c r="N64" t="s">
        <v>1244</v>
      </c>
      <c r="U64" t="s">
        <v>2454</v>
      </c>
    </row>
    <row r="65" spans="1:21" x14ac:dyDescent="0.25">
      <c r="A65" t="s">
        <v>108</v>
      </c>
      <c r="B65" t="s">
        <v>909</v>
      </c>
      <c r="C65" t="s">
        <v>1244</v>
      </c>
      <c r="D65" t="s">
        <v>1656</v>
      </c>
      <c r="E65" t="s">
        <v>1636</v>
      </c>
      <c r="F65" t="s">
        <v>1844</v>
      </c>
      <c r="L65" t="s">
        <v>2109</v>
      </c>
      <c r="N65" t="s">
        <v>2271</v>
      </c>
      <c r="U65" t="s">
        <v>2455</v>
      </c>
    </row>
    <row r="66" spans="1:21" x14ac:dyDescent="0.25">
      <c r="A66" t="s">
        <v>109</v>
      </c>
      <c r="B66" t="s">
        <v>910</v>
      </c>
      <c r="C66" t="s">
        <v>1245</v>
      </c>
      <c r="D66" t="s">
        <v>1657</v>
      </c>
      <c r="E66" t="s">
        <v>1638</v>
      </c>
      <c r="F66" t="s">
        <v>1845</v>
      </c>
      <c r="L66" t="s">
        <v>2110</v>
      </c>
      <c r="N66" t="s">
        <v>2272</v>
      </c>
      <c r="U66" t="s">
        <v>2456</v>
      </c>
    </row>
    <row r="67" spans="1:21" x14ac:dyDescent="0.25">
      <c r="A67" t="s">
        <v>110</v>
      </c>
      <c r="B67" t="s">
        <v>911</v>
      </c>
      <c r="C67" t="s">
        <v>1246</v>
      </c>
      <c r="D67" t="s">
        <v>13</v>
      </c>
      <c r="E67" t="s">
        <v>1643</v>
      </c>
      <c r="F67" t="s">
        <v>1846</v>
      </c>
      <c r="L67" t="s">
        <v>2111</v>
      </c>
      <c r="N67" t="s">
        <v>2273</v>
      </c>
      <c r="U67" t="s">
        <v>2457</v>
      </c>
    </row>
    <row r="68" spans="1:21" x14ac:dyDescent="0.25">
      <c r="A68" t="s">
        <v>111</v>
      </c>
      <c r="B68" t="s">
        <v>912</v>
      </c>
      <c r="C68" t="s">
        <v>1247</v>
      </c>
      <c r="D68" t="s">
        <v>1658</v>
      </c>
      <c r="E68" t="s">
        <v>1645</v>
      </c>
      <c r="F68" t="s">
        <v>1847</v>
      </c>
      <c r="L68" t="s">
        <v>2112</v>
      </c>
      <c r="N68" t="s">
        <v>2274</v>
      </c>
      <c r="U68" t="s">
        <v>2458</v>
      </c>
    </row>
    <row r="69" spans="1:21" x14ac:dyDescent="0.25">
      <c r="A69" t="s">
        <v>112</v>
      </c>
      <c r="B69" t="s">
        <v>913</v>
      </c>
      <c r="C69" t="s">
        <v>1248</v>
      </c>
      <c r="D69" t="s">
        <v>1659</v>
      </c>
      <c r="E69" t="s">
        <v>1647</v>
      </c>
      <c r="F69" t="s">
        <v>1848</v>
      </c>
      <c r="L69" t="s">
        <v>2113</v>
      </c>
      <c r="N69" t="s">
        <v>2275</v>
      </c>
      <c r="U69" t="s">
        <v>2459</v>
      </c>
    </row>
    <row r="70" spans="1:21" x14ac:dyDescent="0.25">
      <c r="A70" t="s">
        <v>113</v>
      </c>
      <c r="B70" t="s">
        <v>914</v>
      </c>
      <c r="C70" t="s">
        <v>1249</v>
      </c>
      <c r="D70" t="s">
        <v>1660</v>
      </c>
      <c r="E70" t="s">
        <v>1649</v>
      </c>
      <c r="F70" t="s">
        <v>1849</v>
      </c>
      <c r="L70" t="s">
        <v>2114</v>
      </c>
      <c r="N70" t="s">
        <v>2276</v>
      </c>
      <c r="U70" t="s">
        <v>2460</v>
      </c>
    </row>
    <row r="71" spans="1:21" x14ac:dyDescent="0.25">
      <c r="A71" t="s">
        <v>114</v>
      </c>
      <c r="B71" t="s">
        <v>915</v>
      </c>
      <c r="C71" t="s">
        <v>1250</v>
      </c>
      <c r="D71" t="s">
        <v>1661</v>
      </c>
      <c r="E71" t="s">
        <v>1656</v>
      </c>
      <c r="F71" t="s">
        <v>1850</v>
      </c>
      <c r="L71" t="s">
        <v>2115</v>
      </c>
      <c r="N71" t="s">
        <v>2277</v>
      </c>
      <c r="U71" t="s">
        <v>2461</v>
      </c>
    </row>
    <row r="72" spans="1:21" x14ac:dyDescent="0.25">
      <c r="A72" t="s">
        <v>115</v>
      </c>
      <c r="B72" t="s">
        <v>916</v>
      </c>
      <c r="C72" t="s">
        <v>1251</v>
      </c>
      <c r="D72" t="s">
        <v>1662</v>
      </c>
      <c r="E72" t="s">
        <v>13</v>
      </c>
      <c r="F72" t="s">
        <v>1851</v>
      </c>
      <c r="L72" t="s">
        <v>2116</v>
      </c>
      <c r="N72" t="s">
        <v>2278</v>
      </c>
      <c r="U72" t="s">
        <v>2462</v>
      </c>
    </row>
    <row r="73" spans="1:21" x14ac:dyDescent="0.25">
      <c r="A73" t="s">
        <v>116</v>
      </c>
      <c r="B73" t="s">
        <v>917</v>
      </c>
      <c r="C73" t="s">
        <v>1252</v>
      </c>
      <c r="D73" t="s">
        <v>1663</v>
      </c>
      <c r="E73" t="s">
        <v>1659</v>
      </c>
      <c r="F73" t="s">
        <v>1852</v>
      </c>
      <c r="L73" t="s">
        <v>2117</v>
      </c>
      <c r="N73" t="s">
        <v>1273</v>
      </c>
      <c r="U73" t="s">
        <v>2463</v>
      </c>
    </row>
    <row r="74" spans="1:21" x14ac:dyDescent="0.25">
      <c r="A74" t="s">
        <v>117</v>
      </c>
      <c r="B74" t="s">
        <v>918</v>
      </c>
      <c r="C74" t="s">
        <v>1253</v>
      </c>
      <c r="D74" t="s">
        <v>14</v>
      </c>
      <c r="E74" t="s">
        <v>1766</v>
      </c>
      <c r="F74" t="s">
        <v>1853</v>
      </c>
      <c r="L74" t="s">
        <v>2118</v>
      </c>
      <c r="N74" t="s">
        <v>1282</v>
      </c>
      <c r="U74" t="s">
        <v>2464</v>
      </c>
    </row>
    <row r="75" spans="1:21" x14ac:dyDescent="0.25">
      <c r="A75" t="s">
        <v>118</v>
      </c>
      <c r="B75" t="s">
        <v>919</v>
      </c>
      <c r="C75" t="s">
        <v>1254</v>
      </c>
      <c r="D75" t="s">
        <v>1664</v>
      </c>
      <c r="E75" t="s">
        <v>1767</v>
      </c>
      <c r="F75" t="s">
        <v>1854</v>
      </c>
      <c r="L75" t="s">
        <v>2119</v>
      </c>
      <c r="N75" t="s">
        <v>1284</v>
      </c>
      <c r="U75" t="s">
        <v>2465</v>
      </c>
    </row>
    <row r="76" spans="1:21" x14ac:dyDescent="0.25">
      <c r="A76" t="s">
        <v>119</v>
      </c>
      <c r="B76" t="s">
        <v>920</v>
      </c>
      <c r="C76" t="s">
        <v>1255</v>
      </c>
      <c r="D76" t="s">
        <v>1665</v>
      </c>
      <c r="E76" t="s">
        <v>1768</v>
      </c>
      <c r="F76" t="s">
        <v>1855</v>
      </c>
      <c r="L76" t="s">
        <v>2120</v>
      </c>
      <c r="N76" t="s">
        <v>1286</v>
      </c>
      <c r="U76" t="s">
        <v>2466</v>
      </c>
    </row>
    <row r="77" spans="1:21" x14ac:dyDescent="0.25">
      <c r="A77" t="s">
        <v>120</v>
      </c>
      <c r="B77" t="s">
        <v>921</v>
      </c>
      <c r="C77" t="s">
        <v>1256</v>
      </c>
      <c r="D77" t="s">
        <v>1666</v>
      </c>
      <c r="E77" t="s">
        <v>1769</v>
      </c>
      <c r="F77" t="s">
        <v>1856</v>
      </c>
      <c r="L77" t="s">
        <v>2121</v>
      </c>
      <c r="N77" t="s">
        <v>1288</v>
      </c>
      <c r="U77" t="s">
        <v>2467</v>
      </c>
    </row>
    <row r="78" spans="1:21" x14ac:dyDescent="0.25">
      <c r="A78" t="s">
        <v>121</v>
      </c>
      <c r="B78" t="s">
        <v>922</v>
      </c>
      <c r="C78" t="s">
        <v>1257</v>
      </c>
      <c r="D78" t="s">
        <v>1667</v>
      </c>
      <c r="E78" t="s">
        <v>1770</v>
      </c>
      <c r="F78" t="s">
        <v>1857</v>
      </c>
      <c r="L78" t="s">
        <v>2122</v>
      </c>
      <c r="N78" t="s">
        <v>1291</v>
      </c>
      <c r="U78" t="s">
        <v>2468</v>
      </c>
    </row>
    <row r="79" spans="1:21" x14ac:dyDescent="0.25">
      <c r="A79" t="s">
        <v>122</v>
      </c>
      <c r="B79" t="s">
        <v>923</v>
      </c>
      <c r="C79" t="s">
        <v>1258</v>
      </c>
      <c r="D79" t="s">
        <v>1668</v>
      </c>
      <c r="E79" t="s">
        <v>1665</v>
      </c>
      <c r="F79" t="s">
        <v>1858</v>
      </c>
      <c r="L79" t="s">
        <v>2123</v>
      </c>
      <c r="N79" t="s">
        <v>1293</v>
      </c>
      <c r="U79" t="s">
        <v>2469</v>
      </c>
    </row>
    <row r="80" spans="1:21" x14ac:dyDescent="0.25">
      <c r="A80" t="s">
        <v>123</v>
      </c>
      <c r="B80" t="s">
        <v>924</v>
      </c>
      <c r="C80" t="s">
        <v>1259</v>
      </c>
      <c r="D80" t="s">
        <v>1669</v>
      </c>
      <c r="E80" t="s">
        <v>1667</v>
      </c>
      <c r="F80" t="s">
        <v>1859</v>
      </c>
      <c r="L80" t="s">
        <v>2124</v>
      </c>
      <c r="N80" t="s">
        <v>2279</v>
      </c>
      <c r="U80" t="s">
        <v>2470</v>
      </c>
    </row>
    <row r="81" spans="1:21" x14ac:dyDescent="0.25">
      <c r="A81" t="s">
        <v>124</v>
      </c>
      <c r="B81" t="s">
        <v>925</v>
      </c>
      <c r="C81" t="s">
        <v>1260</v>
      </c>
      <c r="D81" t="s">
        <v>517</v>
      </c>
      <c r="E81" t="s">
        <v>1669</v>
      </c>
      <c r="F81" t="s">
        <v>1860</v>
      </c>
      <c r="L81" t="s">
        <v>2125</v>
      </c>
      <c r="N81" t="s">
        <v>2280</v>
      </c>
      <c r="U81" t="s">
        <v>2471</v>
      </c>
    </row>
    <row r="82" spans="1:21" x14ac:dyDescent="0.25">
      <c r="A82" t="s">
        <v>125</v>
      </c>
      <c r="B82" t="s">
        <v>926</v>
      </c>
      <c r="C82" t="s">
        <v>1261</v>
      </c>
      <c r="D82" t="s">
        <v>518</v>
      </c>
      <c r="E82" t="s">
        <v>1771</v>
      </c>
      <c r="F82" t="s">
        <v>1861</v>
      </c>
      <c r="L82" t="s">
        <v>2126</v>
      </c>
      <c r="N82" t="s">
        <v>2281</v>
      </c>
      <c r="U82" t="s">
        <v>2472</v>
      </c>
    </row>
    <row r="83" spans="1:21" x14ac:dyDescent="0.25">
      <c r="A83" t="s">
        <v>126</v>
      </c>
      <c r="B83" t="s">
        <v>927</v>
      </c>
      <c r="C83" t="s">
        <v>1262</v>
      </c>
      <c r="D83" t="s">
        <v>519</v>
      </c>
      <c r="E83" t="s">
        <v>1670</v>
      </c>
      <c r="F83" t="s">
        <v>1862</v>
      </c>
      <c r="L83" t="s">
        <v>2127</v>
      </c>
      <c r="N83" t="s">
        <v>2282</v>
      </c>
      <c r="U83" t="s">
        <v>2473</v>
      </c>
    </row>
    <row r="84" spans="1:21" x14ac:dyDescent="0.25">
      <c r="A84" t="s">
        <v>127</v>
      </c>
      <c r="B84" t="s">
        <v>928</v>
      </c>
      <c r="C84" t="s">
        <v>1263</v>
      </c>
      <c r="D84" t="s">
        <v>520</v>
      </c>
      <c r="E84" t="s">
        <v>1672</v>
      </c>
      <c r="F84" t="s">
        <v>1863</v>
      </c>
      <c r="L84" t="s">
        <v>2128</v>
      </c>
      <c r="N84" t="s">
        <v>2283</v>
      </c>
      <c r="U84" t="s">
        <v>2474</v>
      </c>
    </row>
    <row r="85" spans="1:21" x14ac:dyDescent="0.25">
      <c r="A85" t="s">
        <v>128</v>
      </c>
      <c r="B85" t="s">
        <v>929</v>
      </c>
      <c r="C85" t="s">
        <v>1264</v>
      </c>
      <c r="D85" t="s">
        <v>1670</v>
      </c>
      <c r="E85" t="s">
        <v>1674</v>
      </c>
      <c r="F85" t="s">
        <v>1864</v>
      </c>
      <c r="L85" t="s">
        <v>2129</v>
      </c>
      <c r="N85" t="s">
        <v>2284</v>
      </c>
      <c r="U85" t="s">
        <v>2475</v>
      </c>
    </row>
    <row r="86" spans="1:21" x14ac:dyDescent="0.25">
      <c r="A86" t="s">
        <v>129</v>
      </c>
      <c r="B86" t="s">
        <v>930</v>
      </c>
      <c r="C86" t="s">
        <v>1265</v>
      </c>
      <c r="D86" t="s">
        <v>1671</v>
      </c>
      <c r="E86" t="s">
        <v>1772</v>
      </c>
      <c r="F86" t="s">
        <v>1865</v>
      </c>
      <c r="L86" t="s">
        <v>2130</v>
      </c>
      <c r="N86" t="s">
        <v>2285</v>
      </c>
      <c r="U86" t="s">
        <v>2476</v>
      </c>
    </row>
    <row r="87" spans="1:21" x14ac:dyDescent="0.25">
      <c r="A87" t="s">
        <v>130</v>
      </c>
      <c r="B87" t="s">
        <v>931</v>
      </c>
      <c r="C87" t="s">
        <v>1266</v>
      </c>
      <c r="D87" t="s">
        <v>1672</v>
      </c>
      <c r="E87" t="s">
        <v>1681</v>
      </c>
      <c r="F87" t="s">
        <v>1866</v>
      </c>
      <c r="L87" t="s">
        <v>2131</v>
      </c>
      <c r="N87" t="s">
        <v>2286</v>
      </c>
      <c r="U87" t="s">
        <v>2477</v>
      </c>
    </row>
    <row r="88" spans="1:21" x14ac:dyDescent="0.25">
      <c r="A88" t="s">
        <v>131</v>
      </c>
      <c r="B88" t="s">
        <v>932</v>
      </c>
      <c r="C88" t="s">
        <v>1267</v>
      </c>
      <c r="D88" t="s">
        <v>1673</v>
      </c>
      <c r="E88" t="s">
        <v>1683</v>
      </c>
      <c r="F88" t="s">
        <v>1867</v>
      </c>
      <c r="L88" t="s">
        <v>2132</v>
      </c>
      <c r="N88" t="s">
        <v>2287</v>
      </c>
      <c r="U88" t="s">
        <v>2478</v>
      </c>
    </row>
    <row r="89" spans="1:21" x14ac:dyDescent="0.25">
      <c r="A89" t="s">
        <v>132</v>
      </c>
      <c r="B89" t="s">
        <v>933</v>
      </c>
      <c r="C89" t="s">
        <v>1268</v>
      </c>
      <c r="D89" t="s">
        <v>1674</v>
      </c>
      <c r="E89" t="s">
        <v>1773</v>
      </c>
      <c r="F89" t="s">
        <v>1868</v>
      </c>
      <c r="L89" t="s">
        <v>2133</v>
      </c>
      <c r="N89" t="s">
        <v>2288</v>
      </c>
      <c r="U89" t="s">
        <v>2479</v>
      </c>
    </row>
    <row r="90" spans="1:21" x14ac:dyDescent="0.25">
      <c r="A90" t="s">
        <v>133</v>
      </c>
      <c r="B90" t="s">
        <v>934</v>
      </c>
      <c r="C90" t="s">
        <v>1269</v>
      </c>
      <c r="D90" t="s">
        <v>1675</v>
      </c>
      <c r="E90" t="s">
        <v>1774</v>
      </c>
      <c r="F90" t="s">
        <v>1869</v>
      </c>
      <c r="L90" t="s">
        <v>2134</v>
      </c>
      <c r="N90" t="s">
        <v>1907</v>
      </c>
      <c r="U90" t="s">
        <v>2480</v>
      </c>
    </row>
    <row r="91" spans="1:21" x14ac:dyDescent="0.25">
      <c r="A91" t="s">
        <v>134</v>
      </c>
      <c r="B91" t="s">
        <v>935</v>
      </c>
      <c r="C91" t="s">
        <v>1270</v>
      </c>
      <c r="D91" t="s">
        <v>1676</v>
      </c>
      <c r="E91" t="s">
        <v>1698</v>
      </c>
      <c r="F91" t="s">
        <v>1182</v>
      </c>
      <c r="L91" t="s">
        <v>2135</v>
      </c>
      <c r="N91" t="s">
        <v>1908</v>
      </c>
      <c r="U91" t="s">
        <v>2481</v>
      </c>
    </row>
    <row r="92" spans="1:21" x14ac:dyDescent="0.25">
      <c r="A92" t="s">
        <v>135</v>
      </c>
      <c r="B92" t="s">
        <v>936</v>
      </c>
      <c r="C92" t="s">
        <v>1271</v>
      </c>
      <c r="D92" t="s">
        <v>1677</v>
      </c>
      <c r="E92" t="s">
        <v>1700</v>
      </c>
      <c r="F92" t="s">
        <v>1183</v>
      </c>
      <c r="L92" t="s">
        <v>2136</v>
      </c>
      <c r="N92" t="s">
        <v>2289</v>
      </c>
      <c r="U92" t="s">
        <v>2482</v>
      </c>
    </row>
    <row r="93" spans="1:21" x14ac:dyDescent="0.25">
      <c r="A93" t="s">
        <v>136</v>
      </c>
      <c r="B93" t="s">
        <v>937</v>
      </c>
      <c r="C93" t="s">
        <v>1272</v>
      </c>
      <c r="D93" t="s">
        <v>1678</v>
      </c>
      <c r="E93" t="s">
        <v>1702</v>
      </c>
      <c r="F93" t="s">
        <v>1184</v>
      </c>
      <c r="L93" t="s">
        <v>2137</v>
      </c>
      <c r="N93" t="s">
        <v>2290</v>
      </c>
      <c r="U93" t="s">
        <v>2483</v>
      </c>
    </row>
    <row r="94" spans="1:21" x14ac:dyDescent="0.25">
      <c r="A94" t="s">
        <v>137</v>
      </c>
      <c r="B94" t="s">
        <v>938</v>
      </c>
      <c r="C94" t="s">
        <v>1273</v>
      </c>
      <c r="D94" t="s">
        <v>1679</v>
      </c>
      <c r="E94" t="s">
        <v>1775</v>
      </c>
      <c r="F94" t="s">
        <v>1185</v>
      </c>
      <c r="L94" t="s">
        <v>2138</v>
      </c>
      <c r="N94" t="s">
        <v>2291</v>
      </c>
      <c r="U94" t="s">
        <v>2484</v>
      </c>
    </row>
    <row r="95" spans="1:21" x14ac:dyDescent="0.25">
      <c r="A95" t="s">
        <v>138</v>
      </c>
      <c r="B95" t="s">
        <v>939</v>
      </c>
      <c r="C95" t="s">
        <v>1274</v>
      </c>
      <c r="D95" t="s">
        <v>1680</v>
      </c>
      <c r="E95" t="s">
        <v>1776</v>
      </c>
      <c r="F95" t="s">
        <v>1186</v>
      </c>
      <c r="L95" t="s">
        <v>2139</v>
      </c>
      <c r="N95" t="s">
        <v>2292</v>
      </c>
      <c r="U95" t="s">
        <v>2485</v>
      </c>
    </row>
    <row r="96" spans="1:21" x14ac:dyDescent="0.25">
      <c r="A96" t="s">
        <v>139</v>
      </c>
      <c r="B96" t="s">
        <v>940</v>
      </c>
      <c r="C96" t="s">
        <v>1275</v>
      </c>
      <c r="D96" t="s">
        <v>1681</v>
      </c>
      <c r="E96" t="s">
        <v>1777</v>
      </c>
      <c r="F96" t="s">
        <v>1187</v>
      </c>
      <c r="L96" t="s">
        <v>2140</v>
      </c>
      <c r="N96" t="s">
        <v>2293</v>
      </c>
      <c r="U96" t="s">
        <v>2486</v>
      </c>
    </row>
    <row r="97" spans="1:21" x14ac:dyDescent="0.25">
      <c r="A97" t="s">
        <v>140</v>
      </c>
      <c r="B97" t="s">
        <v>941</v>
      </c>
      <c r="C97" t="s">
        <v>1276</v>
      </c>
      <c r="D97" t="s">
        <v>1682</v>
      </c>
      <c r="E97" t="s">
        <v>1778</v>
      </c>
      <c r="F97" t="s">
        <v>1188</v>
      </c>
      <c r="L97" t="s">
        <v>2141</v>
      </c>
      <c r="N97" t="s">
        <v>1313</v>
      </c>
      <c r="U97" t="s">
        <v>2487</v>
      </c>
    </row>
    <row r="98" spans="1:21" x14ac:dyDescent="0.25">
      <c r="A98" t="s">
        <v>141</v>
      </c>
      <c r="B98" t="s">
        <v>942</v>
      </c>
      <c r="C98" t="s">
        <v>1277</v>
      </c>
      <c r="D98" t="s">
        <v>1683</v>
      </c>
      <c r="E98" t="s">
        <v>244</v>
      </c>
      <c r="F98" t="s">
        <v>1189</v>
      </c>
      <c r="L98" t="s">
        <v>2142</v>
      </c>
      <c r="N98" t="s">
        <v>1315</v>
      </c>
      <c r="U98" t="s">
        <v>2488</v>
      </c>
    </row>
    <row r="99" spans="1:21" x14ac:dyDescent="0.25">
      <c r="A99" t="s">
        <v>142</v>
      </c>
      <c r="B99" t="s">
        <v>943</v>
      </c>
      <c r="C99" t="s">
        <v>1278</v>
      </c>
      <c r="D99" t="s">
        <v>1684</v>
      </c>
      <c r="E99" t="s">
        <v>1779</v>
      </c>
      <c r="F99" t="s">
        <v>1190</v>
      </c>
      <c r="L99" t="s">
        <v>2143</v>
      </c>
      <c r="N99" t="s">
        <v>2294</v>
      </c>
      <c r="U99" t="s">
        <v>2489</v>
      </c>
    </row>
    <row r="100" spans="1:21" x14ac:dyDescent="0.25">
      <c r="A100" t="s">
        <v>143</v>
      </c>
      <c r="B100" t="s">
        <v>944</v>
      </c>
      <c r="C100" t="s">
        <v>1279</v>
      </c>
      <c r="D100" t="s">
        <v>1685</v>
      </c>
      <c r="F100" t="s">
        <v>1191</v>
      </c>
      <c r="L100" t="s">
        <v>2144</v>
      </c>
      <c r="N100" t="s">
        <v>1320</v>
      </c>
      <c r="U100" t="s">
        <v>2490</v>
      </c>
    </row>
    <row r="101" spans="1:21" x14ac:dyDescent="0.25">
      <c r="A101" t="s">
        <v>144</v>
      </c>
      <c r="B101" t="s">
        <v>945</v>
      </c>
      <c r="C101" t="s">
        <v>1280</v>
      </c>
      <c r="D101" t="s">
        <v>1686</v>
      </c>
      <c r="F101" t="s">
        <v>1870</v>
      </c>
      <c r="L101" t="s">
        <v>2145</v>
      </c>
      <c r="N101" t="s">
        <v>1322</v>
      </c>
      <c r="U101" t="s">
        <v>2491</v>
      </c>
    </row>
    <row r="102" spans="1:21" x14ac:dyDescent="0.25">
      <c r="A102" t="s">
        <v>145</v>
      </c>
      <c r="B102" t="s">
        <v>946</v>
      </c>
      <c r="C102" t="s">
        <v>1281</v>
      </c>
      <c r="D102" t="s">
        <v>1687</v>
      </c>
      <c r="F102" t="s">
        <v>1871</v>
      </c>
      <c r="L102" t="s">
        <v>2146</v>
      </c>
      <c r="N102" t="s">
        <v>2295</v>
      </c>
      <c r="U102" t="s">
        <v>2492</v>
      </c>
    </row>
    <row r="103" spans="1:21" x14ac:dyDescent="0.25">
      <c r="A103" t="s">
        <v>146</v>
      </c>
      <c r="B103" t="s">
        <v>947</v>
      </c>
      <c r="C103" t="s">
        <v>1282</v>
      </c>
      <c r="D103" t="s">
        <v>1688</v>
      </c>
      <c r="F103" t="s">
        <v>1872</v>
      </c>
      <c r="L103" t="s">
        <v>2147</v>
      </c>
      <c r="N103" t="s">
        <v>2296</v>
      </c>
    </row>
    <row r="104" spans="1:21" x14ac:dyDescent="0.25">
      <c r="A104" t="s">
        <v>147</v>
      </c>
      <c r="B104" t="s">
        <v>948</v>
      </c>
      <c r="C104" t="s">
        <v>1283</v>
      </c>
      <c r="D104" t="s">
        <v>1689</v>
      </c>
      <c r="F104" t="s">
        <v>1873</v>
      </c>
      <c r="L104" t="s">
        <v>2148</v>
      </c>
      <c r="N104" t="s">
        <v>1327</v>
      </c>
    </row>
    <row r="105" spans="1:21" x14ac:dyDescent="0.25">
      <c r="A105" t="s">
        <v>148</v>
      </c>
      <c r="B105" t="s">
        <v>949</v>
      </c>
      <c r="C105" t="s">
        <v>1284</v>
      </c>
      <c r="D105" t="s">
        <v>1690</v>
      </c>
      <c r="F105" t="s">
        <v>1874</v>
      </c>
      <c r="L105" t="s">
        <v>2149</v>
      </c>
      <c r="N105" t="s">
        <v>1331</v>
      </c>
    </row>
    <row r="106" spans="1:21" x14ac:dyDescent="0.25">
      <c r="A106" t="s">
        <v>149</v>
      </c>
      <c r="B106" t="s">
        <v>950</v>
      </c>
      <c r="C106" t="s">
        <v>1285</v>
      </c>
      <c r="D106" t="s">
        <v>1691</v>
      </c>
      <c r="F106" t="s">
        <v>1193</v>
      </c>
      <c r="L106" t="s">
        <v>2150</v>
      </c>
      <c r="N106" t="s">
        <v>1333</v>
      </c>
    </row>
    <row r="107" spans="1:21" x14ac:dyDescent="0.25">
      <c r="A107" t="s">
        <v>150</v>
      </c>
      <c r="B107" t="s">
        <v>951</v>
      </c>
      <c r="C107" t="s">
        <v>1286</v>
      </c>
      <c r="D107" t="s">
        <v>1692</v>
      </c>
      <c r="F107" t="s">
        <v>1194</v>
      </c>
      <c r="L107" t="s">
        <v>2151</v>
      </c>
      <c r="N107" t="s">
        <v>2297</v>
      </c>
    </row>
    <row r="108" spans="1:21" x14ac:dyDescent="0.25">
      <c r="A108" t="s">
        <v>151</v>
      </c>
      <c r="B108" t="s">
        <v>952</v>
      </c>
      <c r="C108" t="s">
        <v>1287</v>
      </c>
      <c r="D108" t="s">
        <v>583</v>
      </c>
      <c r="F108" t="s">
        <v>1195</v>
      </c>
      <c r="L108" t="s">
        <v>2152</v>
      </c>
      <c r="N108" t="s">
        <v>2298</v>
      </c>
    </row>
    <row r="109" spans="1:21" x14ac:dyDescent="0.25">
      <c r="A109" t="s">
        <v>152</v>
      </c>
      <c r="B109" t="s">
        <v>953</v>
      </c>
      <c r="C109" t="s">
        <v>1288</v>
      </c>
      <c r="D109" t="s">
        <v>1693</v>
      </c>
      <c r="F109" t="s">
        <v>1196</v>
      </c>
      <c r="L109" t="s">
        <v>2153</v>
      </c>
      <c r="N109" t="s">
        <v>1919</v>
      </c>
    </row>
    <row r="110" spans="1:21" x14ac:dyDescent="0.25">
      <c r="A110" t="s">
        <v>153</v>
      </c>
      <c r="B110" t="s">
        <v>954</v>
      </c>
      <c r="C110" t="s">
        <v>1289</v>
      </c>
      <c r="D110" t="s">
        <v>1694</v>
      </c>
      <c r="F110" t="s">
        <v>1197</v>
      </c>
      <c r="L110" t="s">
        <v>2154</v>
      </c>
      <c r="N110" t="s">
        <v>2299</v>
      </c>
    </row>
    <row r="111" spans="1:21" x14ac:dyDescent="0.25">
      <c r="A111" t="s">
        <v>154</v>
      </c>
      <c r="B111" t="s">
        <v>955</v>
      </c>
      <c r="C111" t="s">
        <v>1290</v>
      </c>
      <c r="D111" t="s">
        <v>1695</v>
      </c>
      <c r="F111" t="s">
        <v>1875</v>
      </c>
      <c r="L111" t="s">
        <v>2155</v>
      </c>
      <c r="N111" t="s">
        <v>2300</v>
      </c>
    </row>
    <row r="112" spans="1:21" x14ac:dyDescent="0.25">
      <c r="A112" t="s">
        <v>155</v>
      </c>
      <c r="B112" t="s">
        <v>956</v>
      </c>
      <c r="C112" t="s">
        <v>1291</v>
      </c>
      <c r="D112" t="s">
        <v>1696</v>
      </c>
      <c r="F112" t="s">
        <v>1876</v>
      </c>
      <c r="L112" t="s">
        <v>2156</v>
      </c>
      <c r="N112" t="s">
        <v>2301</v>
      </c>
    </row>
    <row r="113" spans="1:14" x14ac:dyDescent="0.25">
      <c r="A113" t="s">
        <v>156</v>
      </c>
      <c r="B113" t="s">
        <v>957</v>
      </c>
      <c r="C113" t="s">
        <v>1292</v>
      </c>
      <c r="D113" t="s">
        <v>1697</v>
      </c>
      <c r="F113" t="s">
        <v>1877</v>
      </c>
      <c r="L113" t="s">
        <v>2157</v>
      </c>
      <c r="N113" t="s">
        <v>1358</v>
      </c>
    </row>
    <row r="114" spans="1:14" x14ac:dyDescent="0.25">
      <c r="A114" t="s">
        <v>157</v>
      </c>
      <c r="B114" t="s">
        <v>958</v>
      </c>
      <c r="C114" t="s">
        <v>1293</v>
      </c>
      <c r="D114" t="s">
        <v>1698</v>
      </c>
      <c r="F114" t="s">
        <v>1878</v>
      </c>
      <c r="L114" t="s">
        <v>2158</v>
      </c>
      <c r="N114" t="s">
        <v>1362</v>
      </c>
    </row>
    <row r="115" spans="1:14" x14ac:dyDescent="0.25">
      <c r="A115" t="s">
        <v>158</v>
      </c>
      <c r="B115" t="s">
        <v>959</v>
      </c>
      <c r="C115" t="s">
        <v>1294</v>
      </c>
      <c r="D115" t="s">
        <v>1699</v>
      </c>
      <c r="F115" t="s">
        <v>1879</v>
      </c>
      <c r="L115" t="s">
        <v>2159</v>
      </c>
      <c r="N115" t="s">
        <v>2302</v>
      </c>
    </row>
    <row r="116" spans="1:14" x14ac:dyDescent="0.25">
      <c r="A116" t="s">
        <v>159</v>
      </c>
      <c r="B116" t="s">
        <v>960</v>
      </c>
      <c r="C116" t="s">
        <v>1295</v>
      </c>
      <c r="D116" t="s">
        <v>1700</v>
      </c>
      <c r="F116" t="s">
        <v>1201</v>
      </c>
      <c r="L116" t="s">
        <v>2160</v>
      </c>
      <c r="N116" t="s">
        <v>2303</v>
      </c>
    </row>
    <row r="117" spans="1:14" x14ac:dyDescent="0.25">
      <c r="A117" t="s">
        <v>160</v>
      </c>
      <c r="B117" t="s">
        <v>961</v>
      </c>
      <c r="C117" t="s">
        <v>1296</v>
      </c>
      <c r="D117" t="s">
        <v>1701</v>
      </c>
      <c r="F117" t="s">
        <v>1202</v>
      </c>
      <c r="L117" t="s">
        <v>2161</v>
      </c>
      <c r="N117" t="s">
        <v>2304</v>
      </c>
    </row>
    <row r="118" spans="1:14" x14ac:dyDescent="0.25">
      <c r="A118" t="s">
        <v>161</v>
      </c>
      <c r="B118" t="s">
        <v>962</v>
      </c>
      <c r="C118" t="s">
        <v>1297</v>
      </c>
      <c r="D118" t="s">
        <v>1702</v>
      </c>
      <c r="F118" t="s">
        <v>1203</v>
      </c>
      <c r="L118" t="s">
        <v>2162</v>
      </c>
      <c r="N118" t="s">
        <v>2305</v>
      </c>
    </row>
    <row r="119" spans="1:14" x14ac:dyDescent="0.25">
      <c r="A119" t="s">
        <v>162</v>
      </c>
      <c r="B119" t="s">
        <v>963</v>
      </c>
      <c r="C119" t="s">
        <v>1298</v>
      </c>
      <c r="D119" t="s">
        <v>1703</v>
      </c>
      <c r="F119" t="s">
        <v>1204</v>
      </c>
      <c r="L119" t="s">
        <v>2163</v>
      </c>
      <c r="N119" t="s">
        <v>2306</v>
      </c>
    </row>
    <row r="120" spans="1:14" x14ac:dyDescent="0.25">
      <c r="A120" t="s">
        <v>163</v>
      </c>
      <c r="B120" t="s">
        <v>964</v>
      </c>
      <c r="C120" t="s">
        <v>1299</v>
      </c>
      <c r="D120" t="s">
        <v>1704</v>
      </c>
      <c r="F120" t="s">
        <v>1206</v>
      </c>
      <c r="L120" t="s">
        <v>2164</v>
      </c>
      <c r="N120" t="s">
        <v>2307</v>
      </c>
    </row>
    <row r="121" spans="1:14" x14ac:dyDescent="0.25">
      <c r="A121" t="s">
        <v>164</v>
      </c>
      <c r="B121" t="s">
        <v>965</v>
      </c>
      <c r="C121" t="s">
        <v>1300</v>
      </c>
      <c r="D121" t="s">
        <v>1705</v>
      </c>
      <c r="F121" t="s">
        <v>1211</v>
      </c>
      <c r="L121" t="s">
        <v>2165</v>
      </c>
      <c r="N121" t="s">
        <v>2308</v>
      </c>
    </row>
    <row r="122" spans="1:14" x14ac:dyDescent="0.25">
      <c r="A122" t="s">
        <v>165</v>
      </c>
      <c r="B122" t="s">
        <v>966</v>
      </c>
      <c r="C122" t="s">
        <v>1301</v>
      </c>
      <c r="D122" t="s">
        <v>1706</v>
      </c>
      <c r="F122" t="s">
        <v>1212</v>
      </c>
      <c r="L122" t="s">
        <v>2166</v>
      </c>
      <c r="N122" t="s">
        <v>2309</v>
      </c>
    </row>
    <row r="123" spans="1:14" x14ac:dyDescent="0.25">
      <c r="A123" t="s">
        <v>166</v>
      </c>
      <c r="B123" t="s">
        <v>967</v>
      </c>
      <c r="C123" t="s">
        <v>1302</v>
      </c>
      <c r="D123" t="s">
        <v>1707</v>
      </c>
      <c r="F123" t="s">
        <v>1213</v>
      </c>
      <c r="L123" t="s">
        <v>2167</v>
      </c>
      <c r="N123" t="s">
        <v>2310</v>
      </c>
    </row>
    <row r="124" spans="1:14" x14ac:dyDescent="0.25">
      <c r="A124" t="s">
        <v>167</v>
      </c>
      <c r="B124" t="s">
        <v>968</v>
      </c>
      <c r="C124" t="s">
        <v>1303</v>
      </c>
      <c r="D124" t="s">
        <v>1708</v>
      </c>
      <c r="F124" t="s">
        <v>1215</v>
      </c>
      <c r="N124" t="s">
        <v>2311</v>
      </c>
    </row>
    <row r="125" spans="1:14" x14ac:dyDescent="0.25">
      <c r="A125" t="s">
        <v>168</v>
      </c>
      <c r="B125" t="s">
        <v>969</v>
      </c>
      <c r="C125" t="s">
        <v>1304</v>
      </c>
      <c r="D125" t="s">
        <v>1709</v>
      </c>
      <c r="F125" t="s">
        <v>1880</v>
      </c>
      <c r="N125" t="s">
        <v>2312</v>
      </c>
    </row>
    <row r="126" spans="1:14" x14ac:dyDescent="0.25">
      <c r="A126" t="s">
        <v>169</v>
      </c>
      <c r="B126" t="s">
        <v>970</v>
      </c>
      <c r="C126" t="s">
        <v>1305</v>
      </c>
      <c r="D126" t="s">
        <v>1710</v>
      </c>
      <c r="F126" t="s">
        <v>1881</v>
      </c>
      <c r="N126" t="s">
        <v>2313</v>
      </c>
    </row>
    <row r="127" spans="1:14" x14ac:dyDescent="0.25">
      <c r="A127" t="s">
        <v>170</v>
      </c>
      <c r="B127" t="s">
        <v>971</v>
      </c>
      <c r="C127" t="s">
        <v>1306</v>
      </c>
      <c r="D127" t="s">
        <v>1711</v>
      </c>
      <c r="F127" t="s">
        <v>1882</v>
      </c>
      <c r="N127" t="s">
        <v>1367</v>
      </c>
    </row>
    <row r="128" spans="1:14" x14ac:dyDescent="0.25">
      <c r="A128" t="s">
        <v>171</v>
      </c>
      <c r="B128" t="s">
        <v>972</v>
      </c>
      <c r="C128" t="s">
        <v>1307</v>
      </c>
      <c r="D128" t="s">
        <v>1712</v>
      </c>
      <c r="F128" t="s">
        <v>1883</v>
      </c>
      <c r="N128" t="s">
        <v>1369</v>
      </c>
    </row>
    <row r="129" spans="1:14" x14ac:dyDescent="0.25">
      <c r="A129" t="s">
        <v>172</v>
      </c>
      <c r="B129" t="s">
        <v>572</v>
      </c>
      <c r="C129" t="s">
        <v>1308</v>
      </c>
      <c r="D129" t="s">
        <v>1713</v>
      </c>
      <c r="F129" t="s">
        <v>1884</v>
      </c>
      <c r="N129" t="s">
        <v>1371</v>
      </c>
    </row>
    <row r="130" spans="1:14" x14ac:dyDescent="0.25">
      <c r="A130" t="s">
        <v>173</v>
      </c>
      <c r="B130" t="s">
        <v>573</v>
      </c>
      <c r="C130" t="s">
        <v>1309</v>
      </c>
      <c r="D130" t="s">
        <v>1714</v>
      </c>
      <c r="F130" t="s">
        <v>1885</v>
      </c>
      <c r="N130" t="s">
        <v>2314</v>
      </c>
    </row>
    <row r="131" spans="1:14" x14ac:dyDescent="0.25">
      <c r="A131" t="s">
        <v>174</v>
      </c>
      <c r="B131" t="s">
        <v>574</v>
      </c>
      <c r="C131" t="s">
        <v>1310</v>
      </c>
      <c r="D131" t="s">
        <v>1715</v>
      </c>
      <c r="F131" t="s">
        <v>1886</v>
      </c>
      <c r="N131" t="s">
        <v>8</v>
      </c>
    </row>
    <row r="132" spans="1:14" x14ac:dyDescent="0.25">
      <c r="A132" t="s">
        <v>175</v>
      </c>
      <c r="B132" t="s">
        <v>973</v>
      </c>
      <c r="C132" t="s">
        <v>1311</v>
      </c>
      <c r="D132" t="s">
        <v>1716</v>
      </c>
      <c r="F132" t="s">
        <v>1887</v>
      </c>
      <c r="N132" t="s">
        <v>1384</v>
      </c>
    </row>
    <row r="133" spans="1:14" x14ac:dyDescent="0.25">
      <c r="A133" t="s">
        <v>176</v>
      </c>
      <c r="B133" t="s">
        <v>576</v>
      </c>
      <c r="C133" t="s">
        <v>1312</v>
      </c>
      <c r="D133" t="s">
        <v>1717</v>
      </c>
      <c r="F133" t="s">
        <v>1888</v>
      </c>
      <c r="N133" t="s">
        <v>1386</v>
      </c>
    </row>
    <row r="134" spans="1:14" x14ac:dyDescent="0.25">
      <c r="A134" t="s">
        <v>177</v>
      </c>
      <c r="B134" t="s">
        <v>974</v>
      </c>
      <c r="C134" t="s">
        <v>1313</v>
      </c>
      <c r="D134" t="s">
        <v>1718</v>
      </c>
      <c r="F134" t="s">
        <v>1889</v>
      </c>
      <c r="N134" t="s">
        <v>2315</v>
      </c>
    </row>
    <row r="135" spans="1:14" x14ac:dyDescent="0.25">
      <c r="A135" t="s">
        <v>178</v>
      </c>
      <c r="B135" t="s">
        <v>578</v>
      </c>
      <c r="C135" t="s">
        <v>1314</v>
      </c>
      <c r="D135" t="s">
        <v>1719</v>
      </c>
      <c r="F135" t="s">
        <v>1220</v>
      </c>
      <c r="N135" t="s">
        <v>2316</v>
      </c>
    </row>
    <row r="136" spans="1:14" x14ac:dyDescent="0.25">
      <c r="A136" t="s">
        <v>179</v>
      </c>
      <c r="B136" t="s">
        <v>975</v>
      </c>
      <c r="C136" t="s">
        <v>1315</v>
      </c>
      <c r="D136" t="s">
        <v>1720</v>
      </c>
      <c r="F136" t="s">
        <v>1221</v>
      </c>
      <c r="N136" t="s">
        <v>2317</v>
      </c>
    </row>
    <row r="137" spans="1:14" x14ac:dyDescent="0.25">
      <c r="A137" t="s">
        <v>180</v>
      </c>
      <c r="B137" t="s">
        <v>976</v>
      </c>
      <c r="C137" t="s">
        <v>1316</v>
      </c>
      <c r="D137" t="s">
        <v>1721</v>
      </c>
      <c r="F137" t="s">
        <v>1222</v>
      </c>
      <c r="N137" t="s">
        <v>2318</v>
      </c>
    </row>
    <row r="138" spans="1:14" x14ac:dyDescent="0.25">
      <c r="A138" t="s">
        <v>181</v>
      </c>
      <c r="B138" t="s">
        <v>977</v>
      </c>
      <c r="C138" t="s">
        <v>1317</v>
      </c>
      <c r="D138" t="s">
        <v>1722</v>
      </c>
      <c r="F138" t="s">
        <v>1224</v>
      </c>
      <c r="N138" t="s">
        <v>2319</v>
      </c>
    </row>
    <row r="139" spans="1:14" x14ac:dyDescent="0.25">
      <c r="A139" t="s">
        <v>182</v>
      </c>
      <c r="B139" t="s">
        <v>978</v>
      </c>
      <c r="C139" t="s">
        <v>1318</v>
      </c>
      <c r="D139" t="s">
        <v>1723</v>
      </c>
      <c r="F139" t="s">
        <v>1226</v>
      </c>
      <c r="N139" t="s">
        <v>2320</v>
      </c>
    </row>
    <row r="140" spans="1:14" x14ac:dyDescent="0.25">
      <c r="A140" t="s">
        <v>183</v>
      </c>
      <c r="B140" t="s">
        <v>979</v>
      </c>
      <c r="C140" t="s">
        <v>1319</v>
      </c>
      <c r="D140" t="s">
        <v>1724</v>
      </c>
      <c r="F140" t="s">
        <v>1229</v>
      </c>
      <c r="N140" t="s">
        <v>2321</v>
      </c>
    </row>
    <row r="141" spans="1:14" x14ac:dyDescent="0.25">
      <c r="A141" t="s">
        <v>184</v>
      </c>
      <c r="B141" t="s">
        <v>980</v>
      </c>
      <c r="C141" t="s">
        <v>1320</v>
      </c>
      <c r="D141" t="s">
        <v>1725</v>
      </c>
      <c r="F141" t="s">
        <v>1230</v>
      </c>
      <c r="N141" t="s">
        <v>2322</v>
      </c>
    </row>
    <row r="142" spans="1:14" x14ac:dyDescent="0.25">
      <c r="A142" t="s">
        <v>185</v>
      </c>
      <c r="B142" t="s">
        <v>589</v>
      </c>
      <c r="C142" t="s">
        <v>1321</v>
      </c>
      <c r="D142" t="s">
        <v>1726</v>
      </c>
      <c r="F142" t="s">
        <v>1231</v>
      </c>
      <c r="N142" t="s">
        <v>1407</v>
      </c>
    </row>
    <row r="143" spans="1:14" x14ac:dyDescent="0.25">
      <c r="A143" t="s">
        <v>186</v>
      </c>
      <c r="B143" t="s">
        <v>590</v>
      </c>
      <c r="C143" t="s">
        <v>1322</v>
      </c>
      <c r="D143" t="s">
        <v>1727</v>
      </c>
      <c r="F143" t="s">
        <v>1233</v>
      </c>
      <c r="N143" t="s">
        <v>1409</v>
      </c>
    </row>
    <row r="144" spans="1:14" x14ac:dyDescent="0.25">
      <c r="A144" t="s">
        <v>187</v>
      </c>
      <c r="B144" t="s">
        <v>591</v>
      </c>
      <c r="C144" t="s">
        <v>1323</v>
      </c>
      <c r="D144" t="s">
        <v>1728</v>
      </c>
      <c r="F144" t="s">
        <v>1235</v>
      </c>
      <c r="N144" t="s">
        <v>1411</v>
      </c>
    </row>
    <row r="145" spans="1:14" x14ac:dyDescent="0.25">
      <c r="A145" t="s">
        <v>188</v>
      </c>
      <c r="B145" t="s">
        <v>981</v>
      </c>
      <c r="C145" t="s">
        <v>1324</v>
      </c>
      <c r="D145" t="s">
        <v>1729</v>
      </c>
      <c r="F145" t="s">
        <v>1890</v>
      </c>
      <c r="N145" t="s">
        <v>1418</v>
      </c>
    </row>
    <row r="146" spans="1:14" x14ac:dyDescent="0.25">
      <c r="A146" t="s">
        <v>189</v>
      </c>
      <c r="B146" t="s">
        <v>593</v>
      </c>
      <c r="C146" t="s">
        <v>1325</v>
      </c>
      <c r="D146" t="s">
        <v>1730</v>
      </c>
      <c r="F146" t="s">
        <v>1891</v>
      </c>
      <c r="N146" t="s">
        <v>9</v>
      </c>
    </row>
    <row r="147" spans="1:14" x14ac:dyDescent="0.25">
      <c r="A147" t="s">
        <v>190</v>
      </c>
      <c r="B147" t="s">
        <v>982</v>
      </c>
      <c r="C147" t="s">
        <v>1326</v>
      </c>
      <c r="D147" t="s">
        <v>1731</v>
      </c>
      <c r="F147" t="s">
        <v>1892</v>
      </c>
      <c r="N147" t="s">
        <v>2323</v>
      </c>
    </row>
    <row r="148" spans="1:14" x14ac:dyDescent="0.25">
      <c r="A148" t="s">
        <v>191</v>
      </c>
      <c r="B148" t="s">
        <v>595</v>
      </c>
      <c r="C148" t="s">
        <v>1327</v>
      </c>
      <c r="D148" t="s">
        <v>1732</v>
      </c>
      <c r="F148" t="s">
        <v>1893</v>
      </c>
      <c r="N148" t="s">
        <v>2324</v>
      </c>
    </row>
    <row r="149" spans="1:14" x14ac:dyDescent="0.25">
      <c r="A149" t="s">
        <v>192</v>
      </c>
      <c r="B149" t="s">
        <v>983</v>
      </c>
      <c r="C149" t="s">
        <v>1328</v>
      </c>
      <c r="D149" t="s">
        <v>1733</v>
      </c>
      <c r="F149" t="s">
        <v>1239</v>
      </c>
      <c r="N149" t="s">
        <v>2325</v>
      </c>
    </row>
    <row r="150" spans="1:14" x14ac:dyDescent="0.25">
      <c r="A150" t="s">
        <v>193</v>
      </c>
      <c r="B150" t="s">
        <v>984</v>
      </c>
      <c r="C150" t="s">
        <v>1329</v>
      </c>
      <c r="D150" t="s">
        <v>1734</v>
      </c>
      <c r="F150" t="s">
        <v>1240</v>
      </c>
      <c r="N150" t="s">
        <v>2326</v>
      </c>
    </row>
    <row r="151" spans="1:14" x14ac:dyDescent="0.25">
      <c r="A151" t="s">
        <v>194</v>
      </c>
      <c r="B151" t="s">
        <v>985</v>
      </c>
      <c r="C151" t="s">
        <v>1330</v>
      </c>
      <c r="D151" t="s">
        <v>1735</v>
      </c>
      <c r="F151" t="s">
        <v>1242</v>
      </c>
      <c r="N151" t="s">
        <v>1440</v>
      </c>
    </row>
    <row r="152" spans="1:14" x14ac:dyDescent="0.25">
      <c r="A152" t="s">
        <v>195</v>
      </c>
      <c r="B152" t="s">
        <v>986</v>
      </c>
      <c r="C152" t="s">
        <v>1331</v>
      </c>
      <c r="D152" t="s">
        <v>1736</v>
      </c>
      <c r="F152" t="s">
        <v>1244</v>
      </c>
      <c r="N152" t="s">
        <v>1442</v>
      </c>
    </row>
    <row r="153" spans="1:14" x14ac:dyDescent="0.25">
      <c r="A153" t="s">
        <v>196</v>
      </c>
      <c r="B153" t="s">
        <v>987</v>
      </c>
      <c r="C153" t="s">
        <v>1332</v>
      </c>
      <c r="D153" t="s">
        <v>1737</v>
      </c>
      <c r="F153" t="s">
        <v>1246</v>
      </c>
      <c r="N153" t="s">
        <v>1444</v>
      </c>
    </row>
    <row r="154" spans="1:14" x14ac:dyDescent="0.25">
      <c r="A154" t="s">
        <v>197</v>
      </c>
      <c r="B154" t="s">
        <v>988</v>
      </c>
      <c r="C154" t="s">
        <v>1333</v>
      </c>
      <c r="D154" t="s">
        <v>1738</v>
      </c>
      <c r="F154" t="s">
        <v>1894</v>
      </c>
      <c r="N154" t="s">
        <v>2327</v>
      </c>
    </row>
    <row r="155" spans="1:14" x14ac:dyDescent="0.25">
      <c r="A155" t="s">
        <v>198</v>
      </c>
      <c r="B155" t="s">
        <v>989</v>
      </c>
      <c r="C155" t="s">
        <v>1334</v>
      </c>
      <c r="D155" t="s">
        <v>1739</v>
      </c>
      <c r="F155" t="s">
        <v>1895</v>
      </c>
      <c r="N155" t="s">
        <v>1453</v>
      </c>
    </row>
    <row r="156" spans="1:14" x14ac:dyDescent="0.25">
      <c r="A156" t="s">
        <v>199</v>
      </c>
      <c r="B156" t="s">
        <v>990</v>
      </c>
      <c r="C156" t="s">
        <v>1335</v>
      </c>
      <c r="D156" t="s">
        <v>1740</v>
      </c>
      <c r="F156" t="s">
        <v>1896</v>
      </c>
      <c r="N156" t="s">
        <v>2328</v>
      </c>
    </row>
    <row r="157" spans="1:14" x14ac:dyDescent="0.25">
      <c r="A157" t="s">
        <v>200</v>
      </c>
      <c r="B157" t="s">
        <v>991</v>
      </c>
      <c r="C157" t="s">
        <v>1336</v>
      </c>
      <c r="D157" t="s">
        <v>1741</v>
      </c>
      <c r="F157" t="s">
        <v>1897</v>
      </c>
      <c r="N157" t="s">
        <v>2329</v>
      </c>
    </row>
    <row r="158" spans="1:14" x14ac:dyDescent="0.25">
      <c r="A158" t="s">
        <v>201</v>
      </c>
      <c r="B158" t="s">
        <v>992</v>
      </c>
      <c r="C158" t="s">
        <v>1337</v>
      </c>
      <c r="F158" t="s">
        <v>1898</v>
      </c>
      <c r="N158" t="s">
        <v>2330</v>
      </c>
    </row>
    <row r="159" spans="1:14" x14ac:dyDescent="0.25">
      <c r="A159" t="s">
        <v>202</v>
      </c>
      <c r="B159" t="s">
        <v>993</v>
      </c>
      <c r="C159" t="s">
        <v>1338</v>
      </c>
      <c r="F159" t="s">
        <v>1267</v>
      </c>
      <c r="N159" t="s">
        <v>2331</v>
      </c>
    </row>
    <row r="160" spans="1:14" x14ac:dyDescent="0.25">
      <c r="A160" t="s">
        <v>203</v>
      </c>
      <c r="B160" t="s">
        <v>994</v>
      </c>
      <c r="C160" t="s">
        <v>1339</v>
      </c>
      <c r="F160" t="s">
        <v>1269</v>
      </c>
      <c r="N160" t="s">
        <v>2332</v>
      </c>
    </row>
    <row r="161" spans="1:14" x14ac:dyDescent="0.25">
      <c r="A161" t="s">
        <v>204</v>
      </c>
      <c r="B161" t="s">
        <v>995</v>
      </c>
      <c r="C161" t="s">
        <v>1340</v>
      </c>
      <c r="F161" t="s">
        <v>1271</v>
      </c>
      <c r="N161" t="s">
        <v>2333</v>
      </c>
    </row>
    <row r="162" spans="1:14" x14ac:dyDescent="0.25">
      <c r="A162" t="s">
        <v>205</v>
      </c>
      <c r="B162" t="s">
        <v>996</v>
      </c>
      <c r="C162" t="s">
        <v>1341</v>
      </c>
      <c r="F162" t="s">
        <v>1272</v>
      </c>
      <c r="N162" t="s">
        <v>2334</v>
      </c>
    </row>
    <row r="163" spans="1:14" x14ac:dyDescent="0.25">
      <c r="A163" t="s">
        <v>206</v>
      </c>
      <c r="B163" t="s">
        <v>997</v>
      </c>
      <c r="C163" t="s">
        <v>1342</v>
      </c>
      <c r="F163" t="s">
        <v>1275</v>
      </c>
      <c r="N163" t="s">
        <v>2335</v>
      </c>
    </row>
    <row r="164" spans="1:14" x14ac:dyDescent="0.25">
      <c r="A164" t="s">
        <v>207</v>
      </c>
      <c r="B164" t="s">
        <v>998</v>
      </c>
      <c r="C164" t="s">
        <v>1343</v>
      </c>
      <c r="F164" t="s">
        <v>1277</v>
      </c>
      <c r="N164" t="s">
        <v>2336</v>
      </c>
    </row>
    <row r="165" spans="1:14" x14ac:dyDescent="0.25">
      <c r="A165" t="s">
        <v>208</v>
      </c>
      <c r="B165" t="s">
        <v>999</v>
      </c>
      <c r="C165" t="s">
        <v>1344</v>
      </c>
      <c r="F165" t="s">
        <v>1279</v>
      </c>
      <c r="N165" t="s">
        <v>2337</v>
      </c>
    </row>
    <row r="166" spans="1:14" x14ac:dyDescent="0.25">
      <c r="A166" t="s">
        <v>209</v>
      </c>
      <c r="B166" t="s">
        <v>1000</v>
      </c>
      <c r="C166" t="s">
        <v>7</v>
      </c>
      <c r="F166" t="s">
        <v>1281</v>
      </c>
      <c r="N166" t="s">
        <v>2338</v>
      </c>
    </row>
    <row r="167" spans="1:14" x14ac:dyDescent="0.25">
      <c r="A167" t="s">
        <v>210</v>
      </c>
      <c r="B167" t="s">
        <v>1001</v>
      </c>
      <c r="C167" t="s">
        <v>1345</v>
      </c>
      <c r="F167" t="s">
        <v>1284</v>
      </c>
      <c r="N167" t="s">
        <v>2339</v>
      </c>
    </row>
    <row r="168" spans="1:14" x14ac:dyDescent="0.25">
      <c r="A168" t="s">
        <v>211</v>
      </c>
      <c r="B168" t="s">
        <v>1002</v>
      </c>
      <c r="C168" t="s">
        <v>1346</v>
      </c>
      <c r="F168" t="s">
        <v>1286</v>
      </c>
      <c r="N168" t="s">
        <v>2340</v>
      </c>
    </row>
    <row r="169" spans="1:14" x14ac:dyDescent="0.25">
      <c r="A169" t="s">
        <v>212</v>
      </c>
      <c r="B169" t="s">
        <v>1003</v>
      </c>
      <c r="C169" t="s">
        <v>1347</v>
      </c>
      <c r="F169" t="s">
        <v>1288</v>
      </c>
      <c r="N169" t="s">
        <v>2341</v>
      </c>
    </row>
    <row r="170" spans="1:14" x14ac:dyDescent="0.25">
      <c r="A170" t="s">
        <v>213</v>
      </c>
      <c r="B170" t="s">
        <v>1004</v>
      </c>
      <c r="C170" t="s">
        <v>1348</v>
      </c>
      <c r="F170" t="s">
        <v>1290</v>
      </c>
      <c r="N170" t="s">
        <v>1536</v>
      </c>
    </row>
    <row r="171" spans="1:14" x14ac:dyDescent="0.25">
      <c r="A171" t="s">
        <v>214</v>
      </c>
      <c r="B171" t="s">
        <v>1005</v>
      </c>
      <c r="C171" t="s">
        <v>1349</v>
      </c>
      <c r="F171" t="s">
        <v>1899</v>
      </c>
      <c r="N171" t="s">
        <v>2342</v>
      </c>
    </row>
    <row r="172" spans="1:14" x14ac:dyDescent="0.25">
      <c r="A172" t="s">
        <v>215</v>
      </c>
      <c r="B172" t="s">
        <v>1006</v>
      </c>
      <c r="C172" t="s">
        <v>1350</v>
      </c>
      <c r="F172" t="s">
        <v>1900</v>
      </c>
      <c r="N172" t="s">
        <v>2343</v>
      </c>
    </row>
    <row r="173" spans="1:14" x14ac:dyDescent="0.25">
      <c r="A173" t="s">
        <v>216</v>
      </c>
      <c r="B173" t="s">
        <v>1007</v>
      </c>
      <c r="C173" t="s">
        <v>1351</v>
      </c>
      <c r="F173" t="s">
        <v>1901</v>
      </c>
      <c r="N173" t="s">
        <v>2344</v>
      </c>
    </row>
    <row r="174" spans="1:14" x14ac:dyDescent="0.25">
      <c r="A174" t="s">
        <v>217</v>
      </c>
      <c r="B174" t="s">
        <v>1008</v>
      </c>
      <c r="C174" t="s">
        <v>1352</v>
      </c>
      <c r="F174" t="s">
        <v>1902</v>
      </c>
      <c r="N174" t="s">
        <v>2345</v>
      </c>
    </row>
    <row r="175" spans="1:14" x14ac:dyDescent="0.25">
      <c r="A175" t="s">
        <v>218</v>
      </c>
      <c r="B175" t="s">
        <v>1009</v>
      </c>
      <c r="C175" t="s">
        <v>1353</v>
      </c>
      <c r="F175" t="s">
        <v>1903</v>
      </c>
    </row>
    <row r="176" spans="1:14" x14ac:dyDescent="0.25">
      <c r="A176" t="s">
        <v>219</v>
      </c>
      <c r="B176" t="s">
        <v>614</v>
      </c>
      <c r="C176" t="s">
        <v>1354</v>
      </c>
      <c r="F176" t="s">
        <v>1904</v>
      </c>
    </row>
    <row r="177" spans="1:6" x14ac:dyDescent="0.25">
      <c r="A177" t="s">
        <v>220</v>
      </c>
      <c r="B177" t="s">
        <v>615</v>
      </c>
      <c r="C177" t="s">
        <v>1355</v>
      </c>
      <c r="F177" t="s">
        <v>1905</v>
      </c>
    </row>
    <row r="178" spans="1:6" x14ac:dyDescent="0.25">
      <c r="A178" t="s">
        <v>221</v>
      </c>
      <c r="B178" t="s">
        <v>616</v>
      </c>
      <c r="C178" t="s">
        <v>1356</v>
      </c>
      <c r="F178" t="s">
        <v>1906</v>
      </c>
    </row>
    <row r="179" spans="1:6" x14ac:dyDescent="0.25">
      <c r="A179" t="s">
        <v>222</v>
      </c>
      <c r="B179" t="s">
        <v>1010</v>
      </c>
      <c r="C179" t="s">
        <v>1357</v>
      </c>
      <c r="F179" t="s">
        <v>1907</v>
      </c>
    </row>
    <row r="180" spans="1:6" x14ac:dyDescent="0.25">
      <c r="A180" t="s">
        <v>223</v>
      </c>
      <c r="B180" t="s">
        <v>618</v>
      </c>
      <c r="C180" t="s">
        <v>1358</v>
      </c>
      <c r="F180" t="s">
        <v>1908</v>
      </c>
    </row>
    <row r="181" spans="1:6" x14ac:dyDescent="0.25">
      <c r="A181" t="s">
        <v>224</v>
      </c>
      <c r="B181" t="s">
        <v>1011</v>
      </c>
      <c r="C181" t="s">
        <v>1359</v>
      </c>
      <c r="F181" t="s">
        <v>1909</v>
      </c>
    </row>
    <row r="182" spans="1:6" x14ac:dyDescent="0.25">
      <c r="A182" t="s">
        <v>225</v>
      </c>
      <c r="B182" t="s">
        <v>620</v>
      </c>
      <c r="C182" t="s">
        <v>1360</v>
      </c>
      <c r="F182" t="s">
        <v>1910</v>
      </c>
    </row>
    <row r="183" spans="1:6" x14ac:dyDescent="0.25">
      <c r="A183" t="s">
        <v>226</v>
      </c>
      <c r="B183" t="s">
        <v>1012</v>
      </c>
      <c r="C183" t="s">
        <v>1361</v>
      </c>
      <c r="F183" t="s">
        <v>1911</v>
      </c>
    </row>
    <row r="184" spans="1:6" x14ac:dyDescent="0.25">
      <c r="A184" t="s">
        <v>227</v>
      </c>
      <c r="B184" t="s">
        <v>1013</v>
      </c>
      <c r="C184" t="s">
        <v>1362</v>
      </c>
      <c r="F184" t="s">
        <v>1912</v>
      </c>
    </row>
    <row r="185" spans="1:6" x14ac:dyDescent="0.25">
      <c r="A185" t="s">
        <v>228</v>
      </c>
      <c r="B185" t="s">
        <v>1014</v>
      </c>
      <c r="C185" t="s">
        <v>1363</v>
      </c>
      <c r="F185" t="s">
        <v>1913</v>
      </c>
    </row>
    <row r="186" spans="1:6" x14ac:dyDescent="0.25">
      <c r="A186" t="s">
        <v>229</v>
      </c>
      <c r="B186" t="s">
        <v>1015</v>
      </c>
      <c r="C186" t="s">
        <v>1364</v>
      </c>
      <c r="F186" t="s">
        <v>1914</v>
      </c>
    </row>
    <row r="187" spans="1:6" x14ac:dyDescent="0.25">
      <c r="A187" t="s">
        <v>230</v>
      </c>
      <c r="B187" t="s">
        <v>1016</v>
      </c>
      <c r="C187" t="s">
        <v>1365</v>
      </c>
      <c r="F187" t="s">
        <v>1304</v>
      </c>
    </row>
    <row r="188" spans="1:6" x14ac:dyDescent="0.25">
      <c r="A188" t="s">
        <v>231</v>
      </c>
      <c r="B188" t="s">
        <v>1017</v>
      </c>
      <c r="C188" t="s">
        <v>1366</v>
      </c>
      <c r="F188" t="s">
        <v>1306</v>
      </c>
    </row>
    <row r="189" spans="1:6" x14ac:dyDescent="0.25">
      <c r="A189" t="s">
        <v>232</v>
      </c>
      <c r="B189" t="s">
        <v>1018</v>
      </c>
      <c r="C189" t="s">
        <v>1367</v>
      </c>
      <c r="F189" t="s">
        <v>1308</v>
      </c>
    </row>
    <row r="190" spans="1:6" x14ac:dyDescent="0.25">
      <c r="A190" t="s">
        <v>233</v>
      </c>
      <c r="B190" t="s">
        <v>1019</v>
      </c>
      <c r="C190" t="s">
        <v>1368</v>
      </c>
      <c r="F190" t="s">
        <v>1915</v>
      </c>
    </row>
    <row r="191" spans="1:6" x14ac:dyDescent="0.25">
      <c r="A191" t="s">
        <v>234</v>
      </c>
      <c r="B191" t="s">
        <v>1020</v>
      </c>
      <c r="C191" t="s">
        <v>1369</v>
      </c>
      <c r="F191" t="s">
        <v>1313</v>
      </c>
    </row>
    <row r="192" spans="1:6" x14ac:dyDescent="0.25">
      <c r="A192" t="s">
        <v>235</v>
      </c>
      <c r="B192" t="s">
        <v>1021</v>
      </c>
      <c r="C192" t="s">
        <v>1370</v>
      </c>
      <c r="F192" t="s">
        <v>1315</v>
      </c>
    </row>
    <row r="193" spans="1:6" x14ac:dyDescent="0.25">
      <c r="A193" t="s">
        <v>236</v>
      </c>
      <c r="B193" t="s">
        <v>1022</v>
      </c>
      <c r="C193" t="s">
        <v>1371</v>
      </c>
      <c r="F193" t="s">
        <v>1317</v>
      </c>
    </row>
    <row r="194" spans="1:6" x14ac:dyDescent="0.25">
      <c r="A194" t="s">
        <v>237</v>
      </c>
      <c r="B194" t="s">
        <v>1023</v>
      </c>
      <c r="C194" t="s">
        <v>1372</v>
      </c>
      <c r="F194" t="s">
        <v>1916</v>
      </c>
    </row>
    <row r="195" spans="1:6" x14ac:dyDescent="0.25">
      <c r="A195" t="s">
        <v>238</v>
      </c>
      <c r="B195" t="s">
        <v>1024</v>
      </c>
      <c r="C195" t="s">
        <v>1373</v>
      </c>
      <c r="F195" t="s">
        <v>1322</v>
      </c>
    </row>
    <row r="196" spans="1:6" x14ac:dyDescent="0.25">
      <c r="A196" t="s">
        <v>239</v>
      </c>
      <c r="B196" t="s">
        <v>1025</v>
      </c>
      <c r="C196" t="s">
        <v>1374</v>
      </c>
      <c r="F196" t="s">
        <v>1324</v>
      </c>
    </row>
    <row r="197" spans="1:6" x14ac:dyDescent="0.25">
      <c r="A197" t="s">
        <v>240</v>
      </c>
      <c r="B197" t="s">
        <v>1026</v>
      </c>
      <c r="C197" t="s">
        <v>1375</v>
      </c>
      <c r="F197" t="s">
        <v>1326</v>
      </c>
    </row>
    <row r="198" spans="1:6" x14ac:dyDescent="0.25">
      <c r="A198" t="s">
        <v>241</v>
      </c>
      <c r="B198" t="s">
        <v>1027</v>
      </c>
      <c r="C198" t="s">
        <v>1376</v>
      </c>
      <c r="F198" t="s">
        <v>1917</v>
      </c>
    </row>
    <row r="199" spans="1:6" x14ac:dyDescent="0.25">
      <c r="A199" t="s">
        <v>242</v>
      </c>
      <c r="B199" t="s">
        <v>1028</v>
      </c>
      <c r="C199" t="s">
        <v>1377</v>
      </c>
      <c r="F199" t="s">
        <v>1331</v>
      </c>
    </row>
    <row r="200" spans="1:6" x14ac:dyDescent="0.25">
      <c r="A200" t="s">
        <v>243</v>
      </c>
      <c r="B200" t="s">
        <v>1029</v>
      </c>
      <c r="C200" t="s">
        <v>8</v>
      </c>
      <c r="F200" t="s">
        <v>1333</v>
      </c>
    </row>
    <row r="201" spans="1:6" x14ac:dyDescent="0.25">
      <c r="A201" t="s">
        <v>244</v>
      </c>
      <c r="B201" t="s">
        <v>1030</v>
      </c>
      <c r="C201" t="s">
        <v>1378</v>
      </c>
      <c r="F201" t="s">
        <v>1335</v>
      </c>
    </row>
    <row r="202" spans="1:6" x14ac:dyDescent="0.25">
      <c r="A202" t="s">
        <v>245</v>
      </c>
      <c r="B202" t="s">
        <v>1031</v>
      </c>
      <c r="C202" t="s">
        <v>1379</v>
      </c>
      <c r="F202" t="s">
        <v>1918</v>
      </c>
    </row>
    <row r="203" spans="1:6" x14ac:dyDescent="0.25">
      <c r="A203" t="s">
        <v>246</v>
      </c>
      <c r="B203" t="s">
        <v>1032</v>
      </c>
      <c r="C203" t="s">
        <v>1380</v>
      </c>
      <c r="F203" t="s">
        <v>1919</v>
      </c>
    </row>
    <row r="204" spans="1:6" x14ac:dyDescent="0.25">
      <c r="A204" t="s">
        <v>247</v>
      </c>
      <c r="B204" t="s">
        <v>1033</v>
      </c>
      <c r="C204" t="s">
        <v>1381</v>
      </c>
      <c r="F204" t="s">
        <v>1920</v>
      </c>
    </row>
    <row r="205" spans="1:6" x14ac:dyDescent="0.25">
      <c r="A205" t="s">
        <v>248</v>
      </c>
      <c r="B205" t="s">
        <v>1034</v>
      </c>
      <c r="C205" t="s">
        <v>1382</v>
      </c>
      <c r="F205" t="s">
        <v>1921</v>
      </c>
    </row>
    <row r="206" spans="1:6" x14ac:dyDescent="0.25">
      <c r="A206" t="s">
        <v>249</v>
      </c>
      <c r="B206" t="s">
        <v>1035</v>
      </c>
      <c r="C206" t="s">
        <v>1383</v>
      </c>
      <c r="F206" t="s">
        <v>1922</v>
      </c>
    </row>
    <row r="207" spans="1:6" x14ac:dyDescent="0.25">
      <c r="A207" t="s">
        <v>250</v>
      </c>
      <c r="B207" t="s">
        <v>1036</v>
      </c>
      <c r="C207" t="s">
        <v>1384</v>
      </c>
      <c r="F207" t="s">
        <v>1346</v>
      </c>
    </row>
    <row r="208" spans="1:6" x14ac:dyDescent="0.25">
      <c r="A208" t="s">
        <v>251</v>
      </c>
      <c r="B208" t="s">
        <v>1037</v>
      </c>
      <c r="C208" t="s">
        <v>1385</v>
      </c>
      <c r="F208" t="s">
        <v>1348</v>
      </c>
    </row>
    <row r="209" spans="1:6" x14ac:dyDescent="0.25">
      <c r="A209" t="s">
        <v>252</v>
      </c>
      <c r="B209" t="s">
        <v>1038</v>
      </c>
      <c r="C209" t="s">
        <v>1386</v>
      </c>
      <c r="F209" t="s">
        <v>1350</v>
      </c>
    </row>
    <row r="210" spans="1:6" x14ac:dyDescent="0.25">
      <c r="A210" t="s">
        <v>253</v>
      </c>
      <c r="B210" t="s">
        <v>1039</v>
      </c>
      <c r="C210" t="s">
        <v>1387</v>
      </c>
      <c r="F210" t="s">
        <v>1923</v>
      </c>
    </row>
    <row r="211" spans="1:6" x14ac:dyDescent="0.25">
      <c r="A211" t="s">
        <v>254</v>
      </c>
      <c r="B211" t="s">
        <v>1040</v>
      </c>
      <c r="C211" t="s">
        <v>1388</v>
      </c>
      <c r="F211" t="s">
        <v>1924</v>
      </c>
    </row>
    <row r="212" spans="1:6" x14ac:dyDescent="0.25">
      <c r="A212" t="s">
        <v>255</v>
      </c>
      <c r="B212" t="s">
        <v>1041</v>
      </c>
      <c r="C212" t="s">
        <v>1389</v>
      </c>
      <c r="F212" t="s">
        <v>1925</v>
      </c>
    </row>
    <row r="213" spans="1:6" x14ac:dyDescent="0.25">
      <c r="A213" t="s">
        <v>256</v>
      </c>
      <c r="B213" t="s">
        <v>1042</v>
      </c>
      <c r="C213" t="s">
        <v>1390</v>
      </c>
      <c r="F213" t="s">
        <v>1926</v>
      </c>
    </row>
    <row r="214" spans="1:6" x14ac:dyDescent="0.25">
      <c r="A214" t="s">
        <v>257</v>
      </c>
      <c r="B214" t="s">
        <v>1043</v>
      </c>
      <c r="C214" t="s">
        <v>1391</v>
      </c>
      <c r="F214" t="s">
        <v>1927</v>
      </c>
    </row>
    <row r="215" spans="1:6" x14ac:dyDescent="0.25">
      <c r="A215" t="s">
        <v>258</v>
      </c>
      <c r="B215" t="s">
        <v>1044</v>
      </c>
      <c r="C215" t="s">
        <v>1392</v>
      </c>
      <c r="F215" t="s">
        <v>1928</v>
      </c>
    </row>
    <row r="216" spans="1:6" x14ac:dyDescent="0.25">
      <c r="A216" t="s">
        <v>259</v>
      </c>
      <c r="B216" t="s">
        <v>1045</v>
      </c>
      <c r="C216" t="s">
        <v>1393</v>
      </c>
      <c r="F216" t="s">
        <v>1355</v>
      </c>
    </row>
    <row r="217" spans="1:6" x14ac:dyDescent="0.25">
      <c r="A217" t="s">
        <v>260</v>
      </c>
      <c r="B217" t="s">
        <v>1046</v>
      </c>
      <c r="C217" t="s">
        <v>1394</v>
      </c>
      <c r="F217" t="s">
        <v>1357</v>
      </c>
    </row>
    <row r="218" spans="1:6" x14ac:dyDescent="0.25">
      <c r="A218" t="s">
        <v>261</v>
      </c>
      <c r="B218" t="s">
        <v>1047</v>
      </c>
      <c r="C218" t="s">
        <v>1395</v>
      </c>
      <c r="F218" t="s">
        <v>1929</v>
      </c>
    </row>
    <row r="219" spans="1:6" x14ac:dyDescent="0.25">
      <c r="A219" t="s">
        <v>262</v>
      </c>
      <c r="B219" t="s">
        <v>1048</v>
      </c>
      <c r="C219" t="s">
        <v>1396</v>
      </c>
      <c r="F219" t="s">
        <v>1930</v>
      </c>
    </row>
    <row r="220" spans="1:6" x14ac:dyDescent="0.25">
      <c r="A220" t="s">
        <v>263</v>
      </c>
      <c r="B220" t="s">
        <v>1049</v>
      </c>
      <c r="C220" t="s">
        <v>1397</v>
      </c>
      <c r="F220" t="s">
        <v>1931</v>
      </c>
    </row>
    <row r="221" spans="1:6" x14ac:dyDescent="0.25">
      <c r="A221" t="s">
        <v>264</v>
      </c>
      <c r="B221" t="s">
        <v>1050</v>
      </c>
      <c r="C221" t="s">
        <v>1398</v>
      </c>
      <c r="F221" t="s">
        <v>1413</v>
      </c>
    </row>
    <row r="222" spans="1:6" x14ac:dyDescent="0.25">
      <c r="A222" t="s">
        <v>265</v>
      </c>
      <c r="B222" t="s">
        <v>1051</v>
      </c>
      <c r="C222" t="s">
        <v>1399</v>
      </c>
      <c r="F222" t="s">
        <v>1415</v>
      </c>
    </row>
    <row r="223" spans="1:6" x14ac:dyDescent="0.25">
      <c r="A223" t="s">
        <v>266</v>
      </c>
      <c r="B223" t="s">
        <v>1052</v>
      </c>
      <c r="C223" t="s">
        <v>1400</v>
      </c>
      <c r="F223" t="s">
        <v>1932</v>
      </c>
    </row>
    <row r="224" spans="1:6" x14ac:dyDescent="0.25">
      <c r="A224" t="s">
        <v>267</v>
      </c>
      <c r="B224" t="s">
        <v>1053</v>
      </c>
      <c r="C224" t="s">
        <v>1401</v>
      </c>
      <c r="F224" t="s">
        <v>1933</v>
      </c>
    </row>
    <row r="225" spans="1:6" x14ac:dyDescent="0.25">
      <c r="A225" t="s">
        <v>268</v>
      </c>
      <c r="B225" t="s">
        <v>1054</v>
      </c>
      <c r="C225" t="s">
        <v>1402</v>
      </c>
      <c r="F225" t="s">
        <v>1934</v>
      </c>
    </row>
    <row r="226" spans="1:6" x14ac:dyDescent="0.25">
      <c r="A226" t="s">
        <v>269</v>
      </c>
      <c r="B226" t="s">
        <v>1055</v>
      </c>
      <c r="C226" t="s">
        <v>1403</v>
      </c>
      <c r="F226" t="s">
        <v>1423</v>
      </c>
    </row>
    <row r="227" spans="1:6" x14ac:dyDescent="0.25">
      <c r="A227" t="s">
        <v>270</v>
      </c>
      <c r="B227" t="s">
        <v>1056</v>
      </c>
      <c r="C227" t="s">
        <v>1404</v>
      </c>
      <c r="F227" t="s">
        <v>1935</v>
      </c>
    </row>
    <row r="228" spans="1:6" x14ac:dyDescent="0.25">
      <c r="A228" t="s">
        <v>271</v>
      </c>
      <c r="B228" t="s">
        <v>1057</v>
      </c>
      <c r="C228" t="s">
        <v>1405</v>
      </c>
      <c r="F228" t="s">
        <v>1936</v>
      </c>
    </row>
    <row r="229" spans="1:6" x14ac:dyDescent="0.25">
      <c r="A229" t="s">
        <v>272</v>
      </c>
      <c r="B229" t="s">
        <v>1058</v>
      </c>
      <c r="C229" t="s">
        <v>1406</v>
      </c>
      <c r="F229" t="s">
        <v>1937</v>
      </c>
    </row>
    <row r="230" spans="1:6" x14ac:dyDescent="0.25">
      <c r="A230" t="s">
        <v>273</v>
      </c>
      <c r="B230" t="s">
        <v>1059</v>
      </c>
      <c r="C230" t="s">
        <v>1407</v>
      </c>
      <c r="F230" t="s">
        <v>1938</v>
      </c>
    </row>
    <row r="231" spans="1:6" x14ac:dyDescent="0.25">
      <c r="A231" t="s">
        <v>274</v>
      </c>
      <c r="B231" t="s">
        <v>1060</v>
      </c>
      <c r="C231" t="s">
        <v>1408</v>
      </c>
      <c r="F231" t="s">
        <v>1939</v>
      </c>
    </row>
    <row r="232" spans="1:6" x14ac:dyDescent="0.25">
      <c r="A232" t="s">
        <v>275</v>
      </c>
      <c r="B232" t="s">
        <v>1061</v>
      </c>
      <c r="C232" t="s">
        <v>1409</v>
      </c>
      <c r="F232" t="s">
        <v>1940</v>
      </c>
    </row>
    <row r="233" spans="1:6" x14ac:dyDescent="0.25">
      <c r="A233" t="s">
        <v>276</v>
      </c>
      <c r="B233" t="s">
        <v>1062</v>
      </c>
      <c r="C233" t="s">
        <v>1410</v>
      </c>
      <c r="F233" t="s">
        <v>1941</v>
      </c>
    </row>
    <row r="234" spans="1:6" x14ac:dyDescent="0.25">
      <c r="A234" t="s">
        <v>277</v>
      </c>
      <c r="B234" t="s">
        <v>1063</v>
      </c>
      <c r="C234" t="s">
        <v>1411</v>
      </c>
    </row>
    <row r="235" spans="1:6" x14ac:dyDescent="0.25">
      <c r="A235" t="s">
        <v>278</v>
      </c>
      <c r="B235" t="s">
        <v>1064</v>
      </c>
      <c r="C235" t="s">
        <v>1412</v>
      </c>
    </row>
    <row r="236" spans="1:6" x14ac:dyDescent="0.25">
      <c r="A236" t="s">
        <v>279</v>
      </c>
      <c r="B236" t="s">
        <v>644</v>
      </c>
      <c r="C236" t="s">
        <v>1413</v>
      </c>
    </row>
    <row r="237" spans="1:6" x14ac:dyDescent="0.25">
      <c r="A237" t="s">
        <v>280</v>
      </c>
      <c r="B237" t="s">
        <v>1065</v>
      </c>
      <c r="C237" t="s">
        <v>1414</v>
      </c>
    </row>
    <row r="238" spans="1:6" x14ac:dyDescent="0.25">
      <c r="A238" t="s">
        <v>281</v>
      </c>
      <c r="B238" t="s">
        <v>646</v>
      </c>
      <c r="C238" t="s">
        <v>1415</v>
      </c>
    </row>
    <row r="239" spans="1:6" x14ac:dyDescent="0.25">
      <c r="A239" t="s">
        <v>282</v>
      </c>
      <c r="B239" t="s">
        <v>1066</v>
      </c>
      <c r="C239" t="s">
        <v>1416</v>
      </c>
    </row>
    <row r="240" spans="1:6" x14ac:dyDescent="0.25">
      <c r="A240" t="s">
        <v>283</v>
      </c>
      <c r="B240" t="s">
        <v>1067</v>
      </c>
      <c r="C240" t="s">
        <v>1417</v>
      </c>
    </row>
    <row r="241" spans="1:3" x14ac:dyDescent="0.25">
      <c r="A241" t="s">
        <v>284</v>
      </c>
      <c r="B241" t="s">
        <v>1068</v>
      </c>
      <c r="C241" t="s">
        <v>1418</v>
      </c>
    </row>
    <row r="242" spans="1:3" x14ac:dyDescent="0.25">
      <c r="A242" t="s">
        <v>285</v>
      </c>
      <c r="B242" t="s">
        <v>1069</v>
      </c>
      <c r="C242" t="s">
        <v>1419</v>
      </c>
    </row>
    <row r="243" spans="1:3" x14ac:dyDescent="0.25">
      <c r="A243" t="s">
        <v>286</v>
      </c>
      <c r="B243" t="s">
        <v>1070</v>
      </c>
      <c r="C243" t="s">
        <v>9</v>
      </c>
    </row>
    <row r="244" spans="1:3" x14ac:dyDescent="0.25">
      <c r="A244" t="s">
        <v>287</v>
      </c>
      <c r="B244" t="s">
        <v>1071</v>
      </c>
      <c r="C244" t="s">
        <v>1420</v>
      </c>
    </row>
    <row r="245" spans="1:3" x14ac:dyDescent="0.25">
      <c r="A245" t="s">
        <v>288</v>
      </c>
      <c r="B245" t="s">
        <v>1072</v>
      </c>
      <c r="C245" t="s">
        <v>1421</v>
      </c>
    </row>
    <row r="246" spans="1:3" x14ac:dyDescent="0.25">
      <c r="A246" t="s">
        <v>289</v>
      </c>
      <c r="B246" t="s">
        <v>1073</v>
      </c>
      <c r="C246" t="s">
        <v>1422</v>
      </c>
    </row>
    <row r="247" spans="1:3" x14ac:dyDescent="0.25">
      <c r="A247" t="s">
        <v>290</v>
      </c>
      <c r="B247" t="s">
        <v>1074</v>
      </c>
      <c r="C247" t="s">
        <v>1423</v>
      </c>
    </row>
    <row r="248" spans="1:3" x14ac:dyDescent="0.25">
      <c r="A248" t="s">
        <v>291</v>
      </c>
      <c r="B248" t="s">
        <v>1075</v>
      </c>
      <c r="C248" t="s">
        <v>1424</v>
      </c>
    </row>
    <row r="249" spans="1:3" x14ac:dyDescent="0.25">
      <c r="A249" t="s">
        <v>292</v>
      </c>
      <c r="B249" t="s">
        <v>1076</v>
      </c>
      <c r="C249" t="s">
        <v>1425</v>
      </c>
    </row>
    <row r="250" spans="1:3" x14ac:dyDescent="0.25">
      <c r="A250" t="s">
        <v>293</v>
      </c>
      <c r="B250" t="s">
        <v>1077</v>
      </c>
      <c r="C250" t="s">
        <v>1426</v>
      </c>
    </row>
    <row r="251" spans="1:3" x14ac:dyDescent="0.25">
      <c r="A251" t="s">
        <v>294</v>
      </c>
      <c r="B251" t="s">
        <v>1078</v>
      </c>
      <c r="C251" t="s">
        <v>1427</v>
      </c>
    </row>
    <row r="252" spans="1:3" x14ac:dyDescent="0.25">
      <c r="A252" t="s">
        <v>295</v>
      </c>
      <c r="B252" t="s">
        <v>1079</v>
      </c>
      <c r="C252" t="s">
        <v>1428</v>
      </c>
    </row>
    <row r="253" spans="1:3" x14ac:dyDescent="0.25">
      <c r="A253" t="s">
        <v>296</v>
      </c>
      <c r="B253" t="s">
        <v>1080</v>
      </c>
      <c r="C253" t="s">
        <v>1429</v>
      </c>
    </row>
    <row r="254" spans="1:3" x14ac:dyDescent="0.25">
      <c r="A254" t="s">
        <v>297</v>
      </c>
      <c r="B254" t="s">
        <v>1081</v>
      </c>
      <c r="C254" t="s">
        <v>1430</v>
      </c>
    </row>
    <row r="255" spans="1:3" x14ac:dyDescent="0.25">
      <c r="A255" t="s">
        <v>298</v>
      </c>
      <c r="B255" t="s">
        <v>1082</v>
      </c>
      <c r="C255" t="s">
        <v>1431</v>
      </c>
    </row>
    <row r="256" spans="1:3" x14ac:dyDescent="0.25">
      <c r="A256" t="s">
        <v>299</v>
      </c>
      <c r="B256" t="s">
        <v>1083</v>
      </c>
      <c r="C256" t="s">
        <v>1432</v>
      </c>
    </row>
    <row r="257" spans="1:3" x14ac:dyDescent="0.25">
      <c r="A257" t="s">
        <v>300</v>
      </c>
      <c r="B257" t="s">
        <v>1084</v>
      </c>
      <c r="C257" t="s">
        <v>1433</v>
      </c>
    </row>
    <row r="258" spans="1:3" x14ac:dyDescent="0.25">
      <c r="A258" t="s">
        <v>301</v>
      </c>
      <c r="B258" t="s">
        <v>1085</v>
      </c>
      <c r="C258" t="s">
        <v>1434</v>
      </c>
    </row>
    <row r="259" spans="1:3" x14ac:dyDescent="0.25">
      <c r="A259" t="s">
        <v>302</v>
      </c>
      <c r="B259" t="s">
        <v>1086</v>
      </c>
      <c r="C259" t="s">
        <v>1435</v>
      </c>
    </row>
    <row r="260" spans="1:3" x14ac:dyDescent="0.25">
      <c r="A260" t="s">
        <v>303</v>
      </c>
      <c r="B260" t="s">
        <v>1087</v>
      </c>
      <c r="C260" t="s">
        <v>1436</v>
      </c>
    </row>
    <row r="261" spans="1:3" x14ac:dyDescent="0.25">
      <c r="A261" t="s">
        <v>304</v>
      </c>
      <c r="B261" t="s">
        <v>1088</v>
      </c>
      <c r="C261" t="s">
        <v>1437</v>
      </c>
    </row>
    <row r="262" spans="1:3" x14ac:dyDescent="0.25">
      <c r="A262" t="s">
        <v>305</v>
      </c>
      <c r="B262" t="s">
        <v>1089</v>
      </c>
      <c r="C262" t="s">
        <v>1438</v>
      </c>
    </row>
    <row r="263" spans="1:3" x14ac:dyDescent="0.25">
      <c r="A263" t="s">
        <v>306</v>
      </c>
      <c r="B263" t="s">
        <v>1090</v>
      </c>
      <c r="C263" t="s">
        <v>1439</v>
      </c>
    </row>
    <row r="264" spans="1:3" x14ac:dyDescent="0.25">
      <c r="A264" t="s">
        <v>307</v>
      </c>
      <c r="B264" t="s">
        <v>1091</v>
      </c>
      <c r="C264" t="s">
        <v>1440</v>
      </c>
    </row>
    <row r="265" spans="1:3" x14ac:dyDescent="0.25">
      <c r="A265" t="s">
        <v>308</v>
      </c>
      <c r="B265" t="s">
        <v>1092</v>
      </c>
      <c r="C265" t="s">
        <v>1441</v>
      </c>
    </row>
    <row r="266" spans="1:3" x14ac:dyDescent="0.25">
      <c r="A266" t="s">
        <v>309</v>
      </c>
      <c r="B266" t="s">
        <v>1093</v>
      </c>
      <c r="C266" t="s">
        <v>1442</v>
      </c>
    </row>
    <row r="267" spans="1:3" x14ac:dyDescent="0.25">
      <c r="A267" t="s">
        <v>310</v>
      </c>
      <c r="B267" t="s">
        <v>1094</v>
      </c>
      <c r="C267" t="s">
        <v>1443</v>
      </c>
    </row>
    <row r="268" spans="1:3" x14ac:dyDescent="0.25">
      <c r="A268" t="s">
        <v>311</v>
      </c>
      <c r="B268" t="s">
        <v>1095</v>
      </c>
      <c r="C268" t="s">
        <v>1444</v>
      </c>
    </row>
    <row r="269" spans="1:3" x14ac:dyDescent="0.25">
      <c r="A269" t="s">
        <v>312</v>
      </c>
      <c r="B269" t="s">
        <v>1096</v>
      </c>
      <c r="C269" t="s">
        <v>1445</v>
      </c>
    </row>
    <row r="270" spans="1:3" x14ac:dyDescent="0.25">
      <c r="A270" t="s">
        <v>313</v>
      </c>
      <c r="B270" t="s">
        <v>1097</v>
      </c>
      <c r="C270" t="s">
        <v>1446</v>
      </c>
    </row>
    <row r="271" spans="1:3" x14ac:dyDescent="0.25">
      <c r="A271" t="s">
        <v>314</v>
      </c>
      <c r="B271" t="s">
        <v>1098</v>
      </c>
      <c r="C271" t="s">
        <v>1447</v>
      </c>
    </row>
    <row r="272" spans="1:3" x14ac:dyDescent="0.25">
      <c r="A272" t="s">
        <v>315</v>
      </c>
      <c r="B272" t="s">
        <v>1099</v>
      </c>
      <c r="C272" t="s">
        <v>1448</v>
      </c>
    </row>
    <row r="273" spans="1:3" x14ac:dyDescent="0.25">
      <c r="A273" t="s">
        <v>316</v>
      </c>
      <c r="B273" t="s">
        <v>1100</v>
      </c>
      <c r="C273" t="s">
        <v>1449</v>
      </c>
    </row>
    <row r="274" spans="1:3" x14ac:dyDescent="0.25">
      <c r="A274" t="s">
        <v>317</v>
      </c>
      <c r="B274" t="s">
        <v>1101</v>
      </c>
      <c r="C274" t="s">
        <v>1450</v>
      </c>
    </row>
    <row r="275" spans="1:3" x14ac:dyDescent="0.25">
      <c r="A275" t="s">
        <v>318</v>
      </c>
      <c r="B275" t="s">
        <v>1102</v>
      </c>
      <c r="C275" t="s">
        <v>1451</v>
      </c>
    </row>
    <row r="276" spans="1:3" x14ac:dyDescent="0.25">
      <c r="A276" t="s">
        <v>319</v>
      </c>
      <c r="B276" t="s">
        <v>1103</v>
      </c>
      <c r="C276" t="s">
        <v>1452</v>
      </c>
    </row>
    <row r="277" spans="1:3" x14ac:dyDescent="0.25">
      <c r="A277" t="s">
        <v>320</v>
      </c>
      <c r="B277" t="s">
        <v>1104</v>
      </c>
      <c r="C277" t="s">
        <v>1453</v>
      </c>
    </row>
    <row r="278" spans="1:3" x14ac:dyDescent="0.25">
      <c r="A278" t="s">
        <v>321</v>
      </c>
      <c r="B278" t="s">
        <v>662</v>
      </c>
      <c r="C278" t="s">
        <v>1454</v>
      </c>
    </row>
    <row r="279" spans="1:3" x14ac:dyDescent="0.25">
      <c r="A279" t="s">
        <v>322</v>
      </c>
      <c r="B279" t="s">
        <v>1105</v>
      </c>
      <c r="C279" t="s">
        <v>1455</v>
      </c>
    </row>
    <row r="280" spans="1:3" x14ac:dyDescent="0.25">
      <c r="A280" t="s">
        <v>323</v>
      </c>
      <c r="B280" t="s">
        <v>664</v>
      </c>
      <c r="C280" t="s">
        <v>1456</v>
      </c>
    </row>
    <row r="281" spans="1:3" x14ac:dyDescent="0.25">
      <c r="A281" t="s">
        <v>324</v>
      </c>
      <c r="B281" t="s">
        <v>1106</v>
      </c>
      <c r="C281" t="s">
        <v>1457</v>
      </c>
    </row>
    <row r="282" spans="1:3" x14ac:dyDescent="0.25">
      <c r="A282" t="s">
        <v>325</v>
      </c>
      <c r="B282" t="s">
        <v>1107</v>
      </c>
      <c r="C282" t="s">
        <v>1458</v>
      </c>
    </row>
    <row r="283" spans="1:3" x14ac:dyDescent="0.25">
      <c r="A283" t="s">
        <v>326</v>
      </c>
      <c r="B283" t="s">
        <v>1108</v>
      </c>
      <c r="C283" t="s">
        <v>1459</v>
      </c>
    </row>
    <row r="284" spans="1:3" x14ac:dyDescent="0.25">
      <c r="A284" t="s">
        <v>327</v>
      </c>
      <c r="B284" t="s">
        <v>1109</v>
      </c>
      <c r="C284" t="s">
        <v>1460</v>
      </c>
    </row>
    <row r="285" spans="1:3" x14ac:dyDescent="0.25">
      <c r="A285" t="s">
        <v>328</v>
      </c>
      <c r="B285" t="s">
        <v>1110</v>
      </c>
      <c r="C285" t="s">
        <v>1461</v>
      </c>
    </row>
    <row r="286" spans="1:3" x14ac:dyDescent="0.25">
      <c r="A286" t="s">
        <v>329</v>
      </c>
      <c r="B286" t="s">
        <v>1111</v>
      </c>
      <c r="C286" t="s">
        <v>1462</v>
      </c>
    </row>
    <row r="287" spans="1:3" x14ac:dyDescent="0.25">
      <c r="A287" t="s">
        <v>330</v>
      </c>
      <c r="B287" t="s">
        <v>1112</v>
      </c>
      <c r="C287" t="s">
        <v>1463</v>
      </c>
    </row>
    <row r="288" spans="1:3" x14ac:dyDescent="0.25">
      <c r="A288" t="s">
        <v>331</v>
      </c>
      <c r="B288" t="s">
        <v>1113</v>
      </c>
      <c r="C288" t="s">
        <v>1464</v>
      </c>
    </row>
    <row r="289" spans="1:3" x14ac:dyDescent="0.25">
      <c r="A289" t="s">
        <v>332</v>
      </c>
      <c r="B289" t="s">
        <v>1114</v>
      </c>
      <c r="C289" t="s">
        <v>1465</v>
      </c>
    </row>
    <row r="290" spans="1:3" x14ac:dyDescent="0.25">
      <c r="A290" t="s">
        <v>333</v>
      </c>
      <c r="B290" t="s">
        <v>1115</v>
      </c>
      <c r="C290" t="s">
        <v>1466</v>
      </c>
    </row>
    <row r="291" spans="1:3" x14ac:dyDescent="0.25">
      <c r="A291" t="s">
        <v>334</v>
      </c>
      <c r="B291" t="s">
        <v>1116</v>
      </c>
      <c r="C291" t="s">
        <v>1467</v>
      </c>
    </row>
    <row r="292" spans="1:3" x14ac:dyDescent="0.25">
      <c r="A292" t="s">
        <v>335</v>
      </c>
      <c r="B292" t="s">
        <v>1117</v>
      </c>
      <c r="C292" t="s">
        <v>1468</v>
      </c>
    </row>
    <row r="293" spans="1:3" x14ac:dyDescent="0.25">
      <c r="A293" t="s">
        <v>336</v>
      </c>
      <c r="B293" t="s">
        <v>1118</v>
      </c>
      <c r="C293" t="s">
        <v>1469</v>
      </c>
    </row>
    <row r="294" spans="1:3" x14ac:dyDescent="0.25">
      <c r="A294" t="s">
        <v>337</v>
      </c>
      <c r="B294" t="s">
        <v>1119</v>
      </c>
      <c r="C294" t="s">
        <v>1470</v>
      </c>
    </row>
    <row r="295" spans="1:3" x14ac:dyDescent="0.25">
      <c r="A295" t="s">
        <v>338</v>
      </c>
      <c r="B295" t="s">
        <v>1120</v>
      </c>
      <c r="C295" t="s">
        <v>1471</v>
      </c>
    </row>
    <row r="296" spans="1:3" x14ac:dyDescent="0.25">
      <c r="A296" t="s">
        <v>339</v>
      </c>
      <c r="B296" t="s">
        <v>1121</v>
      </c>
      <c r="C296" t="s">
        <v>1472</v>
      </c>
    </row>
    <row r="297" spans="1:3" x14ac:dyDescent="0.25">
      <c r="A297" t="s">
        <v>340</v>
      </c>
      <c r="B297" t="s">
        <v>1122</v>
      </c>
      <c r="C297" t="s">
        <v>1473</v>
      </c>
    </row>
    <row r="298" spans="1:3" x14ac:dyDescent="0.25">
      <c r="A298" t="s">
        <v>341</v>
      </c>
      <c r="B298" t="s">
        <v>1123</v>
      </c>
      <c r="C298" t="s">
        <v>1474</v>
      </c>
    </row>
    <row r="299" spans="1:3" x14ac:dyDescent="0.25">
      <c r="A299" t="s">
        <v>342</v>
      </c>
      <c r="B299" t="s">
        <v>1124</v>
      </c>
      <c r="C299" t="s">
        <v>1475</v>
      </c>
    </row>
    <row r="300" spans="1:3" x14ac:dyDescent="0.25">
      <c r="A300" t="s">
        <v>343</v>
      </c>
      <c r="B300" t="s">
        <v>1125</v>
      </c>
      <c r="C300" t="s">
        <v>1476</v>
      </c>
    </row>
    <row r="301" spans="1:3" x14ac:dyDescent="0.25">
      <c r="A301" t="s">
        <v>344</v>
      </c>
      <c r="B301" t="s">
        <v>1126</v>
      </c>
      <c r="C301" t="s">
        <v>1477</v>
      </c>
    </row>
    <row r="302" spans="1:3" x14ac:dyDescent="0.25">
      <c r="A302" t="s">
        <v>345</v>
      </c>
      <c r="B302" t="s">
        <v>1127</v>
      </c>
      <c r="C302" t="s">
        <v>1478</v>
      </c>
    </row>
    <row r="303" spans="1:3" x14ac:dyDescent="0.25">
      <c r="A303" t="s">
        <v>346</v>
      </c>
      <c r="B303" t="s">
        <v>1128</v>
      </c>
      <c r="C303" t="s">
        <v>1479</v>
      </c>
    </row>
    <row r="304" spans="1:3" x14ac:dyDescent="0.25">
      <c r="A304" t="s">
        <v>347</v>
      </c>
      <c r="B304" t="s">
        <v>1129</v>
      </c>
      <c r="C304" t="s">
        <v>1480</v>
      </c>
    </row>
    <row r="305" spans="1:3" x14ac:dyDescent="0.25">
      <c r="A305" t="s">
        <v>348</v>
      </c>
      <c r="B305" t="s">
        <v>1130</v>
      </c>
      <c r="C305" t="s">
        <v>1481</v>
      </c>
    </row>
    <row r="306" spans="1:3" x14ac:dyDescent="0.25">
      <c r="A306" t="s">
        <v>349</v>
      </c>
      <c r="B306" t="s">
        <v>1131</v>
      </c>
      <c r="C306" t="s">
        <v>1482</v>
      </c>
    </row>
    <row r="307" spans="1:3" x14ac:dyDescent="0.25">
      <c r="A307" t="s">
        <v>350</v>
      </c>
      <c r="B307" t="s">
        <v>1132</v>
      </c>
      <c r="C307" t="s">
        <v>1483</v>
      </c>
    </row>
    <row r="308" spans="1:3" x14ac:dyDescent="0.25">
      <c r="A308" t="s">
        <v>351</v>
      </c>
      <c r="B308" t="s">
        <v>1133</v>
      </c>
      <c r="C308" t="s">
        <v>1484</v>
      </c>
    </row>
    <row r="309" spans="1:3" x14ac:dyDescent="0.25">
      <c r="A309" t="s">
        <v>352</v>
      </c>
      <c r="B309" t="s">
        <v>1134</v>
      </c>
      <c r="C309" t="s">
        <v>1485</v>
      </c>
    </row>
    <row r="310" spans="1:3" x14ac:dyDescent="0.25">
      <c r="A310" t="s">
        <v>353</v>
      </c>
      <c r="B310" t="s">
        <v>1135</v>
      </c>
      <c r="C310" t="s">
        <v>1486</v>
      </c>
    </row>
    <row r="311" spans="1:3" x14ac:dyDescent="0.25">
      <c r="A311" t="s">
        <v>354</v>
      </c>
      <c r="B311" t="s">
        <v>1136</v>
      </c>
      <c r="C311" t="s">
        <v>1487</v>
      </c>
    </row>
    <row r="312" spans="1:3" x14ac:dyDescent="0.25">
      <c r="A312" t="s">
        <v>355</v>
      </c>
      <c r="B312" t="s">
        <v>1137</v>
      </c>
      <c r="C312" t="s">
        <v>1488</v>
      </c>
    </row>
    <row r="313" spans="1:3" x14ac:dyDescent="0.25">
      <c r="A313" t="s">
        <v>356</v>
      </c>
      <c r="B313" t="s">
        <v>1138</v>
      </c>
      <c r="C313" t="s">
        <v>1489</v>
      </c>
    </row>
    <row r="314" spans="1:3" x14ac:dyDescent="0.25">
      <c r="A314" t="s">
        <v>357</v>
      </c>
      <c r="B314" t="s">
        <v>1139</v>
      </c>
      <c r="C314" t="s">
        <v>1490</v>
      </c>
    </row>
    <row r="315" spans="1:3" x14ac:dyDescent="0.25">
      <c r="A315" t="s">
        <v>358</v>
      </c>
      <c r="B315" t="s">
        <v>1140</v>
      </c>
      <c r="C315" t="s">
        <v>1491</v>
      </c>
    </row>
    <row r="316" spans="1:3" x14ac:dyDescent="0.25">
      <c r="A316" t="s">
        <v>359</v>
      </c>
      <c r="B316" t="s">
        <v>1141</v>
      </c>
      <c r="C316" t="s">
        <v>1492</v>
      </c>
    </row>
    <row r="317" spans="1:3" x14ac:dyDescent="0.25">
      <c r="A317" t="s">
        <v>360</v>
      </c>
      <c r="B317" t="s">
        <v>1142</v>
      </c>
      <c r="C317" t="s">
        <v>1493</v>
      </c>
    </row>
    <row r="318" spans="1:3" x14ac:dyDescent="0.25">
      <c r="A318" t="s">
        <v>361</v>
      </c>
      <c r="B318" t="s">
        <v>1143</v>
      </c>
      <c r="C318" t="s">
        <v>1494</v>
      </c>
    </row>
    <row r="319" spans="1:3" x14ac:dyDescent="0.25">
      <c r="A319" t="s">
        <v>362</v>
      </c>
      <c r="B319" t="s">
        <v>1144</v>
      </c>
      <c r="C319" t="s">
        <v>1495</v>
      </c>
    </row>
    <row r="320" spans="1:3" x14ac:dyDescent="0.25">
      <c r="A320" t="s">
        <v>363</v>
      </c>
      <c r="B320" t="s">
        <v>1145</v>
      </c>
      <c r="C320" t="s">
        <v>1496</v>
      </c>
    </row>
    <row r="321" spans="1:3" x14ac:dyDescent="0.25">
      <c r="A321" t="s">
        <v>364</v>
      </c>
      <c r="B321" t="s">
        <v>1146</v>
      </c>
      <c r="C321" t="s">
        <v>1497</v>
      </c>
    </row>
    <row r="322" spans="1:3" x14ac:dyDescent="0.25">
      <c r="A322" t="s">
        <v>365</v>
      </c>
      <c r="B322" t="s">
        <v>1147</v>
      </c>
      <c r="C322" t="s">
        <v>1498</v>
      </c>
    </row>
    <row r="323" spans="1:3" x14ac:dyDescent="0.25">
      <c r="A323" t="s">
        <v>366</v>
      </c>
      <c r="B323" t="s">
        <v>1148</v>
      </c>
      <c r="C323" t="s">
        <v>1499</v>
      </c>
    </row>
    <row r="324" spans="1:3" x14ac:dyDescent="0.25">
      <c r="A324" t="s">
        <v>367</v>
      </c>
      <c r="B324" t="s">
        <v>1149</v>
      </c>
      <c r="C324" t="s">
        <v>1500</v>
      </c>
    </row>
    <row r="325" spans="1:3" x14ac:dyDescent="0.25">
      <c r="A325" t="s">
        <v>368</v>
      </c>
      <c r="B325" t="s">
        <v>1150</v>
      </c>
      <c r="C325" t="s">
        <v>1501</v>
      </c>
    </row>
    <row r="326" spans="1:3" x14ac:dyDescent="0.25">
      <c r="A326" t="s">
        <v>369</v>
      </c>
      <c r="B326" t="s">
        <v>1151</v>
      </c>
      <c r="C326" t="s">
        <v>1502</v>
      </c>
    </row>
    <row r="327" spans="1:3" x14ac:dyDescent="0.25">
      <c r="A327" t="s">
        <v>370</v>
      </c>
      <c r="B327" t="s">
        <v>1152</v>
      </c>
      <c r="C327" t="s">
        <v>1503</v>
      </c>
    </row>
    <row r="328" spans="1:3" x14ac:dyDescent="0.25">
      <c r="A328" t="s">
        <v>371</v>
      </c>
      <c r="B328" t="s">
        <v>1153</v>
      </c>
      <c r="C328" t="s">
        <v>1504</v>
      </c>
    </row>
    <row r="329" spans="1:3" x14ac:dyDescent="0.25">
      <c r="A329" t="s">
        <v>372</v>
      </c>
      <c r="B329" t="s">
        <v>1154</v>
      </c>
      <c r="C329" t="s">
        <v>1505</v>
      </c>
    </row>
    <row r="330" spans="1:3" x14ac:dyDescent="0.25">
      <c r="A330" t="s">
        <v>373</v>
      </c>
      <c r="B330" t="s">
        <v>1155</v>
      </c>
      <c r="C330" t="s">
        <v>1506</v>
      </c>
    </row>
    <row r="331" spans="1:3" x14ac:dyDescent="0.25">
      <c r="A331" t="s">
        <v>374</v>
      </c>
      <c r="B331" t="s">
        <v>1156</v>
      </c>
      <c r="C331" t="s">
        <v>1507</v>
      </c>
    </row>
    <row r="332" spans="1:3" x14ac:dyDescent="0.25">
      <c r="A332" t="s">
        <v>375</v>
      </c>
      <c r="B332" t="s">
        <v>1157</v>
      </c>
      <c r="C332" t="s">
        <v>1508</v>
      </c>
    </row>
    <row r="333" spans="1:3" x14ac:dyDescent="0.25">
      <c r="A333" t="s">
        <v>376</v>
      </c>
      <c r="B333" t="s">
        <v>1158</v>
      </c>
      <c r="C333" t="s">
        <v>1509</v>
      </c>
    </row>
    <row r="334" spans="1:3" x14ac:dyDescent="0.25">
      <c r="A334" t="s">
        <v>377</v>
      </c>
      <c r="B334" t="s">
        <v>1159</v>
      </c>
      <c r="C334" t="s">
        <v>1510</v>
      </c>
    </row>
    <row r="335" spans="1:3" x14ac:dyDescent="0.25">
      <c r="A335" t="s">
        <v>378</v>
      </c>
      <c r="B335" t="s">
        <v>1160</v>
      </c>
      <c r="C335" t="s">
        <v>1511</v>
      </c>
    </row>
    <row r="336" spans="1:3" x14ac:dyDescent="0.25">
      <c r="A336" t="s">
        <v>379</v>
      </c>
      <c r="B336" t="s">
        <v>1161</v>
      </c>
      <c r="C336" t="s">
        <v>1512</v>
      </c>
    </row>
    <row r="337" spans="1:3" x14ac:dyDescent="0.25">
      <c r="A337" t="s">
        <v>380</v>
      </c>
      <c r="B337" t="s">
        <v>1162</v>
      </c>
      <c r="C337" t="s">
        <v>1513</v>
      </c>
    </row>
    <row r="338" spans="1:3" x14ac:dyDescent="0.25">
      <c r="A338" t="s">
        <v>381</v>
      </c>
      <c r="B338" t="s">
        <v>1163</v>
      </c>
      <c r="C338" t="s">
        <v>1514</v>
      </c>
    </row>
    <row r="339" spans="1:3" x14ac:dyDescent="0.25">
      <c r="A339" t="s">
        <v>382</v>
      </c>
      <c r="B339" t="s">
        <v>1164</v>
      </c>
      <c r="C339" t="s">
        <v>1515</v>
      </c>
    </row>
    <row r="340" spans="1:3" x14ac:dyDescent="0.25">
      <c r="A340" t="s">
        <v>383</v>
      </c>
      <c r="B340" t="s">
        <v>1165</v>
      </c>
      <c r="C340" t="s">
        <v>1516</v>
      </c>
    </row>
    <row r="341" spans="1:3" x14ac:dyDescent="0.25">
      <c r="A341" t="s">
        <v>384</v>
      </c>
      <c r="B341" t="s">
        <v>1166</v>
      </c>
      <c r="C341" t="s">
        <v>1517</v>
      </c>
    </row>
    <row r="342" spans="1:3" x14ac:dyDescent="0.25">
      <c r="A342" t="s">
        <v>385</v>
      </c>
      <c r="B342" t="s">
        <v>1167</v>
      </c>
      <c r="C342" t="s">
        <v>1518</v>
      </c>
    </row>
    <row r="343" spans="1:3" x14ac:dyDescent="0.25">
      <c r="A343" t="s">
        <v>386</v>
      </c>
      <c r="B343" t="s">
        <v>1168</v>
      </c>
      <c r="C343" t="s">
        <v>1519</v>
      </c>
    </row>
    <row r="344" spans="1:3" x14ac:dyDescent="0.25">
      <c r="A344" t="s">
        <v>387</v>
      </c>
      <c r="B344" t="s">
        <v>1169</v>
      </c>
      <c r="C344" t="s">
        <v>1520</v>
      </c>
    </row>
    <row r="345" spans="1:3" x14ac:dyDescent="0.25">
      <c r="A345" t="s">
        <v>388</v>
      </c>
      <c r="B345" t="s">
        <v>1170</v>
      </c>
      <c r="C345" t="s">
        <v>1521</v>
      </c>
    </row>
    <row r="346" spans="1:3" x14ac:dyDescent="0.25">
      <c r="A346" t="s">
        <v>389</v>
      </c>
      <c r="B346" t="s">
        <v>1171</v>
      </c>
      <c r="C346" t="s">
        <v>1522</v>
      </c>
    </row>
    <row r="347" spans="1:3" x14ac:dyDescent="0.25">
      <c r="A347" t="s">
        <v>390</v>
      </c>
      <c r="B347" t="s">
        <v>1172</v>
      </c>
      <c r="C347" t="s">
        <v>1523</v>
      </c>
    </row>
    <row r="348" spans="1:3" x14ac:dyDescent="0.25">
      <c r="A348" t="s">
        <v>391</v>
      </c>
      <c r="B348" t="s">
        <v>1173</v>
      </c>
      <c r="C348" t="s">
        <v>1524</v>
      </c>
    </row>
    <row r="349" spans="1:3" x14ac:dyDescent="0.25">
      <c r="A349" t="s">
        <v>392</v>
      </c>
      <c r="B349" t="s">
        <v>1174</v>
      </c>
      <c r="C349" t="s">
        <v>1525</v>
      </c>
    </row>
    <row r="350" spans="1:3" x14ac:dyDescent="0.25">
      <c r="A350" t="s">
        <v>393</v>
      </c>
      <c r="B350" t="s">
        <v>1175</v>
      </c>
      <c r="C350" t="s">
        <v>1526</v>
      </c>
    </row>
    <row r="351" spans="1:3" x14ac:dyDescent="0.25">
      <c r="A351" t="s">
        <v>394</v>
      </c>
      <c r="B351" t="s">
        <v>1176</v>
      </c>
      <c r="C351" t="s">
        <v>1527</v>
      </c>
    </row>
    <row r="352" spans="1:3" x14ac:dyDescent="0.25">
      <c r="A352" t="s">
        <v>395</v>
      </c>
      <c r="B352" t="s">
        <v>1177</v>
      </c>
      <c r="C352" t="s">
        <v>1528</v>
      </c>
    </row>
    <row r="353" spans="1:3" x14ac:dyDescent="0.25">
      <c r="A353" t="s">
        <v>396</v>
      </c>
      <c r="B353" t="s">
        <v>1178</v>
      </c>
      <c r="C353" t="s">
        <v>1529</v>
      </c>
    </row>
    <row r="354" spans="1:3" x14ac:dyDescent="0.25">
      <c r="A354" t="s">
        <v>397</v>
      </c>
      <c r="B354" t="s">
        <v>1179</v>
      </c>
      <c r="C354" t="s">
        <v>1530</v>
      </c>
    </row>
    <row r="355" spans="1:3" x14ac:dyDescent="0.25">
      <c r="A355" t="s">
        <v>398</v>
      </c>
      <c r="B355" t="s">
        <v>1180</v>
      </c>
      <c r="C355" t="s">
        <v>1531</v>
      </c>
    </row>
    <row r="356" spans="1:3" x14ac:dyDescent="0.25">
      <c r="A356" t="s">
        <v>399</v>
      </c>
      <c r="C356" t="s">
        <v>1532</v>
      </c>
    </row>
    <row r="357" spans="1:3" x14ac:dyDescent="0.25">
      <c r="A357" t="s">
        <v>400</v>
      </c>
      <c r="C357" t="s">
        <v>1533</v>
      </c>
    </row>
    <row r="358" spans="1:3" x14ac:dyDescent="0.25">
      <c r="A358" t="s">
        <v>401</v>
      </c>
      <c r="C358" t="s">
        <v>1534</v>
      </c>
    </row>
    <row r="359" spans="1:3" x14ac:dyDescent="0.25">
      <c r="A359" t="s">
        <v>402</v>
      </c>
      <c r="C359" t="s">
        <v>1535</v>
      </c>
    </row>
    <row r="360" spans="1:3" x14ac:dyDescent="0.25">
      <c r="A360" t="s">
        <v>403</v>
      </c>
      <c r="C360" t="s">
        <v>1536</v>
      </c>
    </row>
    <row r="361" spans="1:3" x14ac:dyDescent="0.25">
      <c r="A361" t="s">
        <v>404</v>
      </c>
      <c r="C361" t="s">
        <v>1537</v>
      </c>
    </row>
    <row r="362" spans="1:3" x14ac:dyDescent="0.25">
      <c r="A362" t="s">
        <v>405</v>
      </c>
      <c r="C362" t="s">
        <v>1538</v>
      </c>
    </row>
    <row r="363" spans="1:3" x14ac:dyDescent="0.25">
      <c r="A363" t="s">
        <v>406</v>
      </c>
      <c r="C363" t="s">
        <v>1539</v>
      </c>
    </row>
    <row r="364" spans="1:3" x14ac:dyDescent="0.25">
      <c r="A364" t="s">
        <v>407</v>
      </c>
      <c r="C364" t="s">
        <v>1540</v>
      </c>
    </row>
    <row r="365" spans="1:3" x14ac:dyDescent="0.25">
      <c r="A365" t="s">
        <v>408</v>
      </c>
      <c r="C365" t="s">
        <v>1541</v>
      </c>
    </row>
    <row r="366" spans="1:3" x14ac:dyDescent="0.25">
      <c r="A366" t="s">
        <v>409</v>
      </c>
      <c r="C366" t="s">
        <v>1542</v>
      </c>
    </row>
    <row r="367" spans="1:3" x14ac:dyDescent="0.25">
      <c r="A367" t="s">
        <v>410</v>
      </c>
      <c r="C367" t="s">
        <v>1543</v>
      </c>
    </row>
    <row r="368" spans="1:3" x14ac:dyDescent="0.25">
      <c r="A368" t="s">
        <v>411</v>
      </c>
      <c r="C368" t="s">
        <v>1544</v>
      </c>
    </row>
    <row r="369" spans="1:3" x14ac:dyDescent="0.25">
      <c r="A369" t="s">
        <v>412</v>
      </c>
      <c r="C369" t="s">
        <v>1545</v>
      </c>
    </row>
    <row r="370" spans="1:3" x14ac:dyDescent="0.25">
      <c r="A370" t="s">
        <v>413</v>
      </c>
      <c r="C370" t="s">
        <v>1546</v>
      </c>
    </row>
    <row r="371" spans="1:3" x14ac:dyDescent="0.25">
      <c r="A371" t="s">
        <v>414</v>
      </c>
      <c r="C371" t="s">
        <v>1547</v>
      </c>
    </row>
    <row r="372" spans="1:3" x14ac:dyDescent="0.25">
      <c r="A372" t="s">
        <v>415</v>
      </c>
      <c r="C372" t="s">
        <v>1548</v>
      </c>
    </row>
    <row r="373" spans="1:3" x14ac:dyDescent="0.25">
      <c r="A373" t="s">
        <v>416</v>
      </c>
      <c r="C373" t="s">
        <v>1549</v>
      </c>
    </row>
    <row r="374" spans="1:3" x14ac:dyDescent="0.25">
      <c r="A374" t="s">
        <v>417</v>
      </c>
      <c r="C374" t="s">
        <v>1550</v>
      </c>
    </row>
    <row r="375" spans="1:3" x14ac:dyDescent="0.25">
      <c r="A375" t="s">
        <v>418</v>
      </c>
      <c r="C375" t="s">
        <v>1551</v>
      </c>
    </row>
    <row r="376" spans="1:3" x14ac:dyDescent="0.25">
      <c r="A376" t="s">
        <v>419</v>
      </c>
      <c r="C376" t="s">
        <v>1552</v>
      </c>
    </row>
    <row r="377" spans="1:3" x14ac:dyDescent="0.25">
      <c r="A377" t="s">
        <v>420</v>
      </c>
      <c r="C377" t="s">
        <v>1553</v>
      </c>
    </row>
    <row r="378" spans="1:3" x14ac:dyDescent="0.25">
      <c r="A378" t="s">
        <v>421</v>
      </c>
      <c r="C378" t="s">
        <v>1554</v>
      </c>
    </row>
    <row r="379" spans="1:3" x14ac:dyDescent="0.25">
      <c r="A379" t="s">
        <v>422</v>
      </c>
      <c r="C379" t="s">
        <v>1555</v>
      </c>
    </row>
    <row r="380" spans="1:3" x14ac:dyDescent="0.25">
      <c r="A380" t="s">
        <v>423</v>
      </c>
      <c r="C380" t="s">
        <v>1556</v>
      </c>
    </row>
    <row r="381" spans="1:3" x14ac:dyDescent="0.25">
      <c r="A381" t="s">
        <v>424</v>
      </c>
      <c r="C381" t="s">
        <v>1557</v>
      </c>
    </row>
    <row r="382" spans="1:3" x14ac:dyDescent="0.25">
      <c r="A382" t="s">
        <v>425</v>
      </c>
      <c r="C382" t="s">
        <v>1558</v>
      </c>
    </row>
    <row r="383" spans="1:3" x14ac:dyDescent="0.25">
      <c r="A383" t="s">
        <v>426</v>
      </c>
      <c r="C383" t="s">
        <v>1559</v>
      </c>
    </row>
    <row r="384" spans="1:3" x14ac:dyDescent="0.25">
      <c r="A384" t="s">
        <v>427</v>
      </c>
      <c r="C384" t="s">
        <v>1560</v>
      </c>
    </row>
    <row r="385" spans="1:3" x14ac:dyDescent="0.25">
      <c r="A385" t="s">
        <v>428</v>
      </c>
      <c r="C385" t="s">
        <v>1561</v>
      </c>
    </row>
    <row r="386" spans="1:3" x14ac:dyDescent="0.25">
      <c r="A386" t="s">
        <v>429</v>
      </c>
      <c r="C386" t="s">
        <v>1562</v>
      </c>
    </row>
    <row r="387" spans="1:3" x14ac:dyDescent="0.25">
      <c r="A387" t="s">
        <v>430</v>
      </c>
      <c r="C387" t="s">
        <v>1563</v>
      </c>
    </row>
    <row r="388" spans="1:3" x14ac:dyDescent="0.25">
      <c r="A388" t="s">
        <v>431</v>
      </c>
      <c r="C388" t="s">
        <v>1564</v>
      </c>
    </row>
    <row r="389" spans="1:3" x14ac:dyDescent="0.25">
      <c r="A389" t="s">
        <v>432</v>
      </c>
      <c r="C389" t="s">
        <v>1565</v>
      </c>
    </row>
    <row r="390" spans="1:3" x14ac:dyDescent="0.25">
      <c r="A390" t="s">
        <v>433</v>
      </c>
      <c r="C390" t="s">
        <v>1566</v>
      </c>
    </row>
    <row r="391" spans="1:3" x14ac:dyDescent="0.25">
      <c r="A391" t="s">
        <v>434</v>
      </c>
      <c r="C391" t="s">
        <v>1567</v>
      </c>
    </row>
    <row r="392" spans="1:3" x14ac:dyDescent="0.25">
      <c r="A392" t="s">
        <v>435</v>
      </c>
      <c r="C392" t="s">
        <v>1568</v>
      </c>
    </row>
    <row r="393" spans="1:3" x14ac:dyDescent="0.25">
      <c r="A393" t="s">
        <v>436</v>
      </c>
      <c r="C393" t="s">
        <v>1569</v>
      </c>
    </row>
    <row r="394" spans="1:3" x14ac:dyDescent="0.25">
      <c r="A394" t="s">
        <v>437</v>
      </c>
      <c r="C394" t="s">
        <v>1570</v>
      </c>
    </row>
    <row r="395" spans="1:3" x14ac:dyDescent="0.25">
      <c r="A395" t="s">
        <v>438</v>
      </c>
      <c r="C395" t="s">
        <v>1571</v>
      </c>
    </row>
    <row r="396" spans="1:3" x14ac:dyDescent="0.25">
      <c r="A396" t="s">
        <v>439</v>
      </c>
      <c r="C396" t="s">
        <v>1572</v>
      </c>
    </row>
    <row r="397" spans="1:3" x14ac:dyDescent="0.25">
      <c r="A397" t="s">
        <v>440</v>
      </c>
      <c r="C397" t="s">
        <v>1573</v>
      </c>
    </row>
    <row r="398" spans="1:3" x14ac:dyDescent="0.25">
      <c r="A398" t="s">
        <v>441</v>
      </c>
      <c r="C398" t="s">
        <v>1574</v>
      </c>
    </row>
    <row r="399" spans="1:3" x14ac:dyDescent="0.25">
      <c r="A399" t="s">
        <v>442</v>
      </c>
      <c r="C399" t="s">
        <v>1575</v>
      </c>
    </row>
    <row r="400" spans="1:3" x14ac:dyDescent="0.25">
      <c r="A400" t="s">
        <v>443</v>
      </c>
      <c r="C400" t="s">
        <v>1576</v>
      </c>
    </row>
    <row r="401" spans="1:3" x14ac:dyDescent="0.25">
      <c r="A401" t="s">
        <v>444</v>
      </c>
      <c r="C401" t="s">
        <v>1577</v>
      </c>
    </row>
    <row r="402" spans="1:3" x14ac:dyDescent="0.25">
      <c r="A402" t="s">
        <v>445</v>
      </c>
      <c r="C402" t="s">
        <v>1578</v>
      </c>
    </row>
    <row r="403" spans="1:3" x14ac:dyDescent="0.25">
      <c r="A403" t="s">
        <v>446</v>
      </c>
      <c r="C403" t="s">
        <v>1579</v>
      </c>
    </row>
    <row r="404" spans="1:3" x14ac:dyDescent="0.25">
      <c r="A404" t="s">
        <v>447</v>
      </c>
      <c r="C404" t="s">
        <v>1580</v>
      </c>
    </row>
    <row r="405" spans="1:3" x14ac:dyDescent="0.25">
      <c r="A405" t="s">
        <v>448</v>
      </c>
      <c r="C405" t="s">
        <v>1581</v>
      </c>
    </row>
    <row r="406" spans="1:3" x14ac:dyDescent="0.25">
      <c r="A406" t="s">
        <v>449</v>
      </c>
      <c r="C406" t="s">
        <v>1582</v>
      </c>
    </row>
    <row r="407" spans="1:3" x14ac:dyDescent="0.25">
      <c r="A407" t="s">
        <v>450</v>
      </c>
      <c r="C407" t="s">
        <v>1583</v>
      </c>
    </row>
    <row r="408" spans="1:3" x14ac:dyDescent="0.25">
      <c r="A408" t="s">
        <v>451</v>
      </c>
      <c r="C408" t="s">
        <v>1584</v>
      </c>
    </row>
    <row r="409" spans="1:3" x14ac:dyDescent="0.25">
      <c r="A409" t="s">
        <v>452</v>
      </c>
      <c r="C409" t="s">
        <v>1585</v>
      </c>
    </row>
    <row r="410" spans="1:3" x14ac:dyDescent="0.25">
      <c r="A410" t="s">
        <v>453</v>
      </c>
      <c r="C410" t="s">
        <v>1586</v>
      </c>
    </row>
    <row r="411" spans="1:3" x14ac:dyDescent="0.25">
      <c r="A411" t="s">
        <v>454</v>
      </c>
      <c r="C411" t="s">
        <v>1587</v>
      </c>
    </row>
    <row r="412" spans="1:3" x14ac:dyDescent="0.25">
      <c r="A412" t="s">
        <v>455</v>
      </c>
      <c r="C412" t="s">
        <v>1588</v>
      </c>
    </row>
    <row r="413" spans="1:3" x14ac:dyDescent="0.25">
      <c r="A413" t="s">
        <v>456</v>
      </c>
      <c r="C413" t="s">
        <v>1589</v>
      </c>
    </row>
    <row r="414" spans="1:3" x14ac:dyDescent="0.25">
      <c r="A414" t="s">
        <v>457</v>
      </c>
      <c r="C414" t="s">
        <v>1590</v>
      </c>
    </row>
    <row r="415" spans="1:3" x14ac:dyDescent="0.25">
      <c r="A415" t="s">
        <v>458</v>
      </c>
      <c r="C415" t="s">
        <v>1591</v>
      </c>
    </row>
    <row r="416" spans="1:3" x14ac:dyDescent="0.25">
      <c r="A416" t="s">
        <v>459</v>
      </c>
      <c r="C416" t="s">
        <v>1592</v>
      </c>
    </row>
    <row r="417" spans="1:3" x14ac:dyDescent="0.25">
      <c r="A417" t="s">
        <v>460</v>
      </c>
      <c r="C417" t="s">
        <v>1593</v>
      </c>
    </row>
    <row r="418" spans="1:3" x14ac:dyDescent="0.25">
      <c r="A418" t="s">
        <v>461</v>
      </c>
      <c r="C418" t="s">
        <v>1594</v>
      </c>
    </row>
    <row r="419" spans="1:3" x14ac:dyDescent="0.25">
      <c r="A419" t="s">
        <v>462</v>
      </c>
      <c r="C419" t="s">
        <v>1595</v>
      </c>
    </row>
    <row r="420" spans="1:3" x14ac:dyDescent="0.25">
      <c r="A420" t="s">
        <v>463</v>
      </c>
      <c r="C420" t="s">
        <v>1596</v>
      </c>
    </row>
    <row r="421" spans="1:3" x14ac:dyDescent="0.25">
      <c r="A421" t="s">
        <v>464</v>
      </c>
      <c r="C421" t="s">
        <v>1597</v>
      </c>
    </row>
    <row r="422" spans="1:3" x14ac:dyDescent="0.25">
      <c r="A422" t="s">
        <v>465</v>
      </c>
      <c r="C422" t="s">
        <v>1598</v>
      </c>
    </row>
    <row r="423" spans="1:3" x14ac:dyDescent="0.25">
      <c r="A423" t="s">
        <v>466</v>
      </c>
      <c r="C423" t="s">
        <v>1599</v>
      </c>
    </row>
    <row r="424" spans="1:3" x14ac:dyDescent="0.25">
      <c r="A424" t="s">
        <v>467</v>
      </c>
      <c r="C424" t="s">
        <v>1600</v>
      </c>
    </row>
    <row r="425" spans="1:3" x14ac:dyDescent="0.25">
      <c r="A425" t="s">
        <v>468</v>
      </c>
      <c r="C425" t="s">
        <v>1601</v>
      </c>
    </row>
    <row r="426" spans="1:3" x14ac:dyDescent="0.25">
      <c r="A426" t="s">
        <v>469</v>
      </c>
      <c r="C426" t="s">
        <v>1602</v>
      </c>
    </row>
    <row r="427" spans="1:3" x14ac:dyDescent="0.25">
      <c r="A427" t="s">
        <v>470</v>
      </c>
      <c r="C427" t="s">
        <v>1603</v>
      </c>
    </row>
    <row r="428" spans="1:3" x14ac:dyDescent="0.25">
      <c r="A428" t="s">
        <v>471</v>
      </c>
      <c r="C428" t="s">
        <v>1604</v>
      </c>
    </row>
    <row r="429" spans="1:3" x14ac:dyDescent="0.25">
      <c r="A429" t="s">
        <v>472</v>
      </c>
      <c r="C429" t="s">
        <v>1605</v>
      </c>
    </row>
    <row r="430" spans="1:3" x14ac:dyDescent="0.25">
      <c r="A430" t="s">
        <v>473</v>
      </c>
      <c r="C430" t="s">
        <v>1606</v>
      </c>
    </row>
    <row r="431" spans="1:3" x14ac:dyDescent="0.25">
      <c r="A431" t="s">
        <v>474</v>
      </c>
      <c r="C431" t="s">
        <v>1607</v>
      </c>
    </row>
    <row r="432" spans="1:3" x14ac:dyDescent="0.25">
      <c r="A432" t="s">
        <v>475</v>
      </c>
    </row>
    <row r="433" spans="1:1" x14ac:dyDescent="0.25">
      <c r="A433" t="s">
        <v>476</v>
      </c>
    </row>
    <row r="434" spans="1:1" x14ac:dyDescent="0.25">
      <c r="A434" t="s">
        <v>477</v>
      </c>
    </row>
    <row r="435" spans="1:1" x14ac:dyDescent="0.25">
      <c r="A435" t="s">
        <v>478</v>
      </c>
    </row>
    <row r="436" spans="1:1" x14ac:dyDescent="0.25">
      <c r="A436" t="s">
        <v>479</v>
      </c>
    </row>
    <row r="437" spans="1:1" x14ac:dyDescent="0.25">
      <c r="A437" t="s">
        <v>480</v>
      </c>
    </row>
    <row r="438" spans="1:1" x14ac:dyDescent="0.25">
      <c r="A438" t="s">
        <v>481</v>
      </c>
    </row>
    <row r="439" spans="1:1" x14ac:dyDescent="0.25">
      <c r="A439" t="s">
        <v>482</v>
      </c>
    </row>
    <row r="440" spans="1:1" x14ac:dyDescent="0.25">
      <c r="A440" t="s">
        <v>483</v>
      </c>
    </row>
    <row r="441" spans="1:1" x14ac:dyDescent="0.25">
      <c r="A441" t="s">
        <v>484</v>
      </c>
    </row>
    <row r="442" spans="1:1" x14ac:dyDescent="0.25">
      <c r="A442" t="s">
        <v>485</v>
      </c>
    </row>
    <row r="443" spans="1:1" x14ac:dyDescent="0.25">
      <c r="A443" t="s">
        <v>486</v>
      </c>
    </row>
    <row r="444" spans="1:1" x14ac:dyDescent="0.25">
      <c r="A444" t="s">
        <v>487</v>
      </c>
    </row>
    <row r="445" spans="1:1" x14ac:dyDescent="0.25">
      <c r="A445" t="s">
        <v>488</v>
      </c>
    </row>
    <row r="446" spans="1:1" x14ac:dyDescent="0.25">
      <c r="A446" t="s">
        <v>489</v>
      </c>
    </row>
    <row r="447" spans="1:1" x14ac:dyDescent="0.25">
      <c r="A447" t="s">
        <v>490</v>
      </c>
    </row>
    <row r="448" spans="1:1" x14ac:dyDescent="0.25">
      <c r="A448" t="s">
        <v>491</v>
      </c>
    </row>
    <row r="449" spans="1:1" x14ac:dyDescent="0.25">
      <c r="A449" t="s">
        <v>492</v>
      </c>
    </row>
    <row r="450" spans="1:1" x14ac:dyDescent="0.25">
      <c r="A450" t="s">
        <v>493</v>
      </c>
    </row>
    <row r="451" spans="1:1" x14ac:dyDescent="0.25">
      <c r="A451" t="s">
        <v>494</v>
      </c>
    </row>
    <row r="452" spans="1:1" x14ac:dyDescent="0.25">
      <c r="A452" t="s">
        <v>495</v>
      </c>
    </row>
    <row r="453" spans="1:1" x14ac:dyDescent="0.25">
      <c r="A453" t="s">
        <v>496</v>
      </c>
    </row>
    <row r="454" spans="1:1" x14ac:dyDescent="0.25">
      <c r="A454" t="s">
        <v>497</v>
      </c>
    </row>
    <row r="455" spans="1:1" x14ac:dyDescent="0.25">
      <c r="A455" t="s">
        <v>498</v>
      </c>
    </row>
    <row r="456" spans="1:1" x14ac:dyDescent="0.25">
      <c r="A456" t="s">
        <v>499</v>
      </c>
    </row>
    <row r="457" spans="1:1" x14ac:dyDescent="0.25">
      <c r="A457" t="s">
        <v>500</v>
      </c>
    </row>
    <row r="458" spans="1:1" x14ac:dyDescent="0.25">
      <c r="A458" t="s">
        <v>501</v>
      </c>
    </row>
    <row r="459" spans="1:1" x14ac:dyDescent="0.25">
      <c r="A459" t="s">
        <v>502</v>
      </c>
    </row>
    <row r="460" spans="1:1" x14ac:dyDescent="0.25">
      <c r="A460" t="s">
        <v>503</v>
      </c>
    </row>
    <row r="461" spans="1:1" x14ac:dyDescent="0.25">
      <c r="A461" t="s">
        <v>504</v>
      </c>
    </row>
    <row r="462" spans="1:1" x14ac:dyDescent="0.25">
      <c r="A462" t="s">
        <v>505</v>
      </c>
    </row>
    <row r="463" spans="1:1" x14ac:dyDescent="0.25">
      <c r="A463" t="s">
        <v>506</v>
      </c>
    </row>
    <row r="464" spans="1:1" x14ac:dyDescent="0.25">
      <c r="A464" t="s">
        <v>507</v>
      </c>
    </row>
    <row r="465" spans="1:1" x14ac:dyDescent="0.25">
      <c r="A465" t="s">
        <v>508</v>
      </c>
    </row>
    <row r="466" spans="1:1" x14ac:dyDescent="0.25">
      <c r="A466" t="s">
        <v>509</v>
      </c>
    </row>
    <row r="467" spans="1:1" x14ac:dyDescent="0.25">
      <c r="A467" t="s">
        <v>510</v>
      </c>
    </row>
    <row r="468" spans="1:1" x14ac:dyDescent="0.25">
      <c r="A468" t="s">
        <v>511</v>
      </c>
    </row>
    <row r="469" spans="1:1" x14ac:dyDescent="0.25">
      <c r="A469" t="s">
        <v>512</v>
      </c>
    </row>
    <row r="470" spans="1:1" x14ac:dyDescent="0.25">
      <c r="A470" t="s">
        <v>513</v>
      </c>
    </row>
    <row r="471" spans="1:1" x14ac:dyDescent="0.25">
      <c r="A471" t="s">
        <v>514</v>
      </c>
    </row>
    <row r="472" spans="1:1" x14ac:dyDescent="0.25">
      <c r="A472" t="s">
        <v>515</v>
      </c>
    </row>
    <row r="473" spans="1:1" x14ac:dyDescent="0.25">
      <c r="A473" t="s">
        <v>516</v>
      </c>
    </row>
    <row r="474" spans="1:1" x14ac:dyDescent="0.25">
      <c r="A474" t="s">
        <v>517</v>
      </c>
    </row>
    <row r="475" spans="1:1" x14ac:dyDescent="0.25">
      <c r="A475" t="s">
        <v>518</v>
      </c>
    </row>
    <row r="476" spans="1:1" x14ac:dyDescent="0.25">
      <c r="A476" t="s">
        <v>519</v>
      </c>
    </row>
    <row r="477" spans="1:1" x14ac:dyDescent="0.25">
      <c r="A477" t="s">
        <v>520</v>
      </c>
    </row>
    <row r="478" spans="1:1" x14ac:dyDescent="0.25">
      <c r="A478" t="s">
        <v>521</v>
      </c>
    </row>
    <row r="479" spans="1:1" x14ac:dyDescent="0.25">
      <c r="A479" t="s">
        <v>522</v>
      </c>
    </row>
    <row r="480" spans="1:1" x14ac:dyDescent="0.25">
      <c r="A480" t="s">
        <v>523</v>
      </c>
    </row>
    <row r="481" spans="1:1" x14ac:dyDescent="0.25">
      <c r="A481" t="s">
        <v>524</v>
      </c>
    </row>
    <row r="482" spans="1:1" x14ac:dyDescent="0.25">
      <c r="A482" t="s">
        <v>525</v>
      </c>
    </row>
    <row r="483" spans="1:1" x14ac:dyDescent="0.25">
      <c r="A483" t="s">
        <v>526</v>
      </c>
    </row>
    <row r="484" spans="1:1" x14ac:dyDescent="0.25">
      <c r="A484" t="s">
        <v>527</v>
      </c>
    </row>
    <row r="485" spans="1:1" x14ac:dyDescent="0.25">
      <c r="A485" t="s">
        <v>528</v>
      </c>
    </row>
    <row r="486" spans="1:1" x14ac:dyDescent="0.25">
      <c r="A486" t="s">
        <v>529</v>
      </c>
    </row>
    <row r="487" spans="1:1" x14ac:dyDescent="0.25">
      <c r="A487" t="s">
        <v>530</v>
      </c>
    </row>
    <row r="488" spans="1:1" x14ac:dyDescent="0.25">
      <c r="A488" t="s">
        <v>531</v>
      </c>
    </row>
    <row r="489" spans="1:1" x14ac:dyDescent="0.25">
      <c r="A489" t="s">
        <v>532</v>
      </c>
    </row>
    <row r="490" spans="1:1" x14ac:dyDescent="0.25">
      <c r="A490" t="s">
        <v>533</v>
      </c>
    </row>
    <row r="491" spans="1:1" x14ac:dyDescent="0.25">
      <c r="A491" t="s">
        <v>534</v>
      </c>
    </row>
    <row r="492" spans="1:1" x14ac:dyDescent="0.25">
      <c r="A492" t="s">
        <v>535</v>
      </c>
    </row>
    <row r="493" spans="1:1" x14ac:dyDescent="0.25">
      <c r="A493" t="s">
        <v>536</v>
      </c>
    </row>
    <row r="494" spans="1:1" x14ac:dyDescent="0.25">
      <c r="A494" t="s">
        <v>537</v>
      </c>
    </row>
    <row r="495" spans="1:1" x14ac:dyDescent="0.25">
      <c r="A495" t="s">
        <v>538</v>
      </c>
    </row>
    <row r="496" spans="1:1" x14ac:dyDescent="0.25">
      <c r="A496" t="s">
        <v>539</v>
      </c>
    </row>
    <row r="497" spans="1:1" x14ac:dyDescent="0.25">
      <c r="A497" t="s">
        <v>540</v>
      </c>
    </row>
    <row r="498" spans="1:1" x14ac:dyDescent="0.25">
      <c r="A498" t="s">
        <v>541</v>
      </c>
    </row>
    <row r="499" spans="1:1" x14ac:dyDescent="0.25">
      <c r="A499" t="s">
        <v>542</v>
      </c>
    </row>
    <row r="500" spans="1:1" x14ac:dyDescent="0.25">
      <c r="A500" t="s">
        <v>543</v>
      </c>
    </row>
    <row r="501" spans="1:1" x14ac:dyDescent="0.25">
      <c r="A501" t="s">
        <v>544</v>
      </c>
    </row>
    <row r="502" spans="1:1" x14ac:dyDescent="0.25">
      <c r="A502" t="s">
        <v>545</v>
      </c>
    </row>
    <row r="503" spans="1:1" x14ac:dyDescent="0.25">
      <c r="A503" t="s">
        <v>546</v>
      </c>
    </row>
    <row r="504" spans="1:1" x14ac:dyDescent="0.25">
      <c r="A504" t="s">
        <v>547</v>
      </c>
    </row>
    <row r="505" spans="1:1" x14ac:dyDescent="0.25">
      <c r="A505" t="s">
        <v>548</v>
      </c>
    </row>
    <row r="506" spans="1:1" x14ac:dyDescent="0.25">
      <c r="A506" t="s">
        <v>549</v>
      </c>
    </row>
    <row r="507" spans="1:1" x14ac:dyDescent="0.25">
      <c r="A507" t="s">
        <v>550</v>
      </c>
    </row>
    <row r="508" spans="1:1" x14ac:dyDescent="0.25">
      <c r="A508" t="s">
        <v>551</v>
      </c>
    </row>
    <row r="509" spans="1:1" x14ac:dyDescent="0.25">
      <c r="A509" t="s">
        <v>552</v>
      </c>
    </row>
    <row r="510" spans="1:1" x14ac:dyDescent="0.25">
      <c r="A510" t="s">
        <v>553</v>
      </c>
    </row>
    <row r="511" spans="1:1" x14ac:dyDescent="0.25">
      <c r="A511" t="s">
        <v>554</v>
      </c>
    </row>
    <row r="512" spans="1:1" x14ac:dyDescent="0.25">
      <c r="A512" t="s">
        <v>555</v>
      </c>
    </row>
    <row r="513" spans="1:1" x14ac:dyDescent="0.25">
      <c r="A513" t="s">
        <v>556</v>
      </c>
    </row>
    <row r="514" spans="1:1" x14ac:dyDescent="0.25">
      <c r="A514" t="s">
        <v>557</v>
      </c>
    </row>
    <row r="515" spans="1:1" x14ac:dyDescent="0.25">
      <c r="A515" t="s">
        <v>558</v>
      </c>
    </row>
    <row r="516" spans="1:1" x14ac:dyDescent="0.25">
      <c r="A516" t="s">
        <v>559</v>
      </c>
    </row>
    <row r="517" spans="1:1" x14ac:dyDescent="0.25">
      <c r="A517" t="s">
        <v>560</v>
      </c>
    </row>
    <row r="518" spans="1:1" x14ac:dyDescent="0.25">
      <c r="A518" t="s">
        <v>561</v>
      </c>
    </row>
    <row r="519" spans="1:1" x14ac:dyDescent="0.25">
      <c r="A519" t="s">
        <v>562</v>
      </c>
    </row>
    <row r="520" spans="1:1" x14ac:dyDescent="0.25">
      <c r="A520" t="s">
        <v>563</v>
      </c>
    </row>
    <row r="521" spans="1:1" x14ac:dyDescent="0.25">
      <c r="A521" t="s">
        <v>564</v>
      </c>
    </row>
    <row r="522" spans="1:1" x14ac:dyDescent="0.25">
      <c r="A522" t="s">
        <v>565</v>
      </c>
    </row>
    <row r="523" spans="1:1" x14ac:dyDescent="0.25">
      <c r="A523" t="s">
        <v>566</v>
      </c>
    </row>
    <row r="524" spans="1:1" x14ac:dyDescent="0.25">
      <c r="A524" t="s">
        <v>567</v>
      </c>
    </row>
    <row r="525" spans="1:1" x14ac:dyDescent="0.25">
      <c r="A525" t="s">
        <v>568</v>
      </c>
    </row>
    <row r="526" spans="1:1" x14ac:dyDescent="0.25">
      <c r="A526" t="s">
        <v>569</v>
      </c>
    </row>
    <row r="527" spans="1:1" x14ac:dyDescent="0.25">
      <c r="A527" t="s">
        <v>570</v>
      </c>
    </row>
    <row r="528" spans="1:1" x14ac:dyDescent="0.25">
      <c r="A528" t="s">
        <v>571</v>
      </c>
    </row>
    <row r="529" spans="1:1" x14ac:dyDescent="0.25">
      <c r="A529" t="s">
        <v>572</v>
      </c>
    </row>
    <row r="530" spans="1:1" x14ac:dyDescent="0.25">
      <c r="A530" t="s">
        <v>573</v>
      </c>
    </row>
    <row r="531" spans="1:1" x14ac:dyDescent="0.25">
      <c r="A531" t="s">
        <v>574</v>
      </c>
    </row>
    <row r="532" spans="1:1" x14ac:dyDescent="0.25">
      <c r="A532" t="s">
        <v>575</v>
      </c>
    </row>
    <row r="533" spans="1:1" x14ac:dyDescent="0.25">
      <c r="A533" t="s">
        <v>576</v>
      </c>
    </row>
    <row r="534" spans="1:1" x14ac:dyDescent="0.25">
      <c r="A534" t="s">
        <v>577</v>
      </c>
    </row>
    <row r="535" spans="1:1" x14ac:dyDescent="0.25">
      <c r="A535" t="s">
        <v>578</v>
      </c>
    </row>
    <row r="536" spans="1:1" x14ac:dyDescent="0.25">
      <c r="A536" t="s">
        <v>579</v>
      </c>
    </row>
    <row r="537" spans="1:1" x14ac:dyDescent="0.25">
      <c r="A537" t="s">
        <v>580</v>
      </c>
    </row>
    <row r="538" spans="1:1" x14ac:dyDescent="0.25">
      <c r="A538" t="s">
        <v>581</v>
      </c>
    </row>
    <row r="539" spans="1:1" x14ac:dyDescent="0.25">
      <c r="A539" t="s">
        <v>582</v>
      </c>
    </row>
    <row r="540" spans="1:1" x14ac:dyDescent="0.25">
      <c r="A540" t="s">
        <v>583</v>
      </c>
    </row>
    <row r="541" spans="1:1" x14ac:dyDescent="0.25">
      <c r="A541" t="s">
        <v>584</v>
      </c>
    </row>
    <row r="542" spans="1:1" x14ac:dyDescent="0.25">
      <c r="A542" t="s">
        <v>585</v>
      </c>
    </row>
    <row r="543" spans="1:1" x14ac:dyDescent="0.25">
      <c r="A543" t="s">
        <v>586</v>
      </c>
    </row>
    <row r="544" spans="1:1" x14ac:dyDescent="0.25">
      <c r="A544" t="s">
        <v>587</v>
      </c>
    </row>
    <row r="545" spans="1:1" x14ac:dyDescent="0.25">
      <c r="A545" t="s">
        <v>588</v>
      </c>
    </row>
    <row r="546" spans="1:1" x14ac:dyDescent="0.25">
      <c r="A546" t="s">
        <v>589</v>
      </c>
    </row>
    <row r="547" spans="1:1" x14ac:dyDescent="0.25">
      <c r="A547" t="s">
        <v>590</v>
      </c>
    </row>
    <row r="548" spans="1:1" x14ac:dyDescent="0.25">
      <c r="A548" t="s">
        <v>591</v>
      </c>
    </row>
    <row r="549" spans="1:1" x14ac:dyDescent="0.25">
      <c r="A549" t="s">
        <v>592</v>
      </c>
    </row>
    <row r="550" spans="1:1" x14ac:dyDescent="0.25">
      <c r="A550" t="s">
        <v>593</v>
      </c>
    </row>
    <row r="551" spans="1:1" x14ac:dyDescent="0.25">
      <c r="A551" t="s">
        <v>594</v>
      </c>
    </row>
    <row r="552" spans="1:1" x14ac:dyDescent="0.25">
      <c r="A552" t="s">
        <v>595</v>
      </c>
    </row>
    <row r="553" spans="1:1" x14ac:dyDescent="0.25">
      <c r="A553" t="s">
        <v>596</v>
      </c>
    </row>
    <row r="554" spans="1:1" x14ac:dyDescent="0.25">
      <c r="A554" t="s">
        <v>597</v>
      </c>
    </row>
    <row r="555" spans="1:1" x14ac:dyDescent="0.25">
      <c r="A555" t="s">
        <v>598</v>
      </c>
    </row>
    <row r="556" spans="1:1" x14ac:dyDescent="0.25">
      <c r="A556" t="s">
        <v>599</v>
      </c>
    </row>
    <row r="557" spans="1:1" x14ac:dyDescent="0.25">
      <c r="A557" t="s">
        <v>600</v>
      </c>
    </row>
    <row r="558" spans="1:1" x14ac:dyDescent="0.25">
      <c r="A558" t="s">
        <v>601</v>
      </c>
    </row>
    <row r="559" spans="1:1" x14ac:dyDescent="0.25">
      <c r="A559" t="s">
        <v>602</v>
      </c>
    </row>
    <row r="560" spans="1:1" x14ac:dyDescent="0.25">
      <c r="A560" t="s">
        <v>603</v>
      </c>
    </row>
    <row r="561" spans="1:1" x14ac:dyDescent="0.25">
      <c r="A561" t="s">
        <v>604</v>
      </c>
    </row>
    <row r="562" spans="1:1" x14ac:dyDescent="0.25">
      <c r="A562" t="s">
        <v>605</v>
      </c>
    </row>
    <row r="563" spans="1:1" x14ac:dyDescent="0.25">
      <c r="A563" t="s">
        <v>606</v>
      </c>
    </row>
    <row r="564" spans="1:1" x14ac:dyDescent="0.25">
      <c r="A564" t="s">
        <v>607</v>
      </c>
    </row>
    <row r="565" spans="1:1" x14ac:dyDescent="0.25">
      <c r="A565" t="s">
        <v>608</v>
      </c>
    </row>
    <row r="566" spans="1:1" x14ac:dyDescent="0.25">
      <c r="A566" t="s">
        <v>609</v>
      </c>
    </row>
    <row r="567" spans="1:1" x14ac:dyDescent="0.25">
      <c r="A567" t="s">
        <v>610</v>
      </c>
    </row>
    <row r="568" spans="1:1" x14ac:dyDescent="0.25">
      <c r="A568" t="s">
        <v>611</v>
      </c>
    </row>
    <row r="569" spans="1:1" x14ac:dyDescent="0.25">
      <c r="A569" t="s">
        <v>612</v>
      </c>
    </row>
    <row r="570" spans="1:1" x14ac:dyDescent="0.25">
      <c r="A570" t="s">
        <v>613</v>
      </c>
    </row>
    <row r="571" spans="1:1" x14ac:dyDescent="0.25">
      <c r="A571" t="s">
        <v>614</v>
      </c>
    </row>
    <row r="572" spans="1:1" x14ac:dyDescent="0.25">
      <c r="A572" t="s">
        <v>615</v>
      </c>
    </row>
    <row r="573" spans="1:1" x14ac:dyDescent="0.25">
      <c r="A573" t="s">
        <v>616</v>
      </c>
    </row>
    <row r="574" spans="1:1" x14ac:dyDescent="0.25">
      <c r="A574" t="s">
        <v>617</v>
      </c>
    </row>
    <row r="575" spans="1:1" x14ac:dyDescent="0.25">
      <c r="A575" t="s">
        <v>618</v>
      </c>
    </row>
    <row r="576" spans="1:1" x14ac:dyDescent="0.25">
      <c r="A576" t="s">
        <v>619</v>
      </c>
    </row>
    <row r="577" spans="1:1" x14ac:dyDescent="0.25">
      <c r="A577" t="s">
        <v>620</v>
      </c>
    </row>
    <row r="578" spans="1:1" x14ac:dyDescent="0.25">
      <c r="A578" t="s">
        <v>621</v>
      </c>
    </row>
    <row r="579" spans="1:1" x14ac:dyDescent="0.25">
      <c r="A579" t="s">
        <v>622</v>
      </c>
    </row>
    <row r="580" spans="1:1" x14ac:dyDescent="0.25">
      <c r="A580" t="s">
        <v>623</v>
      </c>
    </row>
    <row r="581" spans="1:1" x14ac:dyDescent="0.25">
      <c r="A581" t="s">
        <v>624</v>
      </c>
    </row>
    <row r="582" spans="1:1" x14ac:dyDescent="0.25">
      <c r="A582" t="s">
        <v>625</v>
      </c>
    </row>
    <row r="583" spans="1:1" x14ac:dyDescent="0.25">
      <c r="A583" t="s">
        <v>626</v>
      </c>
    </row>
    <row r="584" spans="1:1" x14ac:dyDescent="0.25">
      <c r="A584" t="s">
        <v>627</v>
      </c>
    </row>
    <row r="585" spans="1:1" x14ac:dyDescent="0.25">
      <c r="A585" t="s">
        <v>628</v>
      </c>
    </row>
    <row r="586" spans="1:1" x14ac:dyDescent="0.25">
      <c r="A586" t="s">
        <v>629</v>
      </c>
    </row>
    <row r="587" spans="1:1" x14ac:dyDescent="0.25">
      <c r="A587" t="s">
        <v>630</v>
      </c>
    </row>
    <row r="588" spans="1:1" x14ac:dyDescent="0.25">
      <c r="A588" t="s">
        <v>631</v>
      </c>
    </row>
    <row r="589" spans="1:1" x14ac:dyDescent="0.25">
      <c r="A589" t="s">
        <v>632</v>
      </c>
    </row>
    <row r="590" spans="1:1" x14ac:dyDescent="0.25">
      <c r="A590" t="s">
        <v>633</v>
      </c>
    </row>
    <row r="591" spans="1:1" x14ac:dyDescent="0.25">
      <c r="A591" t="s">
        <v>634</v>
      </c>
    </row>
    <row r="592" spans="1:1" x14ac:dyDescent="0.25">
      <c r="A592" t="s">
        <v>635</v>
      </c>
    </row>
    <row r="593" spans="1:1" x14ac:dyDescent="0.25">
      <c r="A593" t="s">
        <v>636</v>
      </c>
    </row>
    <row r="594" spans="1:1" x14ac:dyDescent="0.25">
      <c r="A594" t="s">
        <v>637</v>
      </c>
    </row>
    <row r="595" spans="1:1" x14ac:dyDescent="0.25">
      <c r="A595" t="s">
        <v>638</v>
      </c>
    </row>
    <row r="596" spans="1:1" x14ac:dyDescent="0.25">
      <c r="A596" t="s">
        <v>639</v>
      </c>
    </row>
    <row r="597" spans="1:1" x14ac:dyDescent="0.25">
      <c r="A597" t="s">
        <v>640</v>
      </c>
    </row>
    <row r="598" spans="1:1" x14ac:dyDescent="0.25">
      <c r="A598" t="s">
        <v>641</v>
      </c>
    </row>
    <row r="599" spans="1:1" x14ac:dyDescent="0.25">
      <c r="A599" t="s">
        <v>642</v>
      </c>
    </row>
    <row r="600" spans="1:1" x14ac:dyDescent="0.25">
      <c r="A600" t="s">
        <v>643</v>
      </c>
    </row>
    <row r="601" spans="1:1" x14ac:dyDescent="0.25">
      <c r="A601" t="s">
        <v>644</v>
      </c>
    </row>
    <row r="602" spans="1:1" x14ac:dyDescent="0.25">
      <c r="A602" t="s">
        <v>645</v>
      </c>
    </row>
    <row r="603" spans="1:1" x14ac:dyDescent="0.25">
      <c r="A603" t="s">
        <v>646</v>
      </c>
    </row>
    <row r="604" spans="1:1" x14ac:dyDescent="0.25">
      <c r="A604" t="s">
        <v>647</v>
      </c>
    </row>
    <row r="605" spans="1:1" x14ac:dyDescent="0.25">
      <c r="A605" t="s">
        <v>648</v>
      </c>
    </row>
    <row r="606" spans="1:1" x14ac:dyDescent="0.25">
      <c r="A606" t="s">
        <v>649</v>
      </c>
    </row>
    <row r="607" spans="1:1" x14ac:dyDescent="0.25">
      <c r="A607" t="s">
        <v>650</v>
      </c>
    </row>
    <row r="608" spans="1:1" x14ac:dyDescent="0.25">
      <c r="A608" t="s">
        <v>651</v>
      </c>
    </row>
    <row r="609" spans="1:1" x14ac:dyDescent="0.25">
      <c r="A609" t="s">
        <v>652</v>
      </c>
    </row>
    <row r="610" spans="1:1" x14ac:dyDescent="0.25">
      <c r="A610" t="s">
        <v>653</v>
      </c>
    </row>
    <row r="611" spans="1:1" x14ac:dyDescent="0.25">
      <c r="A611" t="s">
        <v>654</v>
      </c>
    </row>
    <row r="612" spans="1:1" x14ac:dyDescent="0.25">
      <c r="A612" t="s">
        <v>655</v>
      </c>
    </row>
    <row r="613" spans="1:1" x14ac:dyDescent="0.25">
      <c r="A613" t="s">
        <v>656</v>
      </c>
    </row>
    <row r="614" spans="1:1" x14ac:dyDescent="0.25">
      <c r="A614" t="s">
        <v>657</v>
      </c>
    </row>
    <row r="615" spans="1:1" x14ac:dyDescent="0.25">
      <c r="A615" t="s">
        <v>658</v>
      </c>
    </row>
    <row r="616" spans="1:1" x14ac:dyDescent="0.25">
      <c r="A616" t="s">
        <v>659</v>
      </c>
    </row>
    <row r="617" spans="1:1" x14ac:dyDescent="0.25">
      <c r="A617" t="s">
        <v>660</v>
      </c>
    </row>
    <row r="618" spans="1:1" x14ac:dyDescent="0.25">
      <c r="A618" t="s">
        <v>661</v>
      </c>
    </row>
    <row r="619" spans="1:1" x14ac:dyDescent="0.25">
      <c r="A619" t="s">
        <v>662</v>
      </c>
    </row>
    <row r="620" spans="1:1" x14ac:dyDescent="0.25">
      <c r="A620" t="s">
        <v>663</v>
      </c>
    </row>
    <row r="621" spans="1:1" x14ac:dyDescent="0.25">
      <c r="A621" t="s">
        <v>664</v>
      </c>
    </row>
    <row r="622" spans="1:1" x14ac:dyDescent="0.25">
      <c r="A622" t="s">
        <v>665</v>
      </c>
    </row>
    <row r="623" spans="1:1" x14ac:dyDescent="0.25">
      <c r="A623" t="s">
        <v>666</v>
      </c>
    </row>
    <row r="624" spans="1:1" x14ac:dyDescent="0.25">
      <c r="A624" t="s">
        <v>667</v>
      </c>
    </row>
    <row r="625" spans="1:1" x14ac:dyDescent="0.25">
      <c r="A625" t="s">
        <v>668</v>
      </c>
    </row>
    <row r="626" spans="1:1" x14ac:dyDescent="0.25">
      <c r="A626" t="s">
        <v>669</v>
      </c>
    </row>
    <row r="627" spans="1:1" x14ac:dyDescent="0.25">
      <c r="A627" t="s">
        <v>670</v>
      </c>
    </row>
    <row r="628" spans="1:1" x14ac:dyDescent="0.25">
      <c r="A628" t="s">
        <v>671</v>
      </c>
    </row>
    <row r="629" spans="1:1" x14ac:dyDescent="0.25">
      <c r="A629" t="s">
        <v>672</v>
      </c>
    </row>
    <row r="630" spans="1:1" x14ac:dyDescent="0.25">
      <c r="A630" t="s">
        <v>673</v>
      </c>
    </row>
    <row r="631" spans="1:1" x14ac:dyDescent="0.25">
      <c r="A631" t="s">
        <v>674</v>
      </c>
    </row>
    <row r="632" spans="1:1" x14ac:dyDescent="0.25">
      <c r="A632" t="s">
        <v>675</v>
      </c>
    </row>
    <row r="633" spans="1:1" x14ac:dyDescent="0.25">
      <c r="A633" t="s">
        <v>676</v>
      </c>
    </row>
    <row r="634" spans="1:1" x14ac:dyDescent="0.25">
      <c r="A634" t="s">
        <v>677</v>
      </c>
    </row>
    <row r="635" spans="1:1" x14ac:dyDescent="0.25">
      <c r="A635" t="s">
        <v>678</v>
      </c>
    </row>
    <row r="636" spans="1:1" x14ac:dyDescent="0.25">
      <c r="A636" t="s">
        <v>679</v>
      </c>
    </row>
    <row r="637" spans="1:1" x14ac:dyDescent="0.25">
      <c r="A637" t="s">
        <v>680</v>
      </c>
    </row>
    <row r="638" spans="1:1" x14ac:dyDescent="0.25">
      <c r="A638" t="s">
        <v>681</v>
      </c>
    </row>
    <row r="639" spans="1:1" x14ac:dyDescent="0.25">
      <c r="A639" t="s">
        <v>682</v>
      </c>
    </row>
    <row r="640" spans="1:1" x14ac:dyDescent="0.25">
      <c r="A640" t="s">
        <v>683</v>
      </c>
    </row>
    <row r="641" spans="1:1" x14ac:dyDescent="0.25">
      <c r="A641" t="s">
        <v>684</v>
      </c>
    </row>
    <row r="642" spans="1:1" x14ac:dyDescent="0.25">
      <c r="A642" t="s">
        <v>685</v>
      </c>
    </row>
    <row r="643" spans="1:1" x14ac:dyDescent="0.25">
      <c r="A643" t="s">
        <v>686</v>
      </c>
    </row>
    <row r="644" spans="1:1" x14ac:dyDescent="0.25">
      <c r="A644" t="s">
        <v>687</v>
      </c>
    </row>
    <row r="645" spans="1:1" x14ac:dyDescent="0.25">
      <c r="A645" t="s">
        <v>688</v>
      </c>
    </row>
    <row r="646" spans="1:1" x14ac:dyDescent="0.25">
      <c r="A646" t="s">
        <v>689</v>
      </c>
    </row>
    <row r="647" spans="1:1" x14ac:dyDescent="0.25">
      <c r="A647" t="s">
        <v>690</v>
      </c>
    </row>
    <row r="648" spans="1:1" x14ac:dyDescent="0.25">
      <c r="A648" t="s">
        <v>691</v>
      </c>
    </row>
    <row r="649" spans="1:1" x14ac:dyDescent="0.25">
      <c r="A649" t="s">
        <v>692</v>
      </c>
    </row>
    <row r="650" spans="1:1" x14ac:dyDescent="0.25">
      <c r="A650" t="s">
        <v>693</v>
      </c>
    </row>
    <row r="651" spans="1:1" x14ac:dyDescent="0.25">
      <c r="A651" t="s">
        <v>694</v>
      </c>
    </row>
    <row r="652" spans="1:1" x14ac:dyDescent="0.25">
      <c r="A652" t="s">
        <v>695</v>
      </c>
    </row>
    <row r="653" spans="1:1" x14ac:dyDescent="0.25">
      <c r="A653" t="s">
        <v>696</v>
      </c>
    </row>
    <row r="654" spans="1:1" x14ac:dyDescent="0.25">
      <c r="A654" t="s">
        <v>697</v>
      </c>
    </row>
    <row r="655" spans="1:1" x14ac:dyDescent="0.25">
      <c r="A655" t="s">
        <v>698</v>
      </c>
    </row>
    <row r="656" spans="1:1" x14ac:dyDescent="0.25">
      <c r="A656" t="s">
        <v>699</v>
      </c>
    </row>
    <row r="657" spans="1:1" x14ac:dyDescent="0.25">
      <c r="A657" t="s">
        <v>700</v>
      </c>
    </row>
    <row r="658" spans="1:1" x14ac:dyDescent="0.25">
      <c r="A658" t="s">
        <v>701</v>
      </c>
    </row>
    <row r="659" spans="1:1" x14ac:dyDescent="0.25">
      <c r="A659" t="s">
        <v>702</v>
      </c>
    </row>
    <row r="660" spans="1:1" x14ac:dyDescent="0.25">
      <c r="A660" t="s">
        <v>703</v>
      </c>
    </row>
    <row r="661" spans="1:1" x14ac:dyDescent="0.25">
      <c r="A661" t="s">
        <v>704</v>
      </c>
    </row>
    <row r="662" spans="1:1" x14ac:dyDescent="0.25">
      <c r="A662" t="s">
        <v>705</v>
      </c>
    </row>
    <row r="663" spans="1:1" x14ac:dyDescent="0.25">
      <c r="A663" t="s">
        <v>706</v>
      </c>
    </row>
    <row r="664" spans="1:1" x14ac:dyDescent="0.25">
      <c r="A664" t="s">
        <v>707</v>
      </c>
    </row>
    <row r="665" spans="1:1" x14ac:dyDescent="0.25">
      <c r="A665" t="s">
        <v>708</v>
      </c>
    </row>
    <row r="666" spans="1:1" x14ac:dyDescent="0.25">
      <c r="A666" t="s">
        <v>709</v>
      </c>
    </row>
    <row r="667" spans="1:1" x14ac:dyDescent="0.25">
      <c r="A667" t="s">
        <v>710</v>
      </c>
    </row>
    <row r="668" spans="1:1" x14ac:dyDescent="0.25">
      <c r="A668" t="s">
        <v>711</v>
      </c>
    </row>
    <row r="669" spans="1:1" x14ac:dyDescent="0.25">
      <c r="A669" t="s">
        <v>712</v>
      </c>
    </row>
    <row r="670" spans="1:1" x14ac:dyDescent="0.25">
      <c r="A670" t="s">
        <v>713</v>
      </c>
    </row>
    <row r="671" spans="1:1" x14ac:dyDescent="0.25">
      <c r="A671" t="s">
        <v>714</v>
      </c>
    </row>
    <row r="672" spans="1:1" x14ac:dyDescent="0.25">
      <c r="A672" t="s">
        <v>715</v>
      </c>
    </row>
    <row r="673" spans="1:1" x14ac:dyDescent="0.25">
      <c r="A673" t="s">
        <v>716</v>
      </c>
    </row>
    <row r="674" spans="1:1" x14ac:dyDescent="0.25">
      <c r="A674" t="s">
        <v>717</v>
      </c>
    </row>
    <row r="675" spans="1:1" x14ac:dyDescent="0.25">
      <c r="A675" t="s">
        <v>718</v>
      </c>
    </row>
    <row r="676" spans="1:1" x14ac:dyDescent="0.25">
      <c r="A676" t="s">
        <v>719</v>
      </c>
    </row>
    <row r="677" spans="1:1" x14ac:dyDescent="0.25">
      <c r="A677" t="s">
        <v>720</v>
      </c>
    </row>
    <row r="678" spans="1:1" x14ac:dyDescent="0.25">
      <c r="A678" t="s">
        <v>721</v>
      </c>
    </row>
    <row r="679" spans="1:1" x14ac:dyDescent="0.25">
      <c r="A679" t="s">
        <v>722</v>
      </c>
    </row>
    <row r="680" spans="1:1" x14ac:dyDescent="0.25">
      <c r="A680" t="s">
        <v>723</v>
      </c>
    </row>
    <row r="681" spans="1:1" x14ac:dyDescent="0.25">
      <c r="A681" t="s">
        <v>724</v>
      </c>
    </row>
    <row r="682" spans="1:1" x14ac:dyDescent="0.25">
      <c r="A682" t="s">
        <v>725</v>
      </c>
    </row>
    <row r="683" spans="1:1" x14ac:dyDescent="0.25">
      <c r="A683" t="s">
        <v>726</v>
      </c>
    </row>
    <row r="684" spans="1:1" x14ac:dyDescent="0.25">
      <c r="A684" t="s">
        <v>727</v>
      </c>
    </row>
    <row r="685" spans="1:1" x14ac:dyDescent="0.25">
      <c r="A685" t="s">
        <v>728</v>
      </c>
    </row>
    <row r="686" spans="1:1" x14ac:dyDescent="0.25">
      <c r="A686" t="s">
        <v>729</v>
      </c>
    </row>
    <row r="687" spans="1:1" x14ac:dyDescent="0.25">
      <c r="A687" t="s">
        <v>730</v>
      </c>
    </row>
    <row r="688" spans="1:1" x14ac:dyDescent="0.25">
      <c r="A688" t="s">
        <v>731</v>
      </c>
    </row>
    <row r="689" spans="1:1" x14ac:dyDescent="0.25">
      <c r="A689" t="s">
        <v>732</v>
      </c>
    </row>
    <row r="690" spans="1:1" x14ac:dyDescent="0.25">
      <c r="A690" t="s">
        <v>733</v>
      </c>
    </row>
    <row r="691" spans="1:1" x14ac:dyDescent="0.25">
      <c r="A691" t="s">
        <v>734</v>
      </c>
    </row>
    <row r="692" spans="1:1" x14ac:dyDescent="0.25">
      <c r="A692" t="s">
        <v>735</v>
      </c>
    </row>
    <row r="693" spans="1:1" x14ac:dyDescent="0.25">
      <c r="A693" t="s">
        <v>736</v>
      </c>
    </row>
    <row r="694" spans="1:1" x14ac:dyDescent="0.25">
      <c r="A694" t="s">
        <v>737</v>
      </c>
    </row>
    <row r="695" spans="1:1" x14ac:dyDescent="0.25">
      <c r="A695" t="s">
        <v>738</v>
      </c>
    </row>
    <row r="696" spans="1:1" x14ac:dyDescent="0.25">
      <c r="A696" t="s">
        <v>739</v>
      </c>
    </row>
    <row r="697" spans="1:1" x14ac:dyDescent="0.25">
      <c r="A697" t="s">
        <v>740</v>
      </c>
    </row>
    <row r="698" spans="1:1" x14ac:dyDescent="0.25">
      <c r="A698" t="s">
        <v>741</v>
      </c>
    </row>
    <row r="699" spans="1:1" x14ac:dyDescent="0.25">
      <c r="A699" t="s">
        <v>742</v>
      </c>
    </row>
    <row r="700" spans="1:1" x14ac:dyDescent="0.25">
      <c r="A700" t="s">
        <v>743</v>
      </c>
    </row>
    <row r="701" spans="1:1" x14ac:dyDescent="0.25">
      <c r="A701" t="s">
        <v>744</v>
      </c>
    </row>
    <row r="702" spans="1:1" x14ac:dyDescent="0.25">
      <c r="A702" t="s">
        <v>745</v>
      </c>
    </row>
    <row r="703" spans="1:1" x14ac:dyDescent="0.25">
      <c r="A703" t="s">
        <v>746</v>
      </c>
    </row>
    <row r="704" spans="1:1" x14ac:dyDescent="0.25">
      <c r="A704" t="s">
        <v>747</v>
      </c>
    </row>
    <row r="705" spans="1:1" x14ac:dyDescent="0.25">
      <c r="A705" t="s">
        <v>748</v>
      </c>
    </row>
    <row r="706" spans="1:1" x14ac:dyDescent="0.25">
      <c r="A706" t="s">
        <v>749</v>
      </c>
    </row>
    <row r="707" spans="1:1" x14ac:dyDescent="0.25">
      <c r="A707" t="s">
        <v>750</v>
      </c>
    </row>
    <row r="708" spans="1:1" x14ac:dyDescent="0.25">
      <c r="A708" t="s">
        <v>751</v>
      </c>
    </row>
    <row r="709" spans="1:1" x14ac:dyDescent="0.25">
      <c r="A709" t="s">
        <v>752</v>
      </c>
    </row>
    <row r="710" spans="1:1" x14ac:dyDescent="0.25">
      <c r="A710" t="s">
        <v>753</v>
      </c>
    </row>
    <row r="711" spans="1:1" x14ac:dyDescent="0.25">
      <c r="A711" t="s">
        <v>754</v>
      </c>
    </row>
    <row r="712" spans="1:1" x14ac:dyDescent="0.25">
      <c r="A712" t="s">
        <v>755</v>
      </c>
    </row>
    <row r="713" spans="1:1" x14ac:dyDescent="0.25">
      <c r="A713" t="s">
        <v>756</v>
      </c>
    </row>
    <row r="714" spans="1:1" x14ac:dyDescent="0.25">
      <c r="A714" t="s">
        <v>757</v>
      </c>
    </row>
    <row r="715" spans="1:1" x14ac:dyDescent="0.25">
      <c r="A715" t="s">
        <v>758</v>
      </c>
    </row>
    <row r="716" spans="1:1" x14ac:dyDescent="0.25">
      <c r="A716" t="s">
        <v>759</v>
      </c>
    </row>
    <row r="717" spans="1:1" x14ac:dyDescent="0.25">
      <c r="A717" t="s">
        <v>760</v>
      </c>
    </row>
    <row r="718" spans="1:1" x14ac:dyDescent="0.25">
      <c r="A718" t="s">
        <v>761</v>
      </c>
    </row>
    <row r="719" spans="1:1" x14ac:dyDescent="0.25">
      <c r="A719" t="s">
        <v>762</v>
      </c>
    </row>
    <row r="720" spans="1:1" x14ac:dyDescent="0.25">
      <c r="A720" t="s">
        <v>763</v>
      </c>
    </row>
    <row r="721" spans="1:1" x14ac:dyDescent="0.25">
      <c r="A721" t="s">
        <v>764</v>
      </c>
    </row>
    <row r="722" spans="1:1" x14ac:dyDescent="0.25">
      <c r="A722" t="s">
        <v>765</v>
      </c>
    </row>
    <row r="723" spans="1:1" x14ac:dyDescent="0.25">
      <c r="A723" t="s">
        <v>766</v>
      </c>
    </row>
    <row r="724" spans="1:1" x14ac:dyDescent="0.25">
      <c r="A724" t="s">
        <v>767</v>
      </c>
    </row>
    <row r="725" spans="1:1" x14ac:dyDescent="0.25">
      <c r="A725" t="s">
        <v>768</v>
      </c>
    </row>
    <row r="726" spans="1:1" x14ac:dyDescent="0.25">
      <c r="A726" t="s">
        <v>769</v>
      </c>
    </row>
    <row r="727" spans="1:1" x14ac:dyDescent="0.25">
      <c r="A727" t="s">
        <v>770</v>
      </c>
    </row>
    <row r="728" spans="1:1" x14ac:dyDescent="0.25">
      <c r="A728" t="s">
        <v>771</v>
      </c>
    </row>
    <row r="729" spans="1:1" x14ac:dyDescent="0.25">
      <c r="A729" t="s">
        <v>772</v>
      </c>
    </row>
    <row r="730" spans="1:1" x14ac:dyDescent="0.25">
      <c r="A730" t="s">
        <v>773</v>
      </c>
    </row>
    <row r="731" spans="1:1" x14ac:dyDescent="0.25">
      <c r="A731" t="s">
        <v>774</v>
      </c>
    </row>
    <row r="732" spans="1:1" x14ac:dyDescent="0.25">
      <c r="A732" t="s">
        <v>775</v>
      </c>
    </row>
    <row r="733" spans="1:1" x14ac:dyDescent="0.25">
      <c r="A733" t="s">
        <v>776</v>
      </c>
    </row>
    <row r="734" spans="1:1" x14ac:dyDescent="0.25">
      <c r="A734" t="s">
        <v>777</v>
      </c>
    </row>
    <row r="735" spans="1:1" x14ac:dyDescent="0.25">
      <c r="A735" t="s">
        <v>778</v>
      </c>
    </row>
    <row r="736" spans="1:1" x14ac:dyDescent="0.25">
      <c r="A736" t="s">
        <v>779</v>
      </c>
    </row>
    <row r="737" spans="1:1" x14ac:dyDescent="0.25">
      <c r="A737" t="s">
        <v>780</v>
      </c>
    </row>
    <row r="738" spans="1:1" x14ac:dyDescent="0.25">
      <c r="A738" t="s">
        <v>781</v>
      </c>
    </row>
    <row r="739" spans="1:1" x14ac:dyDescent="0.25">
      <c r="A739" t="s">
        <v>782</v>
      </c>
    </row>
    <row r="740" spans="1:1" x14ac:dyDescent="0.25">
      <c r="A740" t="s">
        <v>783</v>
      </c>
    </row>
    <row r="741" spans="1:1" x14ac:dyDescent="0.25">
      <c r="A741" t="s">
        <v>784</v>
      </c>
    </row>
    <row r="742" spans="1:1" x14ac:dyDescent="0.25">
      <c r="A742" t="s">
        <v>785</v>
      </c>
    </row>
    <row r="743" spans="1:1" x14ac:dyDescent="0.25">
      <c r="A743" t="s">
        <v>786</v>
      </c>
    </row>
    <row r="744" spans="1:1" x14ac:dyDescent="0.25">
      <c r="A744" t="s">
        <v>787</v>
      </c>
    </row>
    <row r="745" spans="1:1" x14ac:dyDescent="0.25">
      <c r="A745" t="s">
        <v>788</v>
      </c>
    </row>
    <row r="746" spans="1:1" x14ac:dyDescent="0.25">
      <c r="A746" t="s">
        <v>789</v>
      </c>
    </row>
    <row r="747" spans="1:1" x14ac:dyDescent="0.25">
      <c r="A747" t="s">
        <v>790</v>
      </c>
    </row>
    <row r="748" spans="1:1" x14ac:dyDescent="0.25">
      <c r="A748" t="s">
        <v>791</v>
      </c>
    </row>
    <row r="749" spans="1:1" x14ac:dyDescent="0.25">
      <c r="A749" t="s">
        <v>792</v>
      </c>
    </row>
    <row r="750" spans="1:1" x14ac:dyDescent="0.25">
      <c r="A750" t="s">
        <v>793</v>
      </c>
    </row>
    <row r="751" spans="1:1" x14ac:dyDescent="0.25">
      <c r="A751" t="s">
        <v>794</v>
      </c>
    </row>
    <row r="752" spans="1:1" x14ac:dyDescent="0.25">
      <c r="A752" t="s">
        <v>795</v>
      </c>
    </row>
    <row r="753" spans="1:1" x14ac:dyDescent="0.25">
      <c r="A753" t="s">
        <v>796</v>
      </c>
    </row>
    <row r="754" spans="1:1" x14ac:dyDescent="0.25">
      <c r="A754" t="s">
        <v>797</v>
      </c>
    </row>
    <row r="755" spans="1:1" x14ac:dyDescent="0.25">
      <c r="A755" t="s">
        <v>798</v>
      </c>
    </row>
    <row r="756" spans="1:1" x14ac:dyDescent="0.25">
      <c r="A756" t="s">
        <v>799</v>
      </c>
    </row>
    <row r="757" spans="1:1" x14ac:dyDescent="0.25">
      <c r="A757" t="s">
        <v>800</v>
      </c>
    </row>
    <row r="758" spans="1:1" x14ac:dyDescent="0.25">
      <c r="A758" t="s">
        <v>801</v>
      </c>
    </row>
    <row r="759" spans="1:1" x14ac:dyDescent="0.25">
      <c r="A759" t="s">
        <v>802</v>
      </c>
    </row>
    <row r="760" spans="1:1" x14ac:dyDescent="0.25">
      <c r="A760" t="s">
        <v>803</v>
      </c>
    </row>
    <row r="761" spans="1:1" x14ac:dyDescent="0.25">
      <c r="A761" t="s">
        <v>804</v>
      </c>
    </row>
    <row r="762" spans="1:1" x14ac:dyDescent="0.25">
      <c r="A762" t="s">
        <v>805</v>
      </c>
    </row>
    <row r="763" spans="1:1" x14ac:dyDescent="0.25">
      <c r="A763" t="s">
        <v>806</v>
      </c>
    </row>
    <row r="764" spans="1:1" x14ac:dyDescent="0.25">
      <c r="A764" t="s">
        <v>807</v>
      </c>
    </row>
    <row r="765" spans="1:1" x14ac:dyDescent="0.25">
      <c r="A765" t="s">
        <v>808</v>
      </c>
    </row>
    <row r="766" spans="1:1" x14ac:dyDescent="0.25">
      <c r="A766" t="s">
        <v>809</v>
      </c>
    </row>
    <row r="767" spans="1:1" x14ac:dyDescent="0.25">
      <c r="A767" t="s">
        <v>810</v>
      </c>
    </row>
    <row r="768" spans="1:1" x14ac:dyDescent="0.25">
      <c r="A768" t="s">
        <v>811</v>
      </c>
    </row>
    <row r="769" spans="1:1" x14ac:dyDescent="0.25">
      <c r="A769" t="s">
        <v>812</v>
      </c>
    </row>
    <row r="770" spans="1:1" x14ac:dyDescent="0.25">
      <c r="A770" t="s">
        <v>813</v>
      </c>
    </row>
    <row r="771" spans="1:1" x14ac:dyDescent="0.25">
      <c r="A771" t="s">
        <v>814</v>
      </c>
    </row>
    <row r="772" spans="1:1" x14ac:dyDescent="0.25">
      <c r="A772" t="s">
        <v>815</v>
      </c>
    </row>
    <row r="773" spans="1:1" x14ac:dyDescent="0.25">
      <c r="A773" t="s">
        <v>816</v>
      </c>
    </row>
    <row r="774" spans="1:1" x14ac:dyDescent="0.25">
      <c r="A774" t="s">
        <v>817</v>
      </c>
    </row>
    <row r="775" spans="1:1" x14ac:dyDescent="0.25">
      <c r="A775" t="s">
        <v>818</v>
      </c>
    </row>
    <row r="776" spans="1:1" x14ac:dyDescent="0.25">
      <c r="A776" t="s">
        <v>819</v>
      </c>
    </row>
    <row r="777" spans="1:1" x14ac:dyDescent="0.25">
      <c r="A777" t="s">
        <v>820</v>
      </c>
    </row>
    <row r="778" spans="1:1" x14ac:dyDescent="0.25">
      <c r="A778" t="s">
        <v>821</v>
      </c>
    </row>
    <row r="779" spans="1:1" x14ac:dyDescent="0.25">
      <c r="A779" t="s">
        <v>822</v>
      </c>
    </row>
    <row r="780" spans="1:1" x14ac:dyDescent="0.25">
      <c r="A780" t="s">
        <v>823</v>
      </c>
    </row>
    <row r="781" spans="1:1" x14ac:dyDescent="0.25">
      <c r="A781" t="s">
        <v>824</v>
      </c>
    </row>
    <row r="782" spans="1:1" x14ac:dyDescent="0.25">
      <c r="A782" t="s">
        <v>825</v>
      </c>
    </row>
    <row r="783" spans="1:1" x14ac:dyDescent="0.25">
      <c r="A783" t="s">
        <v>826</v>
      </c>
    </row>
    <row r="784" spans="1:1" x14ac:dyDescent="0.25">
      <c r="A784" t="s">
        <v>827</v>
      </c>
    </row>
    <row r="785" spans="1:1" x14ac:dyDescent="0.25">
      <c r="A785" t="s">
        <v>828</v>
      </c>
    </row>
    <row r="786" spans="1:1" x14ac:dyDescent="0.25">
      <c r="A786" t="s">
        <v>829</v>
      </c>
    </row>
    <row r="787" spans="1:1" x14ac:dyDescent="0.25">
      <c r="A787" t="s">
        <v>830</v>
      </c>
    </row>
    <row r="788" spans="1:1" x14ac:dyDescent="0.25">
      <c r="A788" t="s">
        <v>831</v>
      </c>
    </row>
    <row r="789" spans="1:1" x14ac:dyDescent="0.25">
      <c r="A789" t="s">
        <v>832</v>
      </c>
    </row>
    <row r="790" spans="1:1" x14ac:dyDescent="0.25">
      <c r="A790" t="s">
        <v>833</v>
      </c>
    </row>
    <row r="791" spans="1:1" x14ac:dyDescent="0.25">
      <c r="A791" t="s">
        <v>834</v>
      </c>
    </row>
    <row r="792" spans="1:1" x14ac:dyDescent="0.25">
      <c r="A792" t="s">
        <v>835</v>
      </c>
    </row>
    <row r="793" spans="1:1" x14ac:dyDescent="0.25">
      <c r="A793" t="s">
        <v>836</v>
      </c>
    </row>
    <row r="794" spans="1:1" x14ac:dyDescent="0.25">
      <c r="A794" t="s">
        <v>837</v>
      </c>
    </row>
    <row r="795" spans="1:1" x14ac:dyDescent="0.25">
      <c r="A795" t="s">
        <v>838</v>
      </c>
    </row>
    <row r="796" spans="1:1" x14ac:dyDescent="0.25">
      <c r="A796" t="s">
        <v>839</v>
      </c>
    </row>
    <row r="797" spans="1:1" x14ac:dyDescent="0.25">
      <c r="A797" t="s">
        <v>840</v>
      </c>
    </row>
    <row r="798" spans="1:1" x14ac:dyDescent="0.25">
      <c r="A798" t="s">
        <v>841</v>
      </c>
    </row>
    <row r="799" spans="1:1" x14ac:dyDescent="0.25">
      <c r="A799" t="s">
        <v>842</v>
      </c>
    </row>
    <row r="800" spans="1:1" x14ac:dyDescent="0.25">
      <c r="A800" t="s">
        <v>843</v>
      </c>
    </row>
    <row r="801" spans="1:1" x14ac:dyDescent="0.25">
      <c r="A801" t="s">
        <v>844</v>
      </c>
    </row>
    <row r="802" spans="1:1" x14ac:dyDescent="0.25">
      <c r="A802" t="s">
        <v>845</v>
      </c>
    </row>
    <row r="803" spans="1:1" x14ac:dyDescent="0.25">
      <c r="A803" t="s">
        <v>846</v>
      </c>
    </row>
    <row r="804" spans="1:1" x14ac:dyDescent="0.25">
      <c r="A804" t="s">
        <v>847</v>
      </c>
    </row>
    <row r="805" spans="1:1" x14ac:dyDescent="0.25">
      <c r="A805" t="s">
        <v>848</v>
      </c>
    </row>
    <row r="806" spans="1:1" x14ac:dyDescent="0.25">
      <c r="A806" t="s">
        <v>849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13</vt:i4>
      </vt:variant>
      <vt:variant>
        <vt:lpstr>Именованные диапазоны</vt:lpstr>
      </vt:variant>
      <vt:variant>
        <vt:i4>3</vt:i4>
      </vt:variant>
    </vt:vector>
  </HeadingPairs>
  <TitlesOfParts>
    <vt:vector size="16" baseType="lpstr">
      <vt:lpstr>|Содержание|</vt:lpstr>
      <vt:lpstr>|Лог|</vt:lpstr>
      <vt:lpstr>Пфм1_спец</vt:lpstr>
      <vt:lpstr>Изделия_спец.И</vt:lpstr>
      <vt:lpstr>Ведомость отделки_правила</vt:lpstr>
      <vt:lpstr>Ведомость отделки_вед</vt:lpstr>
      <vt:lpstr>Пример 4_грс</vt:lpstr>
      <vt:lpstr>Пример 4</vt:lpstr>
      <vt:lpstr>Пример 4_кж</vt:lpstr>
      <vt:lpstr>Пример 4_об</vt:lpstr>
      <vt:lpstr>Пример 4_гр</vt:lpstr>
      <vt:lpstr>Пример 4_зап</vt:lpstr>
      <vt:lpstr>!System</vt:lpstr>
      <vt:lpstr>'Пример 4_зап'!Заголовки_для_печати</vt:lpstr>
      <vt:lpstr>'Пример 4_гр'!Область_печати</vt:lpstr>
      <vt:lpstr>'Пример 4_кж'!Область_печати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РогожинДА</dc:creator>
  <cp:lastModifiedBy>admin</cp:lastModifiedBy>
  <cp:lastPrinted>2019-09-30T13:02:58Z</cp:lastPrinted>
  <dcterms:created xsi:type="dcterms:W3CDTF">2014-07-19T16:57:30Z</dcterms:created>
  <dcterms:modified xsi:type="dcterms:W3CDTF">2019-09-30T13:04:12Z</dcterms:modified>
</cp:coreProperties>
</file>