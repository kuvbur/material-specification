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6960" yWindow="2010" windowWidth="20910" windowHeight="11835" tabRatio="850" activeTab="2"/>
  </bookViews>
  <sheets>
    <sheet name="|Содержание|" sheetId="661" r:id="rId1"/>
    <sheet name="|Лог|" sheetId="948" state="hidden" r:id="rId2"/>
    <sheet name="Спм1_спец" sheetId="1022" r:id="rId3"/>
    <sheet name="!System" sheetId="1032" state="hidden" r:id="rId4"/>
    <sheet name="Спм1_норм" sheetId="1025" r:id="rId5"/>
    <sheet name="Пдм1_спец" sheetId="1027" state="hidden" r:id="rId6"/>
    <sheet name="Отделка_экспл" sheetId="1015" state="hidden" r:id="rId7"/>
    <sheet name="Отделка_правила" sheetId="1016" state="hidden" r:id="rId8"/>
    <sheet name="Отделка_вед" sheetId="1017" r:id="rId9"/>
    <sheet name="Кровля_спец" sheetId="1018" state="hidden" r:id="rId10"/>
    <sheet name="Изделия_спец.И" sheetId="1023" state="hidden" r:id="rId11"/>
    <sheet name="Ведомость отделки фасадов" sheetId="1019" r:id="rId12"/>
    <sheet name="Бм_спец" sheetId="1030" state="hidden" r:id="rId13"/>
    <sheet name="Кровля_об" sheetId="1020" r:id="rId14"/>
    <sheet name="Пандус_об" sheetId="1021" r:id="rId15"/>
    <sheet name="Спм1_гр" sheetId="1024" r:id="rId16"/>
    <sheet name="Спм1_кж" sheetId="1026" r:id="rId17"/>
    <sheet name="Спм1" sheetId="1028" r:id="rId18"/>
    <sheet name="Спм1_об" sheetId="1029" r:id="rId19"/>
  </sheets>
  <functionGroups builtInGroupCount="18"/>
  <externalReferences>
    <externalReference r:id="rId20"/>
  </externalReferences>
  <definedNames>
    <definedName name="_xlnm.Print_Area" localSheetId="11">'Ведомость отделки фасадов'!$A$1:$E$7</definedName>
    <definedName name="_xlnm.Print_Area" localSheetId="13">Кровля_об!$A$1:$F$25</definedName>
    <definedName name="_xlnm.Print_Area" localSheetId="8">Отделка_вед!$A$1:$J$30</definedName>
    <definedName name="_xlnm.Print_Area" localSheetId="14">Пандус_об!$A$1:$F$14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6" i="1022" l="1"/>
  <c r="B35" i="1027"/>
  <c r="C35" i="1027"/>
  <c r="D35" i="1027"/>
  <c r="A24" i="1023"/>
  <c r="A25" i="1023" s="1"/>
  <c r="B23" i="1023"/>
  <c r="E7" i="1030"/>
  <c r="A14" i="1030"/>
  <c r="A13" i="1030" s="1"/>
  <c r="A12" i="1030" s="1"/>
  <c r="A11" i="1030" s="1"/>
  <c r="A10" i="1030" s="1"/>
  <c r="A9" i="1030" s="1"/>
  <c r="A8" i="1030" s="1"/>
  <c r="A7" i="1030" s="1"/>
  <c r="A6" i="1030" s="1"/>
  <c r="A5" i="1030" s="1"/>
  <c r="A4" i="1030" s="1"/>
  <c r="A3" i="1030" s="1"/>
  <c r="E15" i="1030"/>
  <c r="H16" i="1030"/>
  <c r="H17" i="1030"/>
  <c r="H18" i="1030"/>
  <c r="H19" i="1030"/>
  <c r="H21" i="1030"/>
  <c r="H22" i="1030"/>
  <c r="H23" i="1030"/>
  <c r="E29" i="1030"/>
  <c r="E28" i="1030" s="1"/>
  <c r="E36" i="1030" s="1"/>
  <c r="A35" i="1030"/>
  <c r="A36" i="1030" s="1"/>
  <c r="A37" i="1030" s="1"/>
  <c r="A38" i="1030" s="1"/>
  <c r="A39" i="1030" s="1"/>
  <c r="A40" i="1030" s="1"/>
  <c r="H38" i="1030"/>
  <c r="H39" i="1030"/>
  <c r="H40" i="1030"/>
  <c r="H41" i="1030"/>
  <c r="H42" i="1030"/>
  <c r="H20" i="1030"/>
  <c r="H37" i="1030"/>
  <c r="A15" i="1030" l="1"/>
  <c r="A16" i="1030" s="1"/>
  <c r="A17" i="1030" s="1"/>
  <c r="A18" i="1030" s="1"/>
  <c r="A19" i="1030" s="1"/>
  <c r="A21" i="1030" s="1"/>
  <c r="A22" i="1030" s="1"/>
  <c r="A42" i="1030"/>
  <c r="A43" i="1030" s="1"/>
  <c r="A41" i="1030"/>
  <c r="A34" i="1030"/>
  <c r="A33" i="1030" s="1"/>
  <c r="A32" i="1030" s="1"/>
  <c r="A31" i="1030" s="1"/>
  <c r="A30" i="1030" s="1"/>
  <c r="A29" i="1030" s="1"/>
  <c r="A28" i="1030" s="1"/>
  <c r="A27" i="1030" s="1"/>
  <c r="A26" i="1030" s="1"/>
  <c r="A25" i="1030" s="1"/>
  <c r="A20" i="1030" l="1"/>
  <c r="A23" i="1030"/>
  <c r="A24" i="1030"/>
  <c r="E13" i="1022" l="1"/>
  <c r="A13" i="1022"/>
  <c r="E6" i="1027" l="1"/>
  <c r="E14" i="1027" s="1"/>
  <c r="A11" i="1027"/>
  <c r="A10" i="1027" s="1"/>
  <c r="A9" i="1027" s="1"/>
  <c r="A8" i="1027" s="1"/>
  <c r="A7" i="1027" s="1"/>
  <c r="A6" i="1027" s="1"/>
  <c r="A5" i="1027" s="1"/>
  <c r="A4" i="1027" s="1"/>
  <c r="A3" i="1027" s="1"/>
  <c r="E13" i="1027"/>
  <c r="H18" i="1027"/>
  <c r="A12" i="1027" l="1"/>
  <c r="A13" i="1027" s="1"/>
  <c r="A14" i="1027" s="1"/>
  <c r="A15" i="1027" s="1"/>
  <c r="A16" i="1027" s="1"/>
  <c r="A17" i="1027" s="1"/>
  <c r="A18" i="1027" s="1"/>
  <c r="A19" i="1027" s="1"/>
  <c r="A20" i="1027" s="1"/>
  <c r="A21" i="1027" s="1"/>
  <c r="E10" i="1027"/>
  <c r="E4" i="1027"/>
  <c r="E12" i="1027" s="1"/>
  <c r="E22" i="1027"/>
  <c r="H21" i="1027"/>
  <c r="H22" i="1027"/>
  <c r="H19" i="1027"/>
  <c r="H20" i="1027"/>
  <c r="A22" i="1027" l="1"/>
  <c r="A23" i="1027" s="1"/>
  <c r="A24" i="1027" s="1"/>
  <c r="A25" i="1027" s="1"/>
  <c r="A26" i="1027" s="1"/>
  <c r="A27" i="1027" s="1"/>
  <c r="A28" i="1027" s="1"/>
  <c r="A29" i="1027" s="1"/>
  <c r="E15" i="1027"/>
  <c r="E16" i="1027"/>
  <c r="E17" i="1027"/>
  <c r="H23" i="1027"/>
  <c r="H24" i="1027"/>
  <c r="B25" i="1027"/>
  <c r="C25" i="1027"/>
  <c r="D25" i="1027"/>
  <c r="B26" i="1027"/>
  <c r="C26" i="1027"/>
  <c r="D26" i="1027"/>
  <c r="B27" i="1027"/>
  <c r="C27" i="1027"/>
  <c r="D27" i="1027"/>
  <c r="E28" i="1027"/>
  <c r="H28" i="1027"/>
  <c r="E29" i="1027"/>
  <c r="H29" i="1027"/>
  <c r="H32" i="1027"/>
  <c r="H34" i="1027"/>
  <c r="H36" i="1027"/>
  <c r="H39" i="1027"/>
  <c r="H40" i="1027"/>
  <c r="E43" i="1027"/>
  <c r="E44" i="1027"/>
  <c r="E45" i="1027"/>
  <c r="H46" i="1027"/>
  <c r="E47" i="1027"/>
  <c r="H45" i="1027"/>
  <c r="A30" i="1027" l="1"/>
  <c r="A31" i="1027" s="1"/>
  <c r="A32" i="1027" s="1"/>
  <c r="A33" i="1027" s="1"/>
  <c r="C29" i="1022"/>
  <c r="D29" i="1022"/>
  <c r="A34" i="1027" l="1"/>
  <c r="A36" i="1027" s="1"/>
  <c r="A37" i="1027" s="1"/>
  <c r="A38" i="1027" s="1"/>
  <c r="A39" i="1027" s="1"/>
  <c r="A40" i="1027" s="1"/>
  <c r="A41" i="1027" s="1"/>
  <c r="A42" i="1027" s="1"/>
  <c r="A43" i="1027" s="1"/>
  <c r="A44" i="1027" s="1"/>
  <c r="A45" i="1027" s="1"/>
  <c r="A46" i="1027" s="1"/>
  <c r="A47" i="1027" s="1"/>
  <c r="A35" i="1027"/>
  <c r="B5" i="1023"/>
  <c r="A6" i="1023"/>
  <c r="H6" i="1023"/>
  <c r="A7" i="1023"/>
  <c r="B9" i="1023"/>
  <c r="B26" i="1022" s="1"/>
  <c r="B14" i="1023"/>
  <c r="B29" i="1022" s="1"/>
  <c r="A15" i="1023"/>
  <c r="A16" i="1023"/>
  <c r="B18" i="1023"/>
  <c r="B28" i="1022" s="1"/>
  <c r="A19" i="1023"/>
  <c r="A20" i="1023"/>
  <c r="E3" i="1022"/>
  <c r="E12" i="1022" s="1"/>
  <c r="E5" i="1022"/>
  <c r="E9" i="1022"/>
  <c r="E10" i="1022"/>
  <c r="E14" i="1022" s="1"/>
  <c r="A11" i="1022"/>
  <c r="A10" i="1022" s="1"/>
  <c r="A9" i="1022" s="1"/>
  <c r="A8" i="1022" s="1"/>
  <c r="A12" i="1022"/>
  <c r="A14" i="1022"/>
  <c r="A15" i="1022"/>
  <c r="A16" i="1022"/>
  <c r="E16" i="1022"/>
  <c r="A17" i="1022"/>
  <c r="A18" i="1022"/>
  <c r="E18" i="1022"/>
  <c r="E20" i="1022" s="1"/>
  <c r="A19" i="1022"/>
  <c r="E19" i="1022"/>
  <c r="A20" i="1022"/>
  <c r="H20" i="1022"/>
  <c r="A21" i="1022"/>
  <c r="B21" i="1022"/>
  <c r="C21" i="1022"/>
  <c r="D21" i="1022"/>
  <c r="A22" i="1022"/>
  <c r="E22" i="1022"/>
  <c r="A23" i="1022"/>
  <c r="E23" i="1022"/>
  <c r="A24" i="1022"/>
  <c r="E24" i="1022"/>
  <c r="A25" i="1022"/>
  <c r="E25" i="1022"/>
  <c r="A26" i="1022"/>
  <c r="C26" i="1022"/>
  <c r="D26" i="1022"/>
  <c r="A27" i="1022"/>
  <c r="B27" i="1022"/>
  <c r="C27" i="1022"/>
  <c r="D27" i="1022"/>
  <c r="A28" i="1022"/>
  <c r="A29" i="1022" s="1"/>
  <c r="C28" i="1022"/>
  <c r="D28" i="1022"/>
  <c r="H16" i="1022"/>
  <c r="E21" i="1022"/>
  <c r="H18" i="1022"/>
  <c r="H17" i="1022"/>
  <c r="H19" i="1022"/>
  <c r="H34" i="1022"/>
  <c r="E34" i="1022" l="1"/>
  <c r="E36" i="1022" s="1"/>
  <c r="E35" i="1022"/>
  <c r="A6" i="1022"/>
  <c r="A5" i="1022" s="1"/>
  <c r="A4" i="1022" s="1"/>
  <c r="A3" i="1022" s="1"/>
  <c r="A7" i="1022"/>
  <c r="E4" i="1018" l="1"/>
  <c r="E8" i="1018" s="1"/>
  <c r="B7" i="1018"/>
  <c r="A7" i="1018" s="1"/>
  <c r="A8" i="1018" s="1"/>
  <c r="A9" i="1018" s="1"/>
  <c r="A10" i="1018" s="1"/>
  <c r="A11" i="1018" s="1"/>
  <c r="E9" i="1018"/>
  <c r="E10" i="1018"/>
  <c r="E12" i="1018"/>
  <c r="E17" i="1018" s="1"/>
  <c r="B16" i="1018"/>
  <c r="A16" i="1018" s="1"/>
  <c r="A17" i="1018" s="1"/>
  <c r="A18" i="1018" s="1"/>
  <c r="A19" i="1018" s="1"/>
  <c r="A20" i="1018" s="1"/>
  <c r="D17" i="1018"/>
  <c r="E22" i="1018"/>
  <c r="B23" i="1018"/>
  <c r="A23" i="1018" s="1"/>
  <c r="A24" i="1018" s="1"/>
  <c r="E24" i="1018"/>
  <c r="E11" i="1018" l="1"/>
  <c r="E20" i="1018"/>
  <c r="E19" i="1018"/>
  <c r="E18" i="1018" s="1"/>
</calcChain>
</file>

<file path=xl/comments1.xml><?xml version="1.0" encoding="utf-8"?>
<comments xmlns="http://schemas.openxmlformats.org/spreadsheetml/2006/main">
  <authors>
    <author>admin</author>
  </authors>
  <commentList>
    <comment ref="E1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E18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8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9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9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1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1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Стержни длиной выше6должны идти в п.м.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Стержни длиной выше6должны идти в п.м.</t>
        </r>
      </text>
    </comment>
    <comment ref="G41" authorId="0" shapeId="0">
      <text>
        <r>
          <rPr>
            <sz val="9"/>
            <color indexed="81"/>
            <rFont val="Tahoma"/>
            <family val="2"/>
            <charset val="204"/>
          </rPr>
          <t>Стержни длиной выше6должны идти в п.м.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G42" authorId="0" shapeId="0">
      <text>
        <r>
          <rPr>
            <sz val="9"/>
            <color indexed="81"/>
            <rFont val="Tahoma"/>
            <family val="2"/>
            <charset val="204"/>
          </rPr>
          <t>Стержни длиной выше6должны идти в п.м.</t>
        </r>
      </text>
    </comment>
  </commentList>
</comments>
</file>

<file path=xl/sharedStrings.xml><?xml version="1.0" encoding="utf-8"?>
<sst xmlns="http://schemas.openxmlformats.org/spreadsheetml/2006/main" count="4979" uniqueCount="3276">
  <si>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</si>
  <si>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</si>
  <si>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</si>
  <si>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</si>
  <si>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</si>
  <si>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</si>
  <si>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</si>
  <si>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</si>
  <si>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</si>
  <si>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</si>
  <si>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</si>
  <si>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</si>
  <si>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</si>
  <si>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</si>
  <si>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</si>
  <si>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</si>
  <si>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</si>
  <si>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</si>
  <si>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</si>
  <si>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</si>
  <si>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</si>
  <si>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</si>
  <si>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</si>
  <si>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</si>
  <si>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</si>
  <si>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</si>
  <si>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</si>
  <si>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</si>
  <si>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</si>
  <si>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</si>
  <si>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</si>
  <si>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</si>
  <si>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</si>
  <si>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</si>
  <si>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</si>
  <si>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</si>
  <si>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</si>
  <si>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</si>
  <si>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</si>
  <si>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</si>
  <si>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</si>
  <si>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</si>
  <si>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</si>
  <si>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</si>
  <si>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</si>
  <si>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</si>
  <si>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</si>
  <si>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</si>
  <si>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</si>
  <si>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</si>
  <si>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</si>
  <si>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</si>
  <si>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</si>
  <si>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</si>
  <si>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</si>
  <si>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</si>
  <si>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</si>
  <si>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</si>
  <si>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</si>
  <si>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</si>
  <si>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</si>
  <si>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</si>
  <si>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</si>
  <si>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</si>
  <si>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</si>
  <si>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</si>
  <si>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</si>
  <si>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</si>
  <si>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</si>
  <si>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</si>
  <si>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</si>
  <si>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</si>
  <si>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</si>
  <si>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</si>
  <si>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</si>
  <si>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</si>
  <si>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</si>
  <si>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</si>
  <si>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</si>
  <si>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</si>
  <si>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</si>
  <si>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</si>
  <si>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</si>
  <si>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</si>
  <si>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</si>
  <si>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</si>
  <si>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</si>
  <si>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</si>
  <si>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</si>
  <si>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</si>
  <si>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</si>
  <si>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</si>
  <si>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</si>
  <si>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</si>
  <si>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</si>
  <si>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</si>
  <si>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</si>
  <si>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</si>
  <si>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</si>
  <si>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</si>
  <si>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</si>
  <si>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</si>
  <si>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</si>
  <si>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</si>
  <si>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</si>
  <si>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</si>
  <si>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</si>
  <si>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</si>
  <si>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</si>
  <si>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</si>
  <si>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</si>
  <si>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</si>
  <si>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</si>
  <si>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</si>
  <si>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</si>
  <si>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</si>
  <si>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</si>
  <si>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</si>
  <si>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</si>
  <si>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</si>
  <si>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</si>
  <si>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</si>
  <si>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</si>
  <si>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</si>
  <si>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</si>
  <si>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</si>
  <si>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</si>
  <si>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</si>
  <si>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</si>
  <si>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</si>
  <si>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</si>
  <si>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</si>
  <si>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</si>
  <si>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</si>
  <si>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</si>
  <si>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</si>
  <si>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</si>
  <si>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</si>
  <si>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</si>
  <si>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</si>
  <si>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</si>
  <si>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</si>
  <si>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</si>
  <si>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</si>
  <si>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</si>
  <si>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</si>
  <si>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</si>
  <si>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</si>
  <si>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</si>
  <si>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</si>
  <si>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</si>
  <si>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</si>
  <si>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</si>
  <si>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</si>
  <si>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</si>
  <si>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</si>
  <si>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</si>
  <si>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</si>
  <si>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</si>
  <si>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</si>
  <si>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</si>
  <si>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</si>
  <si>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</si>
  <si>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</si>
  <si>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</si>
  <si>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</si>
  <si>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</si>
  <si>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</si>
  <si>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</si>
  <si>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</si>
  <si>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</si>
  <si>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</si>
  <si>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</si>
  <si>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</si>
  <si>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</si>
  <si>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</si>
  <si>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</si>
  <si>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</si>
  <si>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</si>
  <si>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</si>
  <si>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</si>
  <si>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</si>
  <si>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</si>
  <si>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</si>
  <si>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</si>
  <si>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</si>
  <si>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</si>
  <si>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</si>
  <si>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</si>
  <si>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</si>
  <si>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</si>
  <si>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</si>
  <si>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</si>
  <si>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</si>
  <si>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</si>
  <si>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</si>
  <si>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</si>
  <si>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</si>
  <si>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</si>
  <si>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</si>
  <si>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</si>
  <si>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</si>
  <si>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</si>
  <si>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</si>
  <si>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</si>
  <si>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</si>
  <si>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</si>
  <si>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</si>
  <si>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</si>
  <si>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</si>
  <si>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</si>
  <si>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</si>
  <si>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</si>
  <si>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</si>
  <si>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</si>
  <si>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</si>
  <si>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</si>
  <si>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</si>
  <si>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</si>
  <si>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</si>
  <si>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</si>
  <si>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</si>
  <si>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</si>
  <si>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</si>
  <si>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</si>
  <si>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</si>
  <si>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</si>
  <si>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</si>
  <si>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</si>
  <si>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</si>
  <si>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</si>
  <si>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</si>
  <si>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</si>
  <si>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</si>
  <si>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</si>
  <si>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</si>
  <si>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</si>
  <si>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</si>
  <si>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</si>
  <si>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</si>
  <si>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</si>
  <si>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</si>
  <si>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</si>
  <si>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</si>
  <si>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</si>
  <si>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</si>
  <si>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</si>
  <si>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</si>
  <si>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</si>
  <si>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</si>
  <si>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</si>
  <si>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</si>
  <si>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</si>
  <si>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</si>
  <si>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</si>
  <si>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</si>
  <si>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</si>
  <si>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</si>
  <si>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</si>
  <si>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</si>
  <si>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</si>
  <si>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</si>
  <si>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</si>
  <si>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</si>
  <si>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</si>
  <si>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</si>
  <si>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</si>
  <si>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</si>
  <si>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</si>
  <si>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</si>
  <si>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</si>
  <si>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</si>
  <si>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</si>
  <si>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</si>
  <si>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</si>
  <si>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</si>
  <si>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</si>
  <si>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</si>
  <si>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</si>
  <si>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</si>
  <si>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</si>
  <si>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</si>
  <si>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</si>
  <si>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</si>
  <si>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</si>
  <si>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</si>
  <si>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</si>
  <si>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</si>
  <si>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</si>
  <si>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</si>
  <si>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</si>
  <si>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</si>
  <si>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</si>
  <si>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</si>
  <si>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</si>
  <si>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</si>
  <si>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</si>
  <si>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</si>
  <si>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</si>
  <si>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</si>
  <si>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</si>
  <si>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</si>
  <si>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</si>
  <si>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</si>
  <si>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</si>
  <si>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</si>
  <si>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</si>
  <si>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</si>
  <si>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</si>
  <si>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</si>
  <si>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</si>
  <si>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</si>
  <si>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</si>
  <si>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</si>
  <si>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</si>
  <si>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</si>
  <si>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</si>
  <si>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</si>
  <si>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</si>
  <si>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</si>
  <si>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</si>
  <si>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</si>
  <si>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</si>
  <si>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</si>
  <si>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</si>
  <si>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</si>
  <si>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</si>
  <si>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</si>
  <si>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</si>
  <si>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</si>
  <si>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</si>
  <si>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</si>
  <si>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</si>
  <si>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</si>
  <si>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</si>
  <si>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</si>
  <si>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</si>
  <si>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</si>
  <si>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</si>
  <si>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</si>
  <si>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</si>
  <si>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</si>
  <si>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</si>
  <si>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</si>
  <si>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</si>
  <si>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</si>
  <si>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</si>
  <si>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</si>
  <si>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</si>
  <si>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</si>
  <si>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</si>
  <si>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</si>
  <si>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</si>
  <si>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</si>
  <si>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</si>
  <si>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</si>
  <si>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</si>
  <si>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</si>
  <si>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</si>
  <si>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</si>
  <si>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</si>
  <si>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</si>
  <si>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</si>
  <si>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</si>
  <si>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</si>
  <si>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</si>
  <si>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</si>
  <si>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</si>
  <si>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</si>
  <si>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</si>
  <si>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</si>
  <si>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</si>
  <si>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</si>
  <si>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</si>
  <si>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</si>
  <si>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</si>
  <si>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</si>
  <si>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</si>
  <si>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</si>
  <si>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</si>
  <si>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</si>
  <si>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</si>
  <si>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</si>
  <si>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</si>
  <si>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</si>
  <si>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</si>
  <si>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</si>
  <si>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</si>
  <si>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</si>
  <si>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</si>
  <si>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</si>
  <si>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</si>
  <si>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</si>
  <si>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</si>
  <si>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</si>
  <si>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</si>
  <si>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</si>
  <si>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</si>
  <si>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</si>
  <si>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</si>
  <si>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</si>
  <si>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</si>
  <si>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</si>
  <si>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</si>
  <si>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</si>
  <si>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</si>
  <si>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</si>
  <si>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</si>
  <si>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</si>
  <si>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</si>
  <si>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</si>
  <si>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</si>
  <si>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</si>
  <si>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</si>
  <si>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</si>
  <si>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</si>
  <si>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</si>
  <si>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</si>
  <si>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</si>
  <si>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</si>
  <si>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</si>
  <si>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</si>
  <si>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</si>
  <si>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</si>
  <si>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</si>
  <si>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</si>
  <si>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</si>
  <si>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</si>
  <si>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</si>
  <si>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</si>
  <si>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</si>
  <si>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</si>
  <si>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</si>
  <si>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</si>
  <si>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</si>
  <si>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</si>
  <si>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</si>
  <si>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</si>
  <si>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</si>
  <si>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</si>
  <si>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</si>
  <si>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</si>
  <si>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</si>
  <si>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</si>
  <si>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</si>
  <si>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</si>
  <si>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</si>
  <si>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</si>
  <si>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</si>
  <si>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</si>
  <si>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</si>
  <si>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</si>
  <si>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</si>
  <si>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</si>
  <si>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</si>
  <si>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</si>
  <si>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</si>
  <si>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</si>
  <si>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</si>
  <si>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</si>
  <si>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</si>
  <si>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</si>
  <si>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</si>
  <si>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</si>
  <si>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</si>
  <si>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</si>
  <si>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</si>
  <si>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</si>
  <si>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</si>
  <si>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</si>
  <si>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</si>
  <si>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</si>
  <si>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</si>
  <si>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</si>
  <si>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</si>
  <si>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</si>
  <si>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</si>
  <si>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</si>
  <si>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</si>
  <si>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</si>
  <si>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</si>
  <si>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</si>
  <si>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</si>
  <si>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</si>
  <si>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</si>
  <si>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</si>
  <si>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</si>
  <si>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</si>
  <si>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</si>
  <si>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</si>
  <si>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</si>
  <si>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</si>
  <si>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</si>
  <si>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</si>
  <si>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</si>
  <si>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</si>
  <si>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</si>
  <si>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</si>
  <si>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</si>
  <si>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</si>
  <si>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</si>
  <si>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</si>
  <si>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</si>
  <si>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</si>
  <si>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</si>
  <si>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</si>
  <si>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</si>
  <si>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</si>
  <si>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</si>
  <si>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</si>
  <si>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</si>
  <si>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</si>
  <si>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</si>
  <si>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</si>
  <si>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</si>
  <si>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</si>
  <si>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</si>
  <si>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</si>
  <si>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</si>
  <si>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</si>
  <si>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</si>
  <si>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</si>
  <si>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</si>
  <si>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</si>
  <si>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</si>
  <si>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</si>
  <si>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</si>
  <si>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</si>
  <si>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</si>
  <si>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</si>
  <si>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</si>
  <si>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</si>
  <si>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</si>
  <si>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</si>
  <si>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</si>
  <si>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</si>
  <si>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</si>
  <si>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</si>
  <si>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</si>
  <si>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</si>
  <si>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</si>
  <si>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</si>
  <si>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</si>
  <si>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</si>
  <si>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</si>
  <si>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</si>
  <si>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</si>
  <si>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</si>
  <si>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</si>
  <si>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</si>
  <si>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</si>
  <si>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</si>
  <si>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</si>
  <si>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</si>
  <si>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</si>
  <si>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</si>
  <si>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</si>
  <si>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</si>
  <si>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</si>
  <si>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</si>
  <si>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</si>
  <si>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</si>
  <si>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</si>
  <si>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</si>
  <si>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</si>
  <si>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</si>
  <si>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</si>
  <si>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</si>
  <si>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</si>
  <si>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</si>
  <si>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</si>
  <si>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</si>
  <si>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</si>
  <si>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</si>
  <si>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</si>
  <si>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</si>
  <si>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</si>
  <si>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</si>
  <si>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</si>
  <si>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</si>
  <si>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</si>
  <si>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</si>
  <si>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</si>
  <si>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</si>
  <si>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</si>
  <si>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</si>
  <si>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</si>
  <si>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</si>
  <si>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</si>
  <si>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</si>
  <si>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</si>
  <si>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</si>
  <si>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</si>
  <si>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</si>
  <si>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</si>
  <si>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</si>
  <si>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</si>
  <si>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</si>
  <si>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</si>
  <si>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</si>
  <si>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</si>
  <si>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</si>
  <si>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</si>
  <si>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</si>
  <si>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</si>
  <si>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</si>
  <si>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</si>
  <si>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</si>
  <si>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</si>
  <si>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</si>
  <si>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</si>
  <si>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</si>
  <si>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</si>
  <si>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</si>
  <si>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</si>
  <si>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</si>
  <si>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</si>
  <si>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</si>
  <si>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</si>
  <si>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</si>
  <si>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</si>
  <si>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</si>
  <si>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</si>
  <si>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</si>
  <si>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</si>
  <si>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</si>
  <si>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</si>
  <si>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</si>
  <si>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</si>
  <si>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</si>
  <si>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</si>
  <si>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</si>
  <si>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</si>
  <si>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</si>
  <si>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</si>
  <si>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</si>
  <si>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</si>
  <si>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</si>
  <si>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</si>
  <si>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</si>
  <si>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</si>
  <si>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</si>
  <si>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</si>
  <si>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</si>
  <si>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</si>
  <si>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</si>
  <si>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</si>
  <si>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</si>
  <si>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</si>
  <si>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</si>
  <si>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</si>
  <si>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</si>
  <si>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</si>
  <si>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</si>
  <si>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</si>
  <si>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</si>
  <si>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</si>
  <si>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</si>
  <si>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</si>
  <si>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</si>
  <si>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</si>
  <si>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</si>
  <si>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</si>
  <si>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</si>
  <si>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</si>
  <si>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</si>
  <si>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</si>
  <si>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</si>
  <si>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</si>
  <si>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</si>
  <si>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</si>
  <si>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</si>
  <si>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</si>
  <si>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</si>
  <si>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</si>
  <si>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</si>
  <si>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</si>
  <si>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</si>
  <si>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</si>
  <si>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</si>
  <si>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</si>
  <si>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</si>
  <si>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</si>
  <si>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</si>
  <si>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</si>
  <si>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</si>
  <si>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</si>
  <si>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</si>
  <si>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</si>
  <si>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</si>
  <si>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</si>
  <si>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</si>
  <si>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</si>
  <si>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</si>
  <si>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</si>
  <si>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</si>
  <si>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</si>
  <si>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</si>
  <si>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</si>
  <si>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</si>
  <si>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</si>
  <si>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</si>
  <si>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</si>
  <si>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</si>
  <si>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</si>
  <si>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</si>
  <si>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</si>
  <si>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</si>
  <si>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</si>
  <si>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</si>
  <si>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</si>
  <si>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</si>
  <si>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</si>
  <si>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</si>
  <si>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</si>
  <si>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</si>
  <si>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</si>
  <si>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</si>
  <si>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</si>
  <si>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</si>
  <si>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</si>
  <si>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</si>
  <si>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</si>
  <si>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</si>
  <si>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</si>
  <si>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</si>
  <si>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</si>
  <si>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</si>
  <si>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</si>
  <si>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</si>
  <si>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</si>
  <si>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</si>
  <si>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</si>
  <si>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</si>
  <si>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</si>
  <si>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</si>
  <si>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</si>
  <si>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</si>
  <si>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</si>
  <si>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</si>
  <si>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</si>
  <si>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</si>
  <si>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</si>
  <si>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</si>
  <si>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</si>
  <si>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</si>
  <si>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</si>
  <si>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</si>
  <si>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</si>
  <si>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</si>
  <si>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</si>
  <si>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</si>
  <si>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</si>
  <si>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</si>
  <si>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</si>
  <si>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</si>
  <si>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</si>
  <si>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</si>
  <si>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</si>
  <si>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</si>
  <si>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</si>
  <si>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</si>
  <si>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</si>
  <si>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</si>
  <si>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</si>
  <si>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</si>
  <si>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</si>
  <si>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</si>
  <si>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</si>
  <si>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</si>
  <si>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</si>
  <si>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</si>
  <si>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</si>
  <si>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</si>
  <si>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</si>
  <si>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</si>
  <si>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</si>
  <si>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</si>
  <si>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</si>
  <si>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</si>
  <si>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</si>
  <si>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</si>
  <si>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</si>
  <si>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</si>
  <si>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</si>
  <si>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</si>
  <si>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</si>
  <si>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</si>
  <si>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</si>
  <si>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</si>
  <si>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</si>
  <si>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</si>
  <si>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</si>
  <si>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</si>
  <si>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</si>
  <si>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</si>
  <si>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</si>
  <si>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</si>
  <si>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</si>
  <si>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</si>
  <si>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</si>
  <si>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</si>
  <si>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</si>
  <si>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</si>
  <si>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</si>
  <si>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</si>
  <si>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</si>
  <si>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</si>
  <si>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</si>
  <si>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</si>
  <si>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</si>
  <si>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</si>
  <si>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</si>
  <si>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</si>
  <si>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</si>
  <si>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</si>
  <si>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</si>
  <si>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</si>
  <si>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</si>
  <si>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</si>
  <si>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</si>
  <si>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</si>
  <si>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</si>
  <si>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</si>
  <si>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</si>
  <si>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</si>
  <si>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</si>
  <si>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</si>
  <si>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</si>
  <si>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</si>
  <si>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</si>
  <si>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</si>
  <si>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</si>
  <si>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</si>
  <si>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</si>
  <si>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</si>
  <si>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</si>
  <si>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</si>
  <si>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</si>
  <si>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</si>
  <si>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</si>
  <si>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</si>
  <si>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</si>
  <si>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</si>
  <si>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</si>
  <si>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</si>
  <si>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</si>
  <si>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</si>
  <si>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</si>
  <si>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</si>
  <si>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</si>
  <si>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</si>
  <si>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</si>
  <si>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</si>
  <si>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</si>
  <si>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</si>
  <si>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</si>
  <si>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</si>
  <si>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</si>
  <si>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</si>
  <si>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</si>
  <si>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</si>
  <si>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</si>
  <si>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</si>
  <si>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</si>
  <si>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</si>
  <si>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</si>
  <si>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</si>
  <si>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</si>
  <si>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</si>
  <si>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</si>
  <si>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</si>
  <si>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</si>
  <si>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</si>
  <si>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</si>
  <si>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</si>
  <si>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</si>
  <si>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</si>
  <si>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</si>
  <si>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</si>
  <si>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</si>
  <si>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</si>
  <si>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</si>
  <si>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</si>
  <si>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</si>
  <si>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</si>
  <si>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</si>
  <si>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</si>
  <si>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</si>
  <si>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</si>
  <si>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</si>
  <si>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</si>
  <si>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</si>
  <si>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</si>
  <si>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</si>
  <si>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</si>
  <si>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</si>
  <si>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</si>
  <si>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</si>
  <si>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</si>
  <si>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</si>
  <si>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</si>
  <si>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</si>
  <si>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</si>
  <si>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</si>
  <si>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</si>
  <si>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</si>
  <si>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</si>
  <si>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</si>
  <si>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</si>
  <si>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</si>
  <si>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</si>
  <si>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</si>
  <si>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</si>
  <si>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</si>
  <si>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</si>
  <si>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</si>
  <si>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</si>
  <si>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</si>
  <si>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</si>
  <si>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</si>
  <si>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</si>
  <si>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</si>
  <si>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</si>
  <si>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</si>
  <si>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</si>
  <si>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</si>
  <si>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</si>
  <si>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</si>
  <si>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</si>
  <si>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</si>
  <si>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</si>
  <si>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</si>
  <si>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</si>
  <si>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</si>
  <si>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</si>
  <si>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</si>
  <si>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</si>
  <si>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</si>
  <si>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</si>
  <si>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</si>
  <si>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</si>
  <si>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</si>
  <si>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</si>
  <si>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</si>
  <si>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</si>
  <si>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</si>
  <si>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</si>
  <si>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</si>
  <si>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</si>
  <si>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</si>
  <si>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</si>
  <si>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</si>
  <si>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</si>
  <si>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</si>
  <si>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</si>
  <si>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</si>
  <si>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</si>
  <si>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</si>
  <si>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</si>
  <si>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</si>
  <si>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</si>
  <si>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</si>
  <si>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</si>
  <si>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</si>
  <si>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</si>
  <si>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</si>
  <si>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</si>
  <si>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</si>
  <si>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</si>
  <si>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</si>
  <si>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</si>
  <si>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</si>
  <si>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</si>
  <si>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</si>
  <si>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</si>
  <si>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</si>
  <si>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</si>
  <si>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</si>
  <si>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</si>
  <si>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</si>
  <si>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</si>
  <si>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</si>
  <si>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</si>
  <si>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</si>
  <si>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</si>
  <si>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</si>
  <si>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</si>
  <si>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</si>
  <si>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</si>
  <si>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</si>
  <si>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</si>
  <si>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</si>
  <si>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</si>
  <si>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</si>
  <si>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</si>
  <si>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</si>
  <si>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</si>
  <si>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</si>
  <si>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</si>
  <si>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</si>
  <si>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</si>
  <si>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</si>
  <si>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</si>
  <si>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</si>
  <si>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</si>
  <si>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</si>
  <si>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</si>
  <si>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</si>
  <si>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</si>
  <si>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</si>
  <si>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</si>
  <si>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</si>
  <si>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</si>
  <si>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</si>
  <si>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</si>
  <si>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</si>
  <si>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</si>
  <si>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</si>
  <si>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</si>
  <si>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</si>
  <si>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</si>
  <si>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</si>
  <si>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</si>
  <si>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</si>
  <si>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</si>
  <si>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</si>
  <si>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</si>
  <si>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</si>
  <si>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</si>
  <si>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</si>
  <si>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</si>
  <si>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</si>
  <si>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</si>
  <si>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</si>
  <si>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</si>
  <si>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</si>
  <si>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</si>
  <si>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</si>
  <si>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</si>
  <si>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</si>
  <si>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</si>
  <si>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</si>
  <si>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</si>
  <si>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</si>
  <si>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</si>
  <si>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</si>
  <si>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</si>
  <si>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</si>
  <si>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</si>
  <si>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</si>
  <si>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</si>
  <si>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</si>
  <si>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</si>
  <si>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</si>
  <si>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</si>
  <si>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</si>
  <si>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</si>
  <si>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</si>
  <si>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</si>
  <si>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</si>
  <si>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</si>
  <si>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</si>
  <si>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</si>
  <si>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</si>
  <si>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</si>
  <si>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</si>
  <si>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</si>
  <si>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</si>
  <si>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</si>
  <si>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</si>
  <si>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</si>
  <si>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</si>
  <si>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</si>
  <si>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</si>
  <si>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</si>
  <si>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</si>
  <si>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</si>
  <si>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</si>
  <si>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</si>
  <si>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</si>
  <si>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</si>
  <si>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</si>
  <si>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</si>
  <si>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</si>
  <si>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</si>
  <si>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</si>
  <si>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</si>
  <si>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</si>
  <si>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</si>
  <si>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</si>
  <si>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</si>
  <si>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</si>
  <si>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</si>
  <si>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</si>
  <si>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</si>
  <si>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</si>
  <si>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</si>
  <si>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</si>
  <si>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</si>
  <si>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</si>
  <si>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</si>
  <si>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</si>
  <si>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</si>
  <si>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</si>
  <si>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</si>
  <si>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</si>
  <si>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</si>
  <si>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</si>
  <si>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</si>
  <si>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</si>
  <si>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</si>
  <si>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</si>
  <si>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</si>
  <si>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</si>
  <si>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</si>
  <si>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</si>
  <si>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</si>
  <si>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</si>
  <si>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</si>
  <si>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</si>
  <si>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</si>
  <si>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</si>
  <si>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</si>
  <si>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</si>
  <si>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</si>
  <si>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</si>
  <si>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</si>
  <si>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</si>
  <si>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</si>
  <si>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</si>
  <si>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</si>
  <si>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</si>
  <si>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</si>
  <si>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</si>
  <si>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</si>
  <si>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</si>
  <si>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</si>
  <si>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</si>
  <si>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</si>
  <si>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</si>
  <si>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</si>
  <si>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</si>
  <si>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</si>
  <si>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</si>
  <si>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</si>
  <si>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</si>
  <si>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</si>
  <si>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</si>
  <si>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</si>
  <si>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</si>
  <si>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</si>
  <si>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</si>
  <si>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</si>
  <si>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</si>
  <si>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</si>
  <si>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</si>
  <si>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</si>
  <si>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</si>
  <si>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</si>
  <si>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</si>
  <si>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</si>
  <si>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</si>
  <si>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</si>
  <si>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</si>
  <si>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</si>
  <si>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</si>
  <si>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</si>
  <si>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</si>
  <si>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</si>
  <si>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</si>
  <si>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</si>
  <si>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</si>
  <si>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</si>
  <si>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</si>
  <si>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</si>
  <si>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</si>
  <si>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</si>
  <si>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</si>
  <si>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</si>
  <si>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</si>
  <si>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</si>
  <si>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</si>
  <si>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</si>
  <si>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</si>
  <si>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</si>
  <si>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</si>
  <si>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</si>
  <si>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</si>
  <si>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</si>
  <si>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</si>
  <si>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</si>
  <si>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</si>
  <si>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</si>
  <si>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</si>
  <si>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</si>
  <si>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</si>
  <si>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</si>
  <si>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</si>
  <si>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</si>
  <si>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</si>
  <si>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</si>
  <si>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</si>
  <si>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</si>
  <si>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</si>
  <si>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</si>
  <si>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</si>
  <si>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</si>
  <si>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</si>
  <si>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</si>
  <si>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</si>
  <si>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</si>
  <si>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</si>
  <si>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</si>
  <si>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</si>
  <si>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</si>
  <si>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</si>
  <si>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</si>
  <si>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</si>
  <si>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</si>
  <si>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</si>
  <si>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</si>
  <si>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</si>
  <si>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</si>
  <si>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</si>
  <si>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</si>
  <si>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</si>
  <si>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</si>
  <si>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</si>
  <si>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</si>
  <si>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</si>
  <si>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</si>
  <si>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</si>
  <si>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</si>
  <si>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</si>
  <si>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</si>
  <si>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</si>
  <si>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</si>
  <si>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</si>
  <si>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</si>
  <si>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</si>
  <si>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</si>
  <si>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</si>
  <si>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</si>
  <si>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</si>
  <si>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</si>
  <si>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</si>
  <si>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</si>
  <si>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</si>
  <si>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</si>
  <si>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</si>
  <si>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</si>
  <si>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</si>
  <si>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</si>
  <si>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</si>
  <si>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</si>
  <si>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</si>
  <si>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</si>
  <si>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</si>
  <si>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</si>
  <si>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</si>
  <si>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</si>
  <si>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</si>
  <si>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</si>
  <si>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</si>
  <si>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</si>
  <si>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</si>
  <si>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</si>
  <si>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</si>
  <si>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</si>
  <si>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</si>
  <si>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</si>
  <si>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</si>
  <si>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</si>
  <si>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</si>
  <si>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</si>
  <si>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</si>
  <si>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</si>
  <si>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</si>
  <si>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</si>
  <si>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</si>
  <si>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</si>
  <si>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</si>
  <si>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</si>
  <si>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</si>
  <si>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</si>
  <si>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</si>
  <si>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</si>
  <si>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</si>
  <si>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</si>
  <si>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</si>
  <si>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</si>
  <si>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</si>
  <si>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</si>
  <si>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</si>
  <si>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</si>
  <si>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</si>
  <si>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</si>
  <si>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</si>
  <si>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</si>
  <si>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</si>
  <si>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</si>
  <si>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</si>
  <si>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</si>
  <si>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</si>
  <si>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</si>
  <si>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</si>
  <si>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</si>
  <si>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</si>
  <si>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</si>
  <si>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</si>
  <si>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</si>
  <si>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</si>
  <si>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</si>
  <si>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</si>
  <si>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</si>
  <si>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</si>
  <si>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</si>
  <si>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</si>
  <si>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</si>
  <si>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</si>
  <si>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</si>
  <si>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</si>
  <si>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</si>
  <si>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</si>
  <si>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</si>
  <si>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</si>
  <si>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</si>
  <si>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</si>
  <si>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</si>
  <si>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</si>
  <si>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</si>
  <si>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</si>
  <si>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</si>
  <si>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</si>
  <si>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</si>
  <si>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</si>
  <si>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</si>
  <si>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</si>
  <si>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</si>
  <si>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</si>
  <si>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</si>
  <si>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</si>
  <si>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</si>
  <si>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</si>
  <si>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</si>
  <si>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</si>
  <si>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</si>
  <si>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</si>
  <si>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</si>
  <si>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</si>
  <si>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</si>
  <si>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</si>
  <si>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</si>
  <si>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</si>
  <si>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</si>
  <si>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</si>
  <si>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</si>
  <si>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</si>
  <si>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</si>
  <si>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</si>
  <si>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</si>
  <si>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</si>
  <si>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</si>
  <si>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</si>
  <si>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</si>
  <si>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</si>
  <si>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</si>
  <si>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</si>
  <si>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</si>
  <si>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</si>
  <si>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</si>
  <si>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</si>
  <si>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</si>
  <si>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</si>
  <si>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</si>
  <si>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</si>
  <si>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</si>
  <si>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</si>
  <si>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</si>
  <si>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</si>
  <si>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</si>
  <si>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</si>
  <si>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</si>
  <si>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</si>
  <si>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</si>
  <si>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</si>
  <si>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</si>
  <si>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</si>
  <si>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</si>
  <si>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</si>
  <si>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</si>
  <si>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</si>
  <si>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</si>
  <si>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</si>
  <si>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</si>
  <si>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</si>
  <si>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</si>
  <si>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</si>
  <si>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</si>
  <si>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</si>
  <si>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</si>
  <si>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</si>
  <si>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</si>
  <si>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</si>
  <si>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</si>
  <si>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</si>
  <si>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</si>
  <si>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</si>
  <si>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</si>
  <si>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</si>
  <si>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</si>
  <si>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</si>
  <si>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</si>
  <si>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</si>
  <si>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</si>
  <si>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</si>
  <si>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</si>
  <si>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</si>
  <si>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</si>
  <si>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</si>
  <si>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</si>
  <si>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</si>
  <si>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</si>
  <si>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</si>
  <si>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</si>
  <si>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</si>
  <si>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</si>
  <si>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</si>
  <si>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</si>
  <si>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</si>
  <si>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</si>
  <si>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</si>
  <si>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</si>
  <si>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</si>
  <si>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</si>
  <si>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</si>
  <si>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</si>
  <si>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</si>
  <si>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</si>
  <si>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</si>
  <si>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</si>
  <si>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</si>
  <si>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</si>
  <si>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</si>
  <si>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</si>
  <si>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</si>
  <si>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</si>
  <si>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</si>
  <si>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</si>
  <si>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</si>
  <si>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</si>
  <si>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</si>
  <si>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</si>
  <si>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</si>
  <si>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</si>
  <si>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</si>
  <si>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</si>
  <si>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</si>
  <si>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</si>
  <si>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</si>
  <si>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</si>
  <si>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</si>
  <si>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</si>
  <si>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</si>
  <si>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</si>
  <si>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</si>
  <si>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</si>
  <si>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</si>
  <si>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</si>
  <si>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</si>
  <si>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</si>
  <si>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</si>
  <si>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</si>
  <si>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</si>
  <si>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</si>
  <si>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</si>
  <si>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</si>
  <si>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</si>
  <si>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</si>
  <si>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</si>
  <si>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</si>
  <si>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</si>
  <si>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</si>
  <si>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</si>
  <si>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</si>
  <si>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</si>
  <si>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</si>
  <si>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</si>
  <si>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</si>
  <si>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</si>
  <si>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</si>
  <si>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</si>
  <si>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</si>
  <si>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</si>
  <si>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</si>
  <si>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</si>
  <si>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</si>
  <si>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</si>
  <si>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</si>
  <si>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</si>
  <si>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</si>
  <si>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</si>
  <si>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</si>
  <si>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</si>
  <si>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</si>
  <si>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</si>
  <si>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</si>
  <si>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</si>
  <si>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</si>
  <si>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</si>
  <si>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</si>
  <si>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</si>
  <si>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</si>
  <si>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</si>
  <si>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</si>
  <si>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</si>
  <si>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</si>
  <si>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</si>
  <si>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</si>
  <si>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</si>
  <si>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</si>
  <si>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</si>
  <si>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</si>
  <si>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</si>
  <si>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</si>
  <si>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</si>
  <si>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</si>
  <si>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</si>
  <si>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</si>
  <si>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</si>
  <si>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</si>
  <si>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</si>
  <si>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</si>
  <si>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</si>
  <si>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</si>
  <si>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</si>
  <si>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</si>
  <si>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</si>
  <si>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</si>
  <si>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</si>
  <si>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</si>
  <si>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</si>
  <si>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</si>
  <si>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</si>
  <si>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</si>
  <si>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</si>
  <si>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</si>
  <si>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</si>
  <si>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</si>
  <si>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</si>
  <si>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</si>
  <si>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</si>
  <si>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</si>
  <si>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</si>
  <si>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</si>
  <si>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</si>
  <si>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</si>
  <si>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</si>
  <si>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</si>
  <si>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</si>
  <si>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</si>
  <si>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</si>
  <si>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</si>
  <si>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</si>
  <si>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</si>
  <si>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</si>
  <si>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</si>
  <si>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</si>
  <si>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</si>
  <si>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</si>
  <si>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</si>
  <si>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</si>
  <si>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</si>
  <si>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</si>
  <si>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</si>
  <si>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</si>
  <si>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</si>
  <si>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</si>
  <si>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</si>
  <si>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</si>
  <si>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</si>
  <si>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</si>
  <si>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</si>
  <si>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</si>
  <si>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</si>
  <si>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</si>
  <si>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</si>
  <si>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</si>
  <si>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</si>
  <si>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</si>
  <si>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</si>
  <si>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</si>
  <si>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</si>
  <si>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</si>
  <si>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</si>
  <si>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</si>
  <si>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</si>
  <si>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</si>
  <si>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</si>
  <si>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</si>
  <si>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</si>
  <si>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</si>
  <si>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</si>
  <si>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</si>
  <si>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</si>
  <si>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</si>
  <si>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</si>
  <si>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</si>
  <si>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</si>
  <si>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</si>
  <si>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</si>
  <si>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</si>
  <si>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</si>
  <si>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</si>
  <si>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</si>
  <si>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</si>
  <si>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</si>
  <si>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</si>
  <si>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</si>
  <si>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</si>
  <si>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</si>
  <si>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</si>
  <si>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</si>
  <si>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</si>
  <si>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</si>
  <si>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</si>
  <si>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</si>
  <si>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</si>
  <si>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</si>
  <si>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</si>
  <si>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</si>
  <si>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</si>
  <si>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</si>
  <si>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</si>
  <si>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</si>
  <si>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</si>
  <si>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</si>
  <si>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</si>
  <si>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</si>
  <si>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</si>
  <si>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</si>
  <si>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</si>
  <si>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</si>
  <si>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</si>
  <si>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</si>
  <si>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</si>
  <si>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</si>
  <si>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</si>
  <si>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</si>
  <si>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</si>
  <si>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</si>
  <si>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</si>
  <si>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</si>
  <si>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</si>
  <si>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</si>
  <si>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</si>
  <si>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</si>
  <si>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</si>
  <si>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</si>
  <si>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</si>
  <si>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</si>
  <si>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</si>
  <si>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</si>
  <si>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</si>
  <si>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</si>
  <si>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</si>
  <si>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</si>
  <si>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</si>
  <si>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</si>
  <si>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</si>
  <si>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</si>
  <si>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</si>
  <si>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</si>
  <si>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</si>
  <si>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</si>
  <si>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</si>
  <si>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</si>
  <si>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</si>
  <si>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</si>
  <si>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</si>
  <si>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</si>
  <si>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</si>
  <si>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</si>
  <si>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</si>
  <si>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</si>
  <si>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</si>
  <si>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</si>
  <si>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</si>
  <si>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</si>
  <si>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</si>
  <si>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</si>
  <si>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</si>
  <si>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</si>
  <si>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</si>
  <si>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</si>
  <si>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</si>
  <si>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</si>
  <si>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</si>
  <si>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</si>
  <si>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</si>
  <si>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</si>
  <si>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</si>
  <si>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</si>
  <si>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</si>
  <si>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</si>
  <si>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</si>
  <si>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</si>
  <si>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</si>
  <si>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</si>
  <si>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</si>
  <si>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</si>
  <si>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</si>
  <si>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</si>
  <si>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</si>
  <si>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</si>
  <si>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</si>
  <si>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</si>
  <si>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</si>
  <si>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</si>
  <si>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</si>
  <si>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</si>
  <si>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</si>
  <si>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</si>
  <si>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</si>
  <si>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</si>
  <si>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</si>
  <si>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</si>
  <si>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</si>
  <si>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</si>
  <si>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</si>
  <si>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</si>
  <si>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</si>
  <si>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</si>
  <si>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</si>
  <si>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</si>
  <si>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</si>
  <si>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</si>
  <si>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</si>
  <si>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</si>
  <si>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</si>
  <si>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</si>
  <si>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</si>
  <si>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</si>
  <si>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</si>
  <si>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</si>
  <si>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</si>
  <si>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</si>
  <si>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</si>
  <si>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</si>
  <si>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</si>
  <si>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</si>
  <si>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</si>
  <si>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</si>
  <si>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</si>
  <si>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</si>
  <si>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</si>
  <si>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</si>
  <si>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</si>
  <si>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</si>
  <si>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</si>
  <si>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</si>
  <si>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</si>
  <si>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</si>
  <si>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</si>
  <si>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</si>
  <si>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</si>
  <si>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</si>
  <si>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</si>
  <si>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</si>
  <si>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</si>
  <si>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</si>
  <si>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</si>
  <si>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</si>
  <si>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</si>
  <si>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</si>
  <si>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</si>
  <si>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</si>
  <si>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</si>
  <si>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</si>
  <si>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</si>
  <si>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</si>
  <si>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</si>
  <si>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</si>
  <si>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</si>
  <si>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</si>
  <si>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</si>
  <si>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</si>
  <si>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</si>
  <si>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</si>
  <si>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</si>
  <si>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</si>
  <si>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</si>
  <si>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</si>
  <si>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</si>
  <si>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</si>
  <si>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</si>
  <si>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</si>
  <si>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</si>
  <si>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</si>
  <si>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</si>
  <si>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</si>
  <si>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</si>
  <si>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</si>
  <si>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</si>
  <si>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</si>
  <si>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</si>
  <si>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</si>
  <si>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</si>
  <si>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</si>
  <si>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</si>
  <si>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</si>
  <si>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</si>
  <si>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</si>
  <si>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</si>
  <si>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</si>
  <si>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</si>
  <si>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</si>
  <si>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</si>
  <si>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</si>
  <si>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</si>
  <si>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</si>
  <si>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</si>
  <si>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</si>
  <si>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</si>
  <si>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</si>
  <si>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</si>
  <si>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</si>
  <si>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</si>
  <si>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</si>
  <si>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</si>
  <si>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</si>
  <si>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</si>
  <si>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</si>
  <si>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</si>
  <si>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</si>
  <si>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</si>
  <si>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</si>
  <si>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</si>
  <si>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</si>
  <si>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</si>
  <si>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</si>
  <si>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</si>
  <si>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</si>
  <si>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</si>
  <si>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</si>
  <si>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</si>
  <si>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</si>
  <si>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</si>
  <si>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</si>
  <si>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</si>
  <si>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</si>
  <si>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</si>
  <si>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</si>
  <si>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</si>
  <si>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</si>
  <si>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</si>
  <si>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</si>
  <si>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</si>
  <si>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</si>
  <si>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</si>
  <si>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</si>
  <si>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</si>
  <si>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</si>
  <si>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</si>
  <si>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</si>
  <si>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</si>
  <si>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</si>
  <si>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</si>
  <si>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</si>
  <si>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</si>
  <si>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</si>
  <si>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</si>
  <si>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</si>
  <si>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</si>
  <si>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</si>
  <si>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</si>
  <si>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</si>
  <si>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</si>
  <si>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</si>
  <si>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</si>
  <si>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</si>
  <si>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</si>
  <si>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</si>
  <si>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</si>
  <si>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</si>
  <si>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</si>
  <si>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</si>
  <si>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</si>
  <si>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</si>
  <si>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</si>
  <si>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</si>
  <si>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</si>
  <si>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</si>
  <si>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</si>
  <si>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</si>
  <si>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</si>
  <si>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</si>
  <si>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</si>
  <si>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</si>
  <si>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</si>
  <si>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</si>
  <si>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</si>
  <si>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</si>
  <si>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</si>
  <si>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</si>
  <si>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</si>
  <si>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</si>
  <si>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</si>
  <si>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</si>
  <si>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</si>
  <si>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</si>
  <si>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</si>
  <si>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</si>
  <si>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</si>
  <si>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</si>
  <si>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</si>
  <si>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</si>
  <si>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</si>
  <si>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</si>
  <si>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</si>
  <si>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</si>
  <si>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</si>
  <si>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</si>
  <si>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</si>
  <si>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</si>
  <si>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</si>
  <si>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</si>
  <si>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</si>
  <si>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</si>
  <si>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</si>
  <si>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</si>
  <si>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</si>
  <si>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</si>
  <si>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</si>
  <si>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</si>
  <si>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</si>
  <si>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</si>
  <si>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</si>
  <si>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</si>
  <si>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</si>
  <si>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</si>
  <si>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</si>
  <si>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</si>
  <si>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</si>
  <si>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</si>
  <si>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</si>
  <si>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</si>
  <si>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</si>
  <si>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</si>
  <si>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</si>
  <si>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</si>
  <si>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</si>
  <si>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</si>
  <si>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</si>
  <si>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</si>
  <si>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</si>
  <si>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</si>
  <si>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</si>
  <si>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</si>
  <si>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</si>
  <si>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</si>
  <si>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</si>
  <si>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</si>
  <si>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</si>
  <si>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</si>
  <si>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</si>
  <si>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</si>
  <si>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</si>
  <si>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</si>
  <si>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</si>
  <si>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</si>
  <si>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</si>
  <si>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</si>
  <si>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</si>
  <si>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</si>
  <si>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</si>
  <si>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</si>
  <si>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</si>
  <si>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</si>
  <si>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</si>
  <si>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</si>
  <si>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</si>
  <si>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</si>
  <si>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</si>
  <si>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</si>
  <si>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</si>
  <si>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</si>
  <si>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</si>
  <si>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</si>
  <si>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</si>
  <si>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</si>
  <si>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</si>
  <si>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</si>
  <si>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</si>
  <si>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</si>
  <si>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</si>
  <si>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</si>
  <si>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</si>
  <si>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</si>
  <si>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</si>
  <si>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</si>
  <si>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</si>
  <si>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</si>
  <si>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</si>
  <si>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</si>
  <si>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</si>
  <si>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</si>
  <si>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</si>
  <si>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</si>
  <si>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</si>
  <si>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</si>
  <si>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</si>
  <si>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</si>
  <si>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</si>
  <si>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</si>
  <si>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</si>
  <si>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</si>
  <si>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</si>
  <si>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</si>
  <si>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</si>
  <si>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</si>
  <si>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</si>
  <si>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</si>
  <si>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</si>
  <si>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</si>
  <si>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</si>
  <si>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</si>
  <si>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</si>
  <si>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</si>
  <si>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</si>
  <si>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</si>
  <si>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</si>
  <si>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</si>
  <si>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</si>
  <si>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</si>
  <si>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</si>
  <si>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</si>
  <si>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</si>
  <si>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</si>
  <si>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</si>
  <si>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</si>
  <si>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</si>
  <si>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</si>
  <si>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</si>
  <si>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</si>
  <si>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</si>
  <si>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</si>
  <si>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</si>
  <si>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</si>
  <si>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</si>
  <si>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</si>
  <si>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</si>
  <si>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</si>
  <si>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</si>
  <si>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</si>
  <si>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</si>
  <si>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</si>
  <si>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</si>
  <si>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</si>
  <si>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</si>
  <si>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</si>
  <si>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</si>
  <si>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</si>
  <si>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</si>
  <si>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</si>
  <si>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</si>
  <si>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</si>
  <si>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</si>
  <si>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</si>
  <si>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</si>
  <si>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</si>
  <si>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</si>
  <si>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</si>
  <si>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</si>
  <si>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</si>
  <si>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</si>
  <si>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</si>
  <si>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</si>
  <si>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</si>
  <si>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</si>
  <si>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</si>
  <si>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</si>
  <si>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</si>
  <si>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</si>
  <si>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</si>
  <si>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</si>
  <si>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</si>
  <si>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</si>
  <si>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</si>
  <si>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</si>
  <si>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</si>
  <si>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</si>
  <si>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</si>
  <si>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</si>
  <si>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</si>
  <si>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</si>
  <si>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</si>
  <si>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</si>
  <si>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</si>
  <si>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</si>
  <si>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</si>
  <si>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</si>
  <si>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</si>
  <si>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</si>
  <si>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</si>
  <si>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</si>
  <si>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</si>
  <si>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</si>
  <si>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</si>
  <si>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</si>
  <si>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</si>
  <si>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</si>
  <si>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</si>
  <si>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</si>
  <si>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</si>
  <si>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</si>
  <si>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</si>
  <si>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</si>
  <si>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</si>
  <si>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</si>
  <si>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</si>
  <si>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</si>
  <si>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</si>
  <si>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</si>
  <si>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</si>
  <si>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</si>
  <si>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</si>
  <si>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</si>
  <si>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</si>
  <si>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</si>
  <si>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</si>
  <si>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</si>
  <si>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</si>
  <si>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</si>
  <si>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</si>
  <si>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</si>
  <si>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</si>
  <si>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</si>
  <si>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</si>
  <si>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</si>
  <si>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</si>
  <si>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</si>
  <si>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</si>
  <si>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</si>
  <si>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</si>
  <si>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</si>
  <si>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</si>
  <si>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</si>
  <si>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</si>
  <si>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</si>
  <si>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</si>
  <si>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</si>
  <si>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</si>
  <si>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</si>
  <si>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</si>
  <si>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</si>
  <si>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</si>
  <si>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</si>
  <si>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</si>
  <si>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</si>
  <si>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</si>
  <si>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</si>
  <si>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</si>
  <si>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</si>
  <si>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</si>
  <si>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</si>
  <si>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</si>
  <si>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</si>
  <si>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</si>
  <si>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</si>
  <si>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</si>
  <si>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</si>
  <si>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</si>
  <si>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</si>
  <si>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</si>
  <si>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</si>
  <si>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</si>
  <si>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</si>
  <si>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</si>
  <si>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</si>
  <si>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</si>
  <si>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</si>
  <si>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</si>
  <si>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</si>
  <si>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</si>
  <si>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</si>
  <si>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</si>
  <si>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</si>
  <si>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</si>
  <si>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</si>
  <si>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</si>
  <si>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</si>
  <si>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</si>
  <si>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</si>
  <si>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</si>
  <si>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</si>
  <si>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</si>
  <si>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</si>
  <si>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</si>
  <si>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</si>
  <si>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</si>
  <si>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</si>
  <si>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</si>
  <si>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</si>
  <si>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</si>
  <si>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</si>
  <si>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</si>
  <si>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</si>
  <si>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</si>
  <si>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</si>
  <si>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</si>
  <si>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</si>
  <si>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</si>
  <si>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</si>
  <si>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</si>
  <si>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</si>
  <si>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</si>
  <si>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</si>
  <si>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</si>
  <si>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</si>
  <si>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</si>
  <si>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</si>
  <si>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</si>
  <si>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</si>
  <si>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</si>
  <si>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</si>
  <si>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</si>
  <si>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</si>
  <si>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</si>
  <si>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</si>
  <si>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</si>
  <si>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</si>
  <si>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</si>
  <si>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</si>
  <si>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</si>
  <si>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</si>
  <si>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</si>
  <si>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</si>
  <si>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</si>
  <si>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</si>
  <si>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</si>
  <si>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</si>
  <si>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</si>
  <si>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</si>
  <si>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</si>
  <si>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</si>
  <si>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</si>
  <si>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</si>
  <si>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</si>
  <si>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</si>
  <si>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</si>
  <si>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</si>
  <si>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</si>
  <si>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</si>
  <si>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</si>
  <si>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</si>
  <si>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</si>
  <si>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</si>
  <si>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</si>
  <si>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</si>
  <si>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</si>
  <si>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</si>
  <si>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</si>
  <si>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</si>
  <si>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</si>
  <si>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</si>
  <si>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</si>
  <si>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</si>
  <si>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</si>
  <si>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</si>
  <si>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</si>
  <si>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</si>
  <si>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</si>
  <si>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</si>
  <si>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</si>
  <si>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</si>
  <si>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</si>
  <si>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</si>
  <si>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</si>
  <si>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</si>
  <si>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</si>
  <si>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</si>
  <si>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</si>
  <si>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</si>
  <si>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</si>
  <si>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</si>
  <si>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</si>
  <si>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</si>
  <si>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</si>
  <si>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</si>
  <si>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</si>
  <si>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</si>
  <si>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</si>
  <si>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</si>
  <si>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</si>
  <si>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</si>
  <si>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</si>
  <si>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</si>
  <si>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</si>
  <si>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</si>
  <si>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</si>
  <si>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</si>
  <si>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</si>
  <si>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</si>
  <si>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</si>
  <si>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</si>
  <si>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</si>
  <si>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</si>
  <si>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</si>
  <si>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</si>
  <si>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</si>
  <si>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</si>
  <si>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</si>
  <si>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</si>
  <si>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</si>
  <si>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</si>
  <si>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</si>
  <si>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</si>
  <si>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</si>
  <si>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</si>
  <si>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</si>
  <si>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</si>
  <si>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</si>
  <si>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</si>
  <si>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</si>
  <si>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</si>
  <si>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</si>
  <si>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</si>
  <si>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</si>
  <si>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</si>
  <si>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</si>
  <si>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</si>
  <si>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</si>
  <si>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</si>
  <si>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</si>
  <si>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</si>
  <si>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</si>
  <si>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</si>
  <si>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</si>
  <si>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</si>
  <si>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</si>
  <si>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</si>
  <si>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</si>
  <si>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</si>
  <si>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</si>
  <si>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</si>
  <si>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</si>
  <si>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</si>
  <si>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</si>
  <si>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</si>
  <si>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</si>
  <si>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</si>
  <si>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</si>
  <si>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</si>
  <si>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</si>
  <si>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</si>
  <si>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</si>
  <si>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</si>
  <si>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</si>
  <si>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</si>
  <si>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</si>
  <si>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</si>
  <si>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</si>
  <si>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</si>
  <si>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</si>
  <si>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</si>
  <si>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</si>
  <si>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</si>
  <si>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</si>
  <si>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</si>
  <si>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</si>
  <si>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</si>
  <si>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</si>
  <si>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</si>
  <si>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</si>
  <si>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</si>
  <si>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</si>
  <si>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</si>
  <si>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</si>
  <si>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</si>
  <si>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</si>
  <si>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</si>
  <si>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</si>
  <si>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</si>
  <si>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</si>
  <si>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</si>
  <si>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</si>
  <si>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</si>
  <si>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</si>
  <si>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</si>
  <si>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</si>
  <si>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</si>
  <si>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</si>
  <si>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</si>
  <si>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</si>
  <si>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</si>
  <si>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</si>
  <si>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</si>
  <si>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</si>
  <si>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</si>
  <si>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</si>
  <si>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</si>
  <si>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</si>
  <si>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</si>
  <si>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</si>
  <si>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</si>
  <si>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</si>
  <si>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</si>
  <si>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</si>
  <si>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</si>
  <si>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</si>
  <si>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</si>
  <si>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</si>
  <si>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</si>
  <si>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</si>
  <si>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</si>
  <si>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</si>
  <si>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</si>
  <si>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</si>
  <si>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</si>
  <si>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</si>
  <si>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</si>
  <si>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</si>
  <si>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</si>
  <si>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</si>
  <si>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</si>
  <si>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</si>
  <si>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</si>
  <si>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</si>
  <si>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</si>
  <si>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</si>
  <si>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</si>
  <si>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</si>
  <si>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</si>
  <si>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</si>
  <si>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</si>
  <si>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</si>
  <si>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</si>
  <si>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</si>
  <si>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</si>
  <si>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</si>
  <si>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</si>
  <si>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</si>
  <si>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</si>
  <si>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</si>
  <si>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</si>
  <si>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</si>
  <si>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</si>
  <si>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</si>
  <si>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</si>
  <si>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</si>
  <si>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</si>
  <si>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</si>
  <si>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</si>
  <si>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</si>
  <si>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</si>
  <si>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</si>
  <si>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</si>
  <si>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</si>
  <si>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</si>
  <si>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</si>
  <si>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</si>
  <si>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</si>
  <si>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</si>
  <si>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</si>
  <si>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</si>
  <si>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</si>
  <si>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</si>
  <si>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</si>
  <si>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</si>
  <si>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</si>
  <si>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</si>
  <si>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</si>
  <si>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</si>
  <si>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</si>
  <si>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</si>
  <si>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</si>
  <si>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</si>
  <si>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</si>
  <si>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</si>
  <si>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</si>
  <si>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</si>
  <si>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</si>
  <si>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</si>
  <si>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</si>
  <si>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</si>
  <si>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</si>
  <si>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</si>
  <si>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</si>
  <si>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</si>
  <si>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</si>
  <si>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</si>
  <si>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</si>
  <si>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</si>
  <si>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</si>
  <si>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</si>
  <si>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</si>
  <si>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</si>
  <si>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</si>
  <si>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</si>
  <si>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</si>
  <si>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</si>
  <si>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</si>
  <si>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</si>
  <si>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</si>
  <si>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</si>
  <si>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</si>
  <si>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</si>
  <si>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</si>
  <si>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</si>
  <si>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</si>
  <si>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</si>
  <si>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</si>
  <si>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</si>
  <si>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</si>
  <si>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</si>
  <si>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</si>
  <si>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</si>
  <si>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</si>
  <si>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</si>
  <si>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</si>
  <si>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</si>
  <si>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</si>
  <si>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</si>
  <si>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</si>
  <si>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</si>
  <si>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</si>
  <si>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</si>
  <si>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</si>
  <si>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</si>
  <si>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</si>
  <si>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</si>
  <si>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</si>
  <si>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</si>
  <si>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</si>
  <si>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</si>
  <si>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</si>
  <si>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</si>
  <si>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</si>
  <si>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</si>
  <si>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</si>
  <si>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</si>
  <si>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</si>
  <si>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</si>
  <si>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</si>
  <si>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</si>
  <si>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</si>
  <si>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</si>
  <si>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</si>
  <si>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</si>
  <si>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</si>
  <si>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</si>
  <si>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</si>
  <si>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</si>
  <si>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</si>
  <si>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</si>
  <si>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</si>
  <si>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</si>
  <si>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</si>
  <si>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</si>
  <si>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</si>
  <si>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</si>
  <si>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</si>
  <si>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</si>
  <si>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</si>
  <si>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</si>
  <si>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</si>
  <si>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</si>
  <si>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</si>
  <si>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</si>
  <si>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</si>
  <si>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</si>
  <si>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</si>
  <si>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</si>
  <si>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</si>
  <si>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</si>
  <si>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</si>
  <si>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</si>
  <si>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</si>
  <si>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</si>
  <si>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</si>
  <si>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</si>
  <si>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</si>
  <si>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PC0002-da-rogojin</t>
  </si>
  <si>
    <t>ОК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</si>
  <si>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</si>
  <si>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</si>
  <si>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</si>
  <si>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</si>
  <si>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</si>
  <si>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</si>
  <si>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</si>
  <si>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</si>
  <si>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</si>
  <si>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</si>
  <si>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</si>
  <si>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</si>
  <si>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</si>
  <si>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</si>
  <si>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</si>
  <si>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</si>
  <si>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</si>
  <si>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</si>
  <si>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</si>
  <si>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</si>
  <si>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</si>
  <si>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</si>
  <si>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</si>
  <si>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</si>
  <si>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</si>
  <si>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</si>
  <si>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</si>
  <si>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</si>
  <si>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</si>
  <si>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</si>
  <si>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</si>
  <si>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</si>
  <si>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</si>
  <si>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</si>
  <si>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</si>
  <si>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</si>
  <si>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</si>
  <si>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</si>
  <si>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</si>
  <si>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</si>
  <si>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</si>
  <si>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</si>
  <si>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</si>
  <si>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</si>
  <si>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</si>
  <si>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</si>
  <si>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</si>
  <si>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</si>
  <si>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</si>
  <si>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</si>
  <si>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</si>
  <si>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</si>
  <si>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</si>
  <si>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</si>
  <si>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</si>
  <si>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</si>
  <si>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</si>
  <si>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</si>
  <si>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</si>
  <si>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</si>
  <si>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</si>
  <si>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</si>
  <si>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</si>
  <si>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</si>
  <si>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</si>
  <si>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</si>
  <si>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</si>
  <si>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</si>
  <si>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</si>
  <si>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</si>
  <si>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</si>
  <si>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</si>
  <si>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</si>
  <si>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</si>
  <si>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</si>
  <si>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</si>
  <si>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</si>
  <si>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</si>
  <si>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</si>
  <si>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</si>
  <si>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</si>
  <si>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</si>
  <si>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</si>
  <si>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</si>
  <si>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</si>
  <si>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</si>
  <si>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</si>
  <si>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</si>
  <si>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</si>
  <si>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</si>
  <si>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</si>
  <si>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</si>
  <si>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</si>
  <si>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</si>
  <si>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</si>
  <si>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</si>
  <si>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</si>
  <si>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</si>
  <si>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</si>
  <si>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</si>
  <si>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</si>
  <si>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</si>
  <si>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</si>
  <si>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</si>
  <si>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</si>
  <si>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</si>
  <si>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</si>
  <si>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</si>
  <si>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</si>
  <si>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</si>
  <si>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</si>
  <si>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</si>
  <si>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</si>
  <si>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</si>
  <si>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</si>
  <si>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</si>
  <si>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</si>
  <si>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</si>
  <si>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</si>
  <si>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</si>
  <si>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</si>
  <si>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</si>
  <si>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</si>
  <si>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</si>
  <si>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</si>
  <si>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</si>
  <si>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</si>
  <si>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</si>
  <si>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</si>
  <si>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</si>
  <si>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</si>
  <si>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</si>
  <si>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</si>
  <si>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</si>
  <si>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</si>
  <si>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</si>
  <si>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</si>
  <si>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</si>
  <si>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</si>
  <si>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</si>
  <si>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</si>
  <si>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</si>
  <si>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</si>
  <si>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</si>
  <si>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</si>
  <si>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</si>
  <si>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</si>
  <si>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</si>
  <si>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</si>
  <si>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</si>
  <si>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</si>
  <si>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</si>
  <si>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</si>
  <si>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</si>
  <si>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</si>
  <si>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</si>
  <si>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</si>
  <si>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</si>
  <si>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</si>
  <si>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</si>
  <si>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</si>
  <si>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</si>
  <si>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</si>
  <si>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</si>
  <si>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</si>
  <si>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</si>
  <si>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</si>
  <si>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</si>
  <si>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</si>
  <si>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</si>
  <si>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</si>
  <si>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</si>
  <si>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</si>
  <si>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</si>
  <si>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</si>
  <si>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</si>
  <si>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</si>
  <si>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</si>
  <si>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</si>
  <si>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</si>
  <si>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</si>
  <si>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</si>
  <si>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</si>
  <si>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</si>
  <si>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</si>
  <si>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</si>
  <si>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</si>
  <si>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</si>
  <si>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</si>
  <si>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</si>
  <si>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</si>
  <si>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</si>
  <si>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</si>
  <si>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</si>
  <si>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</si>
  <si>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</si>
  <si>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</si>
  <si>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</si>
  <si>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</si>
  <si>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</si>
  <si>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</si>
  <si>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</si>
  <si>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</si>
  <si>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</si>
  <si>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</si>
  <si>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</si>
  <si>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</si>
  <si>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</si>
  <si>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</si>
  <si>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</si>
  <si>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</si>
  <si>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</si>
  <si>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</si>
  <si>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</si>
  <si>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</si>
  <si>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</si>
  <si>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</si>
  <si>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</si>
  <si>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</si>
  <si>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</si>
  <si>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</si>
  <si>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</si>
  <si>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</si>
  <si>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</si>
  <si>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</si>
  <si>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</si>
  <si>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</si>
  <si>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</si>
  <si>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</si>
  <si>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</si>
  <si>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</si>
  <si>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</si>
  <si>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</si>
  <si>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</si>
  <si>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</si>
  <si>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</si>
  <si>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</si>
  <si>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</si>
  <si>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</si>
  <si>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</si>
  <si>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</si>
  <si>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</si>
  <si>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</si>
  <si>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</si>
  <si>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</si>
  <si>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</si>
  <si>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</si>
  <si>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</si>
  <si>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</si>
  <si>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</si>
  <si>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</si>
  <si>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</si>
  <si>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</si>
  <si>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</si>
  <si>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</si>
  <si>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</si>
  <si>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</si>
  <si>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</si>
  <si>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</si>
  <si>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</si>
  <si>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</si>
  <si>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</si>
  <si>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</si>
  <si>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</si>
  <si>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</si>
  <si>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</si>
  <si>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</si>
  <si>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</si>
  <si>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</si>
  <si>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</si>
  <si>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</si>
  <si>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</si>
  <si>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</si>
  <si>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</si>
  <si>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</si>
  <si>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</si>
  <si>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</si>
  <si>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</si>
  <si>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</si>
  <si>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</si>
  <si>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</si>
  <si>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</si>
  <si>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</si>
  <si>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</si>
  <si>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</si>
  <si>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</si>
  <si>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</si>
  <si>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</si>
  <si>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</si>
  <si>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</si>
  <si>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</si>
  <si>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</si>
  <si>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</si>
  <si>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</si>
  <si>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</si>
  <si>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</si>
  <si>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</si>
  <si>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</si>
  <si>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</si>
  <si>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</si>
  <si>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</si>
  <si>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</si>
  <si>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</si>
  <si>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</si>
  <si>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</si>
  <si>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</si>
  <si>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</si>
  <si>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</si>
  <si>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</si>
  <si>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</si>
  <si>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</si>
  <si>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</si>
  <si>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</si>
  <si>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</si>
  <si>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_гр</t>
  </si>
  <si>
    <t>_кж</t>
  </si>
  <si>
    <t xml:space="preserve"> </t>
  </si>
  <si>
    <t>Поз.</t>
  </si>
  <si>
    <t>Обозначение</t>
  </si>
  <si>
    <t>Наименование</t>
  </si>
  <si>
    <t>Кол-во</t>
  </si>
  <si>
    <t>Масса ед., кг.</t>
  </si>
  <si>
    <t>Примечание</t>
  </si>
  <si>
    <t>см. примечания</t>
  </si>
  <si>
    <t>Покрытие тип 1</t>
  </si>
  <si>
    <t>ГОСТ 8509-93</t>
  </si>
  <si>
    <t>Спецификация 1_гр</t>
  </si>
  <si>
    <t>Прокат</t>
  </si>
  <si>
    <t>Спецификация 1_кж</t>
  </si>
  <si>
    <t>7, 8, 9, 10, 11</t>
  </si>
  <si>
    <t>1, 2, 3, 4, 5, 6, 12, 13</t>
  </si>
  <si>
    <t>Armstrong Ceramguard (или аналог); Без отделки</t>
  </si>
  <si>
    <t>Потолок</t>
  </si>
  <si>
    <t>П2</t>
  </si>
  <si>
    <t>Armstrong Dune (или аналог); Без отделки</t>
  </si>
  <si>
    <t>П1</t>
  </si>
  <si>
    <t>Штукатурка; Шпатлёвка</t>
  </si>
  <si>
    <t>1_1_Перегородки кирпич.АР</t>
  </si>
  <si>
    <t>Кирпич 120 штукатурка с 2х сторон (1)</t>
  </si>
  <si>
    <t>Шпатлёвка ГКЛ</t>
  </si>
  <si>
    <t>1_1_Перегородки ГКЛ.АР</t>
  </si>
  <si>
    <t>ГКЛ - перегородка C112 250 мм</t>
  </si>
  <si>
    <t>ГКЛ - перегородка C112 125 мм</t>
  </si>
  <si>
    <t>ГКЛ - обшивка по каркасу С623 55 мм</t>
  </si>
  <si>
    <t>Армстронг; Без отделки</t>
  </si>
  <si>
    <t>!!П1</t>
  </si>
  <si>
    <t>Затирка; Шпатлёвка</t>
  </si>
  <si>
    <t>Колонны</t>
  </si>
  <si>
    <t>ЖБ</t>
  </si>
  <si>
    <t>!</t>
  </si>
  <si>
    <t>Зоны.АР</t>
  </si>
  <si>
    <t>Стены-разделители зон</t>
  </si>
  <si>
    <t>Грунтовка</t>
  </si>
  <si>
    <t>Окраска краской ВД-КЧ-183 (ГОСТ 28196-89)</t>
  </si>
  <si>
    <t>Добавить</t>
  </si>
  <si>
    <t>Окраска негорючей краской класса КМ0. НГ. моющейся. матовой</t>
  </si>
  <si>
    <t>Грунтовка; Шпатлёвка ГКЛ; Шпатлёвка</t>
  </si>
  <si>
    <t>Глазурованная керамическая плитка по ГОСТ 6141-91</t>
  </si>
  <si>
    <t>Исключить</t>
  </si>
  <si>
    <t>Черновая отделка (разделитель ';')</t>
  </si>
  <si>
    <t>Слой</t>
  </si>
  <si>
    <t>Имя многослойной конструкции (целиком или часть имени, строки с !! не учитываются)</t>
  </si>
  <si>
    <t>Штукатурка</t>
  </si>
  <si>
    <t>Шпатлёвка</t>
  </si>
  <si>
    <t>Подготовка поверхности стен, колонн</t>
  </si>
  <si>
    <t>Финишная отделка</t>
  </si>
  <si>
    <t xml:space="preserve"> Armstrong Dune (или аналог)</t>
  </si>
  <si>
    <t xml:space="preserve"> Armstrong Ceramguard (или аналог)</t>
  </si>
  <si>
    <t>Отделка потолка</t>
  </si>
  <si>
    <t>Общяя площадь отделки, кв.м.</t>
  </si>
  <si>
    <t>Lперим=107,3п.м.
Hmax=3,48м.</t>
  </si>
  <si>
    <t>Armstrong Dune (или аналог)</t>
  </si>
  <si>
    <t>1; 2; 3; 4; 5</t>
  </si>
  <si>
    <t>Тип_В</t>
  </si>
  <si>
    <t>Lперим=23,4п.м.
Hmax=3,48м.</t>
  </si>
  <si>
    <t>1,8</t>
  </si>
  <si>
    <t>Armstrong Ceramguard (или аналог)</t>
  </si>
  <si>
    <t>Тип_Б</t>
  </si>
  <si>
    <t>Lперим=21,5п.м.
Hmax=3,48м.</t>
  </si>
  <si>
    <t>8; 9; 10</t>
  </si>
  <si>
    <t>Тип_А</t>
  </si>
  <si>
    <t>Высота, м.</t>
  </si>
  <si>
    <t>Площадь, кв.м.</t>
  </si>
  <si>
    <t>Низа стен/колонн</t>
  </si>
  <si>
    <t>Стены и перегородки</t>
  </si>
  <si>
    <t>Потолка</t>
  </si>
  <si>
    <t>Ведомость отделки элементов интерьера</t>
  </si>
  <si>
    <t>Номера помещений</t>
  </si>
  <si>
    <t>Тип</t>
  </si>
  <si>
    <t>Устройство наружных стен из сэндвич-панелей с минераловатным утеплителем ТСП-Z-120-1000-В-Т-МВ</t>
  </si>
  <si>
    <t>ГОСТ 32603-2012</t>
  </si>
  <si>
    <t>Устройство стен, перегородок</t>
  </si>
  <si>
    <t>Площадь нар, кв.м</t>
  </si>
  <si>
    <t>!!!</t>
  </si>
  <si>
    <t>Длина вн цоколя, м</t>
  </si>
  <si>
    <t>Плитка керамическая на высоту 150 мм. от верха отмостки</t>
  </si>
  <si>
    <t>Штукатурка по сетке</t>
  </si>
  <si>
    <t>Окраска оштукатуренной поверхности атмосферостойой фасадной  в/э краской</t>
  </si>
  <si>
    <t>СТО 72746455-3.3.1-2012</t>
  </si>
  <si>
    <t>Утепление наружного ж/б цоколя</t>
  </si>
  <si>
    <t>Длина полистирола, мм</t>
  </si>
  <si>
    <t>Длина МВ, мм</t>
  </si>
  <si>
    <t>Толщина утеплителя,мм</t>
  </si>
  <si>
    <t>Длина,м</t>
  </si>
  <si>
    <t>МП Проект Труба водосточная D150</t>
  </si>
  <si>
    <t>МеталлПрофиль</t>
  </si>
  <si>
    <t>МП Проект Колено трубы сливное D150(60)</t>
  </si>
  <si>
    <t>МП Проект Колено трубы D150(60)</t>
  </si>
  <si>
    <t>МП Проект Держатель трубы D150</t>
  </si>
  <si>
    <t>Водосточная система</t>
  </si>
  <si>
    <t>Общая длина желобов, м</t>
  </si>
  <si>
    <t>Количество желобов</t>
  </si>
  <si>
    <t>Общая высота труб, м</t>
  </si>
  <si>
    <t>Количество труб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</si>
  <si>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</si>
  <si>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</si>
  <si>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</si>
  <si>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</si>
  <si>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</si>
  <si>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</si>
  <si>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</si>
  <si>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</si>
  <si>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</si>
  <si>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</si>
  <si>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</si>
  <si>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</si>
  <si>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</si>
  <si>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</si>
  <si>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</si>
  <si>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Арматура</t>
  </si>
  <si>
    <t>Примечание
(на лист)</t>
  </si>
  <si>
    <t>Масса, кг</t>
  </si>
  <si>
    <t>Кол-во
на один элемент</t>
  </si>
  <si>
    <t>Марка
элемента</t>
  </si>
  <si>
    <t>Белый</t>
  </si>
  <si>
    <t>Окраска оштукатуренного по сетке утеплённого ж/б цоколя фасадными в/э составами</t>
  </si>
  <si>
    <t>Цоколь</t>
  </si>
  <si>
    <t>RAL9003</t>
  </si>
  <si>
    <t>Заводская окраска металлических элементов</t>
  </si>
  <si>
    <t>Ворота</t>
  </si>
  <si>
    <t>ПВХ</t>
  </si>
  <si>
    <t>Окна</t>
  </si>
  <si>
    <t>Двери</t>
  </si>
  <si>
    <t>Сэндвич-панели                 ГОСТ 32603-2012</t>
  </si>
  <si>
    <t>Кровля</t>
  </si>
  <si>
    <t>Стены</t>
  </si>
  <si>
    <t>Наименование и номер эталона цвета или образец колера</t>
  </si>
  <si>
    <t>Наименование материала отделки</t>
  </si>
  <si>
    <t>Наименование
элементов фасада</t>
  </si>
  <si>
    <t>Поз.
отделки</t>
  </si>
  <si>
    <t>Утепление ниже ур. отмостки - пенополистирол Технониколь Carbon Prof 300 (с креплением торельчатым дюбелем), t=150мм.</t>
  </si>
  <si>
    <t>Утепление выше ур. отмостки - минплита Технофас (с креплением торельчатым дюбелем), t=150мм.</t>
  </si>
  <si>
    <t>СТО 72746455-3.2.1-2018</t>
  </si>
  <si>
    <t>Окраска оштукатуренной поверхности атмосферостойой фасадной в/э краской</t>
  </si>
  <si>
    <t>Штукатурка для вн. работ, t=20мм.</t>
  </si>
  <si>
    <t>Облицовка двухслойная из листов ГКЛ тип С623</t>
  </si>
  <si>
    <t>Серия 1.073.9-2.08.1</t>
  </si>
  <si>
    <t>Перегородка с двумя слоями ГКЛ с обеих сторон, тип С112</t>
  </si>
  <si>
    <t>Серия 1.031.9-2.07</t>
  </si>
  <si>
    <t>Кладка из КР-р-по 250х120х65/1НФ/100/2,0/50 на ц/п растворе М75, t=120мм.</t>
  </si>
  <si>
    <t>ГОСТ 530-2012</t>
  </si>
  <si>
    <t>Устройство наружных стен из сэндвич-панелей с минераловатным утеплителем ТСП-Z-150-1000-В-Т-МВ</t>
  </si>
  <si>
    <t>"Rockwool" Аккустик Батс</t>
  </si>
  <si>
    <t>ТЕХНОРУФ Н ПРОФ, t=50мм., t=50мм.</t>
  </si>
  <si>
    <t>ТЕХНОРУФ В ЭКСТРА с, t=50мм., t=50мм.</t>
  </si>
  <si>
    <t>ТУ 5762-017-74182181-2015</t>
  </si>
  <si>
    <t>ТЕХНОРУФ Н КЛИН, t=150мм., t=150мм.</t>
  </si>
  <si>
    <t>ТУ 23.99.19-022-05961939-2017</t>
  </si>
  <si>
    <t>Полимерная мембрана LOGICROOF V-RP</t>
  </si>
  <si>
    <t>СТО 72746455-3.4.1-2013</t>
  </si>
  <si>
    <t>Паробарьер С</t>
  </si>
  <si>
    <t>СТО 72746455-3.1.9-2014</t>
  </si>
  <si>
    <t>Устройство кровли</t>
  </si>
  <si>
    <t>Бетон В15 F150</t>
  </si>
  <si>
    <t>ГОСТ 26633-2015</t>
  </si>
  <si>
    <t>Mastertop C713 0.1л/кв.м.</t>
  </si>
  <si>
    <t>Mastertop 450 5кг/кв.м.</t>
  </si>
  <si>
    <t>BASF</t>
  </si>
  <si>
    <t>4,62 кг.</t>
  </si>
  <si>
    <t>⌀5 A500C L= п.м.</t>
  </si>
  <si>
    <t>ГОСТ 34028-2016</t>
  </si>
  <si>
    <t>Пандус Пн</t>
  </si>
  <si>
    <t>38,52 кг.</t>
  </si>
  <si>
    <t>Решётка для чистки ног РН-7.5-2</t>
  </si>
  <si>
    <t>Серия 1.100.2-5</t>
  </si>
  <si>
    <t>Пв</t>
  </si>
  <si>
    <t>11,16 кг.</t>
  </si>
  <si>
    <t xml:space="preserve"> Уголок  40x3 L = п.м.</t>
  </si>
  <si>
    <t>12,48 кг.</t>
  </si>
  <si>
    <t>Входная площадка Пв</t>
  </si>
  <si>
    <t>Экструдированный
пенополистерол, t=30 мм</t>
  </si>
  <si>
    <t>Гидрошпонка ДЗ-140/30-4/35</t>
  </si>
  <si>
    <t>Праймер битумный концентрат 0.35л/кв.м</t>
  </si>
  <si>
    <t>ТУ 5775-011-17925162-2003</t>
  </si>
  <si>
    <t>Битум 70/30 в 2 слоя</t>
  </si>
  <si>
    <t>ГОСТ 25192-2012</t>
  </si>
  <si>
    <t>С-образный, хомут в стене</t>
  </si>
  <si>
    <t xml:space="preserve">Г-шка, выпуски в стены, двойная </t>
  </si>
  <si>
    <t xml:space="preserve"> П-шка по верху и торцу стены</t>
  </si>
  <si>
    <t>Фон стены нижняя сетка</t>
  </si>
  <si>
    <t xml:space="preserve"> П-шка по торцам фунд. Плиты</t>
  </si>
  <si>
    <t>Фон нижняя сетка</t>
  </si>
  <si>
    <t>Бетон В7.5</t>
  </si>
  <si>
    <t>Бетон В25 W6 F150</t>
  </si>
  <si>
    <t>Стена подпорная монолитная Спм1</t>
  </si>
  <si>
    <t>Спм1</t>
  </si>
  <si>
    <t>Площадь подготовки,кв.м</t>
  </si>
  <si>
    <t>Площадь стены, кв.м.</t>
  </si>
  <si>
    <t>Периметр отверстий, мм.</t>
  </si>
  <si>
    <t>Длина стены, мм.</t>
  </si>
  <si>
    <t>Толщина, мм</t>
  </si>
  <si>
    <t>Площадь подошвы, кв.м</t>
  </si>
  <si>
    <t>Основной</t>
  </si>
  <si>
    <t>95х95</t>
  </si>
  <si>
    <t>100х100х8</t>
  </si>
  <si>
    <t>Закладная деталь Му2</t>
  </si>
  <si>
    <t>данный лист</t>
  </si>
  <si>
    <t>Му2</t>
  </si>
  <si>
    <t>Закладная деталь Му1</t>
  </si>
  <si>
    <t>Му1</t>
  </si>
  <si>
    <t>40х40</t>
  </si>
  <si>
    <t>Мн1</t>
  </si>
  <si>
    <t>НЕТ БЕТОНА</t>
  </si>
  <si>
    <t>анкеры</t>
  </si>
  <si>
    <t>220х220</t>
  </si>
  <si>
    <t>Закладная деталь Мн1</t>
  </si>
  <si>
    <t>Горизонтальный стержень</t>
  </si>
  <si>
    <t>Вертикальный стержень</t>
  </si>
  <si>
    <t>Каркас Крп20</t>
  </si>
  <si>
    <t>Крп20</t>
  </si>
  <si>
    <t>Спм1_спец</t>
  </si>
  <si>
    <t>check</t>
  </si>
  <si>
    <t>Небивка массы на -1.84999999999991 груп= 475.45, общая= 477.3</t>
  </si>
  <si>
    <t>Небивка массы на  7.99999999999992E-02 груп= 5.29, общая= 5.21</t>
  </si>
  <si>
    <t>Марка
изделия.</t>
  </si>
  <si>
    <t>Поз.
дет.</t>
  </si>
  <si>
    <t>Кол-во*</t>
  </si>
  <si>
    <t>⌀10 A-I(A240) L=165мм.</t>
  </si>
  <si>
    <t>0,11 кг.</t>
  </si>
  <si>
    <t>⌀10 A-I(A240) L=1280мм.</t>
  </si>
  <si>
    <t>0,79 кг.</t>
  </si>
  <si>
    <t>ГОСТ 19903-2015 --10 L=50мм.</t>
  </si>
  <si>
    <t>3,93 кг.</t>
  </si>
  <si>
    <t>⌀14 A500C L=170мм.</t>
  </si>
  <si>
    <t>0,21 кг.</t>
  </si>
  <si>
    <t>ГОСТ 19903-2015 --8 L=2мм.</t>
  </si>
  <si>
    <t>0,13 кг.</t>
  </si>
  <si>
    <t>Уголок ГОСТ 8509-93 L250x28 L=100мм.</t>
  </si>
  <si>
    <t>7,86 кг.</t>
  </si>
  <si>
    <t>ГОСТ 19903-2015 --8 L=10мм.</t>
  </si>
  <si>
    <t>0,63 кг.</t>
  </si>
  <si>
    <t>Уголок ГОСТ 8509-93 L200x18 L=200мм.</t>
  </si>
  <si>
    <t>15,71 кг.</t>
  </si>
  <si>
    <t>Спм1_гр</t>
  </si>
  <si>
    <t>Ведомость отделки фасадов</t>
  </si>
  <si>
    <t>---</t>
  </si>
  <si>
    <t>Изделия_спец.И</t>
  </si>
  <si>
    <t>Кровля_об</t>
  </si>
  <si>
    <t>Кровля_спец</t>
  </si>
  <si>
    <t>Отделка_вед</t>
  </si>
  <si>
    <t>Отделка_правила</t>
  </si>
  <si>
    <t>Отделка_экспл</t>
  </si>
  <si>
    <t>Пандус_об</t>
  </si>
  <si>
    <t>20 7 14/ 15 47 35</t>
  </si>
  <si>
    <t>Масса 1 дет., кг.</t>
  </si>
  <si>
    <t>Масса изделия, кг.</t>
  </si>
  <si>
    <t>Крп20
(185 шт.)</t>
  </si>
  <si>
    <t>* расход на одно изделие</t>
  </si>
  <si>
    <t>Мн1
(1 шт.)</t>
  </si>
  <si>
    <t>Му2
(4 шт.)</t>
  </si>
  <si>
    <t>Перенумеровано сквнозной нумерацией</t>
  </si>
  <si>
    <t>Перенумеровано по сборкам</t>
  </si>
  <si>
    <t>Му1
(17 шт.)</t>
  </si>
  <si>
    <t>Марка бетона</t>
  </si>
  <si>
    <t>Объём
бетона, куб.м.</t>
  </si>
  <si>
    <t>Вес арматуры, кг.</t>
  </si>
  <si>
    <t>Расход, кг/куб.м</t>
  </si>
  <si>
    <t xml:space="preserve">
Бетон В25 W6 F150</t>
  </si>
  <si>
    <t>Итого</t>
  </si>
  <si>
    <t>Спм1_норм</t>
  </si>
  <si>
    <t>_норм</t>
  </si>
  <si>
    <t>20 8 31/ 16 35 56</t>
  </si>
  <si>
    <t>Ошибка спецификации</t>
  </si>
  <si>
    <t>Сборок меньше двух. Создана общестроительная спецификаця</t>
  </si>
  <si>
    <t>Спм1_грс</t>
  </si>
  <si>
    <t>_грс</t>
  </si>
  <si>
    <t>Данные отсутвуют</t>
  </si>
  <si>
    <t>URMANGA-kuvbur</t>
  </si>
  <si>
    <t>Марка элемента</t>
  </si>
  <si>
    <t>Изделия арматурные</t>
  </si>
  <si>
    <t>Изделия закладные</t>
  </si>
  <si>
    <t>Всего</t>
  </si>
  <si>
    <t>Объём бетона, куб.м.</t>
  </si>
  <si>
    <t>Арматура класса</t>
  </si>
  <si>
    <t>С245
ГОСТ 27772-2015</t>
  </si>
  <si>
    <t>ГОСТ 19903-2015</t>
  </si>
  <si>
    <t>⌀12</t>
  </si>
  <si>
    <t>⌀14</t>
  </si>
  <si>
    <t>⌀6</t>
  </si>
  <si>
    <t>⌀10</t>
  </si>
  <si>
    <t>Спм1, на все</t>
  </si>
  <si>
    <t>Спм1_кж</t>
  </si>
  <si>
    <t>20 9 2/ 20 14 41</t>
  </si>
  <si>
    <t>АВТОКАД_Извлечение данных</t>
  </si>
  <si>
    <t>НИЖЕ ЭТИХ СТРОК НИЧЕГО ВРУЧНУЮ НЕ ВВОДИТЬ</t>
  </si>
  <si>
    <t>АВТОКАД_'A8C99B_*U237</t>
  </si>
  <si>
    <t>Пдм1</t>
  </si>
  <si>
    <t>АВТОКАД_'A8CA3A_*U119</t>
  </si>
  <si>
    <t>АВТОКАД_'A8CBF4_*U120</t>
  </si>
  <si>
    <t>АВТОКАД_'A95FFD_*U121</t>
  </si>
  <si>
    <t>АВТОКАД_'A9BF88_*U124</t>
  </si>
  <si>
    <t>АВТОКАД_'A9C0ED_*U123</t>
  </si>
  <si>
    <t>АВТОКАД_'AB7536_*U144</t>
  </si>
  <si>
    <t>АВТОКАД_'AB7701_*U145</t>
  </si>
  <si>
    <t>АВТОКАД_'AB77C0_*U146</t>
  </si>
  <si>
    <t>АВТОКАД_'AB8C87_*U142</t>
  </si>
  <si>
    <t>АВТОКАД_'AB8D01_*U141</t>
  </si>
  <si>
    <t>АВТОКАД_'AB8D7B_*U143</t>
  </si>
  <si>
    <t>АВТОКАД_'B4CF39_*U122</t>
  </si>
  <si>
    <t>АВТОКАД_Пдм1_autocad</t>
  </si>
  <si>
    <t>Гидрошпонка ХВС-120(2Ø)</t>
  </si>
  <si>
    <t>ТУ 5775-002-46603100-03 с изм.1.2</t>
  </si>
  <si>
    <t>З-шка</t>
  </si>
  <si>
    <t xml:space="preserve"> Пшки приямок</t>
  </si>
  <si>
    <t>Выпуски Пшки стены</t>
  </si>
  <si>
    <t>Выпуски Пшки стена большие</t>
  </si>
  <si>
    <t xml:space="preserve"> Доп АРМ У2</t>
  </si>
  <si>
    <t xml:space="preserve"> Доп АРМ X2</t>
  </si>
  <si>
    <t xml:space="preserve"> Доп АРМ У1</t>
  </si>
  <si>
    <t xml:space="preserve"> Доп АРМ Х1 </t>
  </si>
  <si>
    <t xml:space="preserve"> Доп АРМ X1</t>
  </si>
  <si>
    <t>Выпуски под колонны2</t>
  </si>
  <si>
    <t>Выпуски под колонны1</t>
  </si>
  <si>
    <t xml:space="preserve"> П-шка по торцам</t>
  </si>
  <si>
    <t xml:space="preserve"> Фон верхняя сетка</t>
  </si>
  <si>
    <t xml:space="preserve"> Фон нижняя сетка</t>
  </si>
  <si>
    <t>Праймер битумным концентрат 0.35л/кв.м</t>
  </si>
  <si>
    <t>Стяжка из ц/п раствора М150</t>
  </si>
  <si>
    <t>ГОСТ 28013-98</t>
  </si>
  <si>
    <t>Техноэласт ЭПП в 2 слоя t=8мм</t>
  </si>
  <si>
    <t>СТО 72746455-3.1.11-2015</t>
  </si>
  <si>
    <t>Бетон В15 W4 F100</t>
  </si>
  <si>
    <t xml:space="preserve">Бетон В7.5 </t>
  </si>
  <si>
    <t>Бетон В30 W8 F200</t>
  </si>
  <si>
    <t>Плита днища монолитная</t>
  </si>
  <si>
    <t>Площадь гидроизоляции,кв.м.</t>
  </si>
  <si>
    <t>Площадь отверстий, кв.м.</t>
  </si>
  <si>
    <t>Площадь, кв.м</t>
  </si>
  <si>
    <t>Периметр, мм</t>
  </si>
  <si>
    <t>Бетон В30 W8 F150</t>
  </si>
  <si>
    <t>сейсмика</t>
  </si>
  <si>
    <t>Пдм1_спец</t>
  </si>
  <si>
    <t>02.09.2020 20:55:47</t>
  </si>
  <si>
    <t>Бетон В7.5(подготовка)</t>
  </si>
  <si>
    <t>1,15</t>
  </si>
  <si>
    <t>20 9 3/ 11 6 58</t>
  </si>
  <si>
    <t>⌀14 A500C L= п.м.</t>
  </si>
  <si>
    <t>⌀12 A500C L= п.м.</t>
  </si>
  <si>
    <t>⌀12 A500C L=1480мм.</t>
  </si>
  <si>
    <t>⌀12 A500C L=870мм.</t>
  </si>
  <si>
    <t>⌀6 A-I(A240) L=245мм.</t>
  </si>
  <si>
    <t>Спм1_об</t>
  </si>
  <si>
    <t>_об</t>
  </si>
  <si>
    <t>20 9 3/ 11 7 1</t>
  </si>
  <si>
    <t>100*100</t>
  </si>
  <si>
    <t>Продольное армирование доп на опоре</t>
  </si>
  <si>
    <t>Хомуты от отгиба</t>
  </si>
  <si>
    <t>Хомуты</t>
  </si>
  <si>
    <t>Продольное армирование низ 1 слой</t>
  </si>
  <si>
    <t>Продольное армирование низ 2 слой</t>
  </si>
  <si>
    <t>Продольное армирование верх</t>
  </si>
  <si>
    <t>Балка монолитная Бм2</t>
  </si>
  <si>
    <t>Бм2</t>
  </si>
  <si>
    <t>Примыкание</t>
  </si>
  <si>
    <t>Расположение</t>
  </si>
  <si>
    <t>Тип армирования</t>
  </si>
  <si>
    <t>Высота, мм</t>
  </si>
  <si>
    <t>Ширина, мм</t>
  </si>
  <si>
    <t>до центра Защитный слой горизонт сбоку</t>
  </si>
  <si>
    <t>до центра Защитный слой  низ</t>
  </si>
  <si>
    <t>до центра Защитный слой верх</t>
  </si>
  <si>
    <t>шпилька</t>
  </si>
  <si>
    <t>Продольное армирование конструктивная</t>
  </si>
  <si>
    <t>Балка монолитная Бм1</t>
  </si>
  <si>
    <t>Бм1</t>
  </si>
  <si>
    <t>Бм_спец</t>
  </si>
  <si>
    <t>Му5</t>
  </si>
  <si>
    <t>⌀12 A500C L=200мм.</t>
  </si>
  <si>
    <t>Прочие элементы</t>
  </si>
  <si>
    <t>Сортаменты обновлёны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</si>
</sst>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0808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00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52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49" fontId="25" fillId="0" borderId="0" xfId="0" applyNumberFormat="1" applyFont="1" applyBorder="1" applyAlignment="1">
      <alignment horizontal="center" vertical="center" wrapText="1"/>
    </xf>
    <xf numFmtId="49" fontId="25" fillId="0" borderId="15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 shrinkToFi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 shrinkToFit="1"/>
    </xf>
    <xf numFmtId="49" fontId="25" fillId="0" borderId="17" xfId="0" applyNumberFormat="1" applyFont="1" applyFill="1" applyBorder="1" applyAlignment="1">
      <alignment horizontal="center" vertical="center" wrapText="1"/>
    </xf>
    <xf numFmtId="49" fontId="23" fillId="0" borderId="19" xfId="0" applyNumberFormat="1" applyFont="1" applyFill="1" applyBorder="1" applyAlignment="1">
      <alignment horizontal="center" vertical="center" wrapText="1" shrinkToFit="1"/>
    </xf>
    <xf numFmtId="49" fontId="25" fillId="0" borderId="19" xfId="0" applyNumberFormat="1" applyFont="1" applyFill="1" applyBorder="1" applyAlignment="1">
      <alignment horizontal="center" vertical="center" wrapText="1"/>
    </xf>
    <xf numFmtId="49" fontId="23" fillId="0" borderId="26" xfId="0" applyNumberFormat="1" applyFont="1" applyFill="1" applyBorder="1" applyAlignment="1">
      <alignment horizontal="center" vertical="center" wrapText="1" shrinkToFit="1"/>
    </xf>
    <xf numFmtId="49" fontId="25" fillId="0" borderId="26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textRotation="90" wrapText="1"/>
    </xf>
    <xf numFmtId="49" fontId="21" fillId="0" borderId="13" xfId="0" applyNumberFormat="1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33" borderId="10" xfId="0" applyFont="1" applyFill="1" applyBorder="1" applyAlignment="1">
      <alignment horizontal="center" vertical="center" wrapText="1"/>
    </xf>
    <xf numFmtId="0" fontId="21" fillId="33" borderId="11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4" borderId="10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6" borderId="10" xfId="0" applyFont="1" applyFill="1" applyBorder="1" applyAlignment="1">
      <alignment horizontal="center" vertical="center" wrapText="1"/>
    </xf>
    <xf numFmtId="0" fontId="21" fillId="35" borderId="10" xfId="0" applyFont="1" applyFill="1" applyBorder="1" applyAlignment="1">
      <alignment horizontal="center" vertical="center" wrapText="1"/>
    </xf>
    <xf numFmtId="0" fontId="21" fillId="37" borderId="10" xfId="0" applyFont="1" applyFill="1" applyBorder="1" applyAlignment="1">
      <alignment horizontal="center" vertical="center" wrapText="1"/>
    </xf>
    <xf numFmtId="0" fontId="21" fillId="38" borderId="13" xfId="0" applyFont="1" applyFill="1" applyBorder="1" applyAlignment="1">
      <alignment horizontal="center" vertical="center" wrapText="1"/>
    </xf>
    <xf numFmtId="0" fontId="21" fillId="38" borderId="10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0" xfId="0" applyFont="1" applyFill="1" applyBorder="1" applyAlignment="1">
      <alignment horizontal="center" vertical="center" wrapText="1"/>
    </xf>
    <xf numFmtId="0" fontId="21" fillId="39" borderId="11" xfId="0" applyFont="1" applyFill="1" applyBorder="1" applyAlignment="1">
      <alignment horizontal="center" vertical="center" wrapText="1"/>
    </xf>
    <xf numFmtId="0" fontId="21" fillId="40" borderId="33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2" fillId="0" borderId="16" xfId="0" applyFont="1" applyFill="1" applyBorder="1" applyAlignment="1">
      <alignment horizontal="center" vertical="center" wrapText="1"/>
    </xf>
    <xf numFmtId="0" fontId="22" fillId="0" borderId="17" xfId="0" applyFont="1" applyFill="1" applyBorder="1" applyAlignment="1">
      <alignment horizontal="center" vertical="center" wrapText="1"/>
    </xf>
    <xf numFmtId="0" fontId="22" fillId="0" borderId="18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shrinkToFit="1"/>
    </xf>
    <xf numFmtId="0" fontId="21" fillId="0" borderId="10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41" borderId="15" xfId="0" applyFont="1" applyFill="1" applyBorder="1" applyAlignment="1">
      <alignment horizontal="center" vertical="center" shrinkToFit="1"/>
    </xf>
    <xf numFmtId="0" fontId="22" fillId="0" borderId="36" xfId="0" applyFont="1" applyFill="1" applyBorder="1" applyAlignment="1">
      <alignment horizontal="center" vertical="center" wrapText="1"/>
    </xf>
    <xf numFmtId="0" fontId="22" fillId="0" borderId="37" xfId="0" applyFont="1" applyFill="1" applyBorder="1" applyAlignment="1">
      <alignment horizontal="center" vertical="center" shrinkToFit="1"/>
    </xf>
    <xf numFmtId="0" fontId="22" fillId="41" borderId="38" xfId="0" applyFont="1" applyFill="1" applyBorder="1" applyAlignment="1">
      <alignment horizontal="center" vertical="center" shrinkToFit="1"/>
    </xf>
    <xf numFmtId="0" fontId="21" fillId="42" borderId="15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34" borderId="12" xfId="0" applyFont="1" applyFill="1" applyBorder="1" applyAlignment="1">
      <alignment horizontal="center" vertical="center" wrapText="1"/>
    </xf>
    <xf numFmtId="0" fontId="21" fillId="43" borderId="14" xfId="0" applyFont="1" applyFill="1" applyBorder="1" applyAlignment="1">
      <alignment horizontal="center" vertical="center" wrapText="1"/>
    </xf>
    <xf numFmtId="0" fontId="21" fillId="43" borderId="10" xfId="0" applyFont="1" applyFill="1" applyBorder="1" applyAlignment="1">
      <alignment horizontal="center" vertical="center" wrapText="1"/>
    </xf>
    <xf numFmtId="0" fontId="21" fillId="43" borderId="11" xfId="0" applyFont="1" applyFill="1" applyBorder="1" applyAlignment="1">
      <alignment horizontal="center" vertical="center" wrapText="1"/>
    </xf>
    <xf numFmtId="0" fontId="21" fillId="44" borderId="10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49" fontId="23" fillId="0" borderId="24" xfId="0" applyNumberFormat="1" applyFont="1" applyFill="1" applyBorder="1" applyAlignment="1">
      <alignment horizontal="center" vertical="center" wrapText="1" shrinkToFit="1"/>
    </xf>
    <xf numFmtId="49" fontId="23" fillId="0" borderId="23" xfId="0" applyNumberFormat="1" applyFont="1" applyFill="1" applyBorder="1" applyAlignment="1">
      <alignment horizontal="center" vertical="center" wrapText="1" shrinkToFit="1"/>
    </xf>
    <xf numFmtId="49" fontId="23" fillId="0" borderId="22" xfId="0" applyNumberFormat="1" applyFont="1" applyFill="1" applyBorder="1" applyAlignment="1">
      <alignment horizontal="center" vertical="center" wrapText="1" shrinkToFi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25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5" fillId="0" borderId="16" xfId="0" applyNumberFormat="1" applyFont="1" applyFill="1" applyBorder="1" applyAlignment="1">
      <alignment horizontal="center" vertical="center" textRotation="90" wrapText="1"/>
    </xf>
    <xf numFmtId="49" fontId="25" fillId="0" borderId="11" xfId="0" applyNumberFormat="1" applyFont="1" applyFill="1" applyBorder="1" applyAlignment="1">
      <alignment horizontal="center" vertical="center" textRotation="90" wrapText="1"/>
    </xf>
    <xf numFmtId="49" fontId="25" fillId="0" borderId="20" xfId="0" applyNumberFormat="1" applyFont="1" applyFill="1" applyBorder="1" applyAlignment="1">
      <alignment horizontal="center" vertical="center" textRotation="90" wrapText="1"/>
    </xf>
    <xf numFmtId="49" fontId="25" fillId="0" borderId="18" xfId="0" applyNumberFormat="1" applyFont="1" applyFill="1" applyBorder="1" applyAlignment="1">
      <alignment horizontal="center" vertical="center" wrapText="1"/>
    </xf>
    <xf numFmtId="49" fontId="25" fillId="0" borderId="15" xfId="0" applyNumberFormat="1" applyFont="1" applyFill="1" applyBorder="1" applyAlignment="1">
      <alignment horizontal="center" vertical="center" wrapText="1"/>
    </xf>
    <xf numFmtId="49" fontId="25" fillId="0" borderId="23" xfId="0" applyNumberFormat="1" applyFont="1" applyFill="1" applyBorder="1" applyAlignment="1">
      <alignment horizontal="center" vertical="center" wrapText="1"/>
    </xf>
    <xf numFmtId="49" fontId="25" fillId="0" borderId="22" xfId="0" applyNumberFormat="1" applyFont="1" applyFill="1" applyBorder="1" applyAlignment="1">
      <alignment horizontal="center" vertical="center" wrapText="1"/>
    </xf>
    <xf numFmtId="49" fontId="25" fillId="0" borderId="19" xfId="0" applyNumberFormat="1" applyFont="1" applyFill="1" applyBorder="1" applyAlignment="1">
      <alignment horizontal="center" vertical="center" wrapText="1"/>
    </xf>
    <xf numFmtId="49" fontId="25" fillId="0" borderId="24" xfId="0" applyNumberFormat="1" applyFont="1" applyFill="1" applyBorder="1" applyAlignment="1">
      <alignment horizontal="center" vertical="center" wrapText="1"/>
    </xf>
    <xf numFmtId="49" fontId="23" fillId="0" borderId="19" xfId="0" applyNumberFormat="1" applyFont="1" applyFill="1" applyBorder="1" applyAlignment="1">
      <alignment horizontal="center" vertical="center" wrapText="1" shrinkToFit="1"/>
    </xf>
    <xf numFmtId="49" fontId="25" fillId="0" borderId="12" xfId="0" applyNumberFormat="1" applyFont="1" applyFill="1" applyBorder="1" applyAlignment="1">
      <alignment horizontal="center" vertical="center" wrapText="1"/>
    </xf>
    <xf numFmtId="49" fontId="25" fillId="0" borderId="13" xfId="0" applyNumberFormat="1" applyFont="1" applyFill="1" applyBorder="1" applyAlignment="1">
      <alignment horizontal="center" vertical="center" wrapText="1"/>
    </xf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6" xfId="0" applyNumberFormat="1" applyFont="1" applyFill="1" applyBorder="1" applyAlignment="1">
      <alignment horizontal="center" vertical="center" textRotation="90" wrapText="1"/>
    </xf>
    <xf numFmtId="49" fontId="21" fillId="0" borderId="12" xfId="0" applyNumberFormat="1" applyFont="1" applyFill="1" applyBorder="1" applyAlignment="1">
      <alignment horizontal="center" vertical="center" textRotation="90" wrapText="1"/>
    </xf>
    <xf numFmtId="49" fontId="21" fillId="0" borderId="13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49" fontId="25" fillId="0" borderId="16" xfId="0" applyNumberFormat="1" applyFont="1" applyFill="1" applyBorder="1" applyAlignment="1">
      <alignment horizontal="center" vertical="center" wrapText="1"/>
    </xf>
    <xf numFmtId="49" fontId="25" fillId="0" borderId="17" xfId="0" applyNumberFormat="1" applyFont="1" applyFill="1" applyBorder="1" applyAlignment="1">
      <alignment horizontal="center" vertical="center" wrapText="1"/>
    </xf>
    <xf numFmtId="49" fontId="25" fillId="0" borderId="27" xfId="0" applyNumberFormat="1" applyFont="1" applyFill="1" applyBorder="1" applyAlignment="1">
      <alignment horizontal="center" vertical="center" textRotation="90" wrapText="1"/>
    </xf>
    <xf numFmtId="0" fontId="22" fillId="0" borderId="11" xfId="0" applyFont="1" applyFill="1" applyBorder="1" applyAlignment="1">
      <alignment horizontal="center" vertical="center" wrapText="1"/>
    </xf>
    <xf numFmtId="0" fontId="22" fillId="0" borderId="10" xfId="0" applyFont="1" applyFill="1" applyBorder="1" applyAlignment="1">
      <alignment horizontal="center" vertical="center" wrapText="1"/>
    </xf>
    <xf numFmtId="0" fontId="22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textRotation="90" wrapText="1"/>
    </xf>
    <xf numFmtId="0" fontId="21" fillId="0" borderId="10" xfId="0" applyFont="1" applyFill="1" applyBorder="1" applyAlignment="1">
      <alignment horizontal="center" vertical="center" textRotation="90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54"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uvbur\YandexDisk\&#1056;&#1072;&#1073;&#1086;&#1090;&#1072;\material-specification\&#1057;&#1087;&#1077;&#1094;-&#1050;&#1046;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Пм1_спец"/>
      <sheetName val="Изделия_спец.И"/>
      <sheetName val="Бм_спец"/>
      <sheetName val="из архикада Стены"/>
      <sheetName val="из архикада Плиты"/>
      <sheetName val="из архикада Колонны"/>
      <sheetName val="из архикада Балки"/>
      <sheetName val="из архикада Ведомость отверстий"/>
      <sheetName val="Пм1_кж"/>
      <sheetName val="Пм1_об"/>
      <sheetName val="Стремянки_об"/>
      <sheetName val="Бм_об"/>
      <sheetName val="Бм_кж"/>
      <sheetName val="Щиты_об"/>
      <sheetName val="Щиты"/>
      <sheetName val="Пандус_об"/>
      <sheetName val="Пдм1_об"/>
      <sheetName val="Пдм1_кж"/>
      <sheetName val="!System"/>
    </sheetNames>
    <sheetDataSet>
      <sheetData sheetId="0" refreshError="1"/>
      <sheetData sheetId="1" refreshError="1"/>
      <sheetData sheetId="2" refreshError="1"/>
      <sheetData sheetId="3">
        <row r="5">
          <cell r="A5" t="str">
            <v>Кр1</v>
          </cell>
          <cell r="C5" t="str">
            <v xml:space="preserve"> </v>
          </cell>
          <cell r="D5" t="str">
            <v>Каркас Кр1</v>
          </cell>
        </row>
        <row r="9">
          <cell r="A9" t="str">
            <v>Кр2</v>
          </cell>
          <cell r="C9" t="str">
            <v xml:space="preserve"> </v>
          </cell>
          <cell r="D9" t="str">
            <v>Каркас Кр2</v>
          </cell>
        </row>
        <row r="13">
          <cell r="A13" t="str">
            <v>Кр3</v>
          </cell>
          <cell r="C13" t="str">
            <v xml:space="preserve"> </v>
          </cell>
          <cell r="D13" t="str">
            <v>Каркас Кр3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0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3271</v>
      </c>
      <c r="G2" s="7">
        <v>1</v>
      </c>
      <c r="H2" s="7" t="s">
        <v>3141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C3" s="8" t="s">
        <v>3140</v>
      </c>
      <c r="G3" s="7">
        <v>1.1499999999999999</v>
      </c>
      <c r="H3" s="7" t="s">
        <v>3141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C4" s="8" t="s">
        <v>3142</v>
      </c>
      <c r="G4" s="7">
        <v>1.1499999999999999</v>
      </c>
      <c r="H4" s="7" t="s">
        <v>3141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3143</v>
      </c>
      <c r="G5" s="7">
        <v>1.1499999999999999</v>
      </c>
      <c r="H5" s="7" t="s">
        <v>3141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E6" s="8" t="s">
        <v>3144</v>
      </c>
      <c r="G6" s="7">
        <v>1.1499999999999999</v>
      </c>
      <c r="H6" s="7" t="s">
        <v>3141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C7" s="8" t="s">
        <v>3145</v>
      </c>
      <c r="G7" s="7">
        <v>1.1499999999999999</v>
      </c>
      <c r="H7" s="7" t="s">
        <v>3141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E8" s="8" t="s">
        <v>3146</v>
      </c>
      <c r="G8" s="7">
        <v>1.1499999999999999</v>
      </c>
      <c r="H8" s="7" t="s">
        <v>3141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C9" s="8" t="s">
        <v>3147</v>
      </c>
      <c r="G9" s="7">
        <v>1.1499999999999999</v>
      </c>
      <c r="H9" s="7" t="s">
        <v>3141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0</v>
      </c>
      <c r="U9" s="7" t="b">
        <v>0</v>
      </c>
      <c r="V9" s="7" t="b">
        <v>0</v>
      </c>
    </row>
    <row r="10" spans="1:22" x14ac:dyDescent="0.25">
      <c r="D10" s="8" t="s">
        <v>3148</v>
      </c>
      <c r="G10" s="7">
        <v>1.1499999999999999</v>
      </c>
      <c r="H10" s="7" t="s">
        <v>3141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0</v>
      </c>
      <c r="O10" s="7" t="b">
        <v>1</v>
      </c>
      <c r="P10" s="7" t="b">
        <v>1</v>
      </c>
      <c r="Q10" s="7" t="b">
        <v>0</v>
      </c>
      <c r="R10" s="7" t="b">
        <v>0</v>
      </c>
      <c r="S10" s="7" t="b">
        <v>1</v>
      </c>
      <c r="T10" s="7" t="b">
        <v>0</v>
      </c>
      <c r="U10" s="7" t="b">
        <v>0</v>
      </c>
      <c r="V10" s="7" t="b">
        <v>0</v>
      </c>
    </row>
    <row r="11" spans="1:22" x14ac:dyDescent="0.25">
      <c r="E11" s="8" t="s">
        <v>3237</v>
      </c>
      <c r="G11" s="7">
        <v>1</v>
      </c>
      <c r="H11" s="7" t="s">
        <v>3141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0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0</v>
      </c>
    </row>
    <row r="12" spans="1:22" x14ac:dyDescent="0.25">
      <c r="E12" s="8" t="s">
        <v>3116</v>
      </c>
      <c r="G12" s="7">
        <v>1.1499999999999999</v>
      </c>
      <c r="H12" s="7" t="s">
        <v>3141</v>
      </c>
      <c r="I12" s="7" t="b">
        <v>0</v>
      </c>
      <c r="J12" s="7" t="b">
        <v>0</v>
      </c>
      <c r="K12" s="7" t="b">
        <v>0</v>
      </c>
      <c r="L12" s="7" t="b">
        <v>0</v>
      </c>
      <c r="M12" s="7" t="b">
        <v>1</v>
      </c>
      <c r="N12" s="7" t="b">
        <v>0</v>
      </c>
      <c r="O12" s="7" t="b">
        <v>1</v>
      </c>
      <c r="P12" s="7" t="b">
        <v>1</v>
      </c>
      <c r="Q12" s="7" t="b">
        <v>0</v>
      </c>
      <c r="R12" s="7" t="b">
        <v>0</v>
      </c>
      <c r="S12" s="7" t="b">
        <v>1</v>
      </c>
      <c r="T12" s="7" t="b">
        <v>0</v>
      </c>
      <c r="U12" s="7" t="b">
        <v>0</v>
      </c>
      <c r="V12" s="7" t="b">
        <v>0</v>
      </c>
    </row>
    <row r="13" spans="1:22" x14ac:dyDescent="0.25">
      <c r="D13" s="8" t="s">
        <v>3139</v>
      </c>
      <c r="G13" s="7">
        <v>1.1499999999999999</v>
      </c>
      <c r="H13" s="7" t="s">
        <v>3149</v>
      </c>
      <c r="I13" s="7" t="b">
        <v>0</v>
      </c>
      <c r="J13" s="7" t="b">
        <v>0</v>
      </c>
      <c r="K13" s="7" t="b">
        <v>0</v>
      </c>
      <c r="L13" s="7" t="b">
        <v>0</v>
      </c>
      <c r="M13" s="7" t="b">
        <v>1</v>
      </c>
      <c r="N13" s="7" t="b">
        <v>0</v>
      </c>
      <c r="O13" s="7" t="b">
        <v>1</v>
      </c>
      <c r="P13" s="7" t="b">
        <v>1</v>
      </c>
      <c r="Q13" s="7" t="b">
        <v>0</v>
      </c>
      <c r="R13" s="7" t="b">
        <v>0</v>
      </c>
      <c r="S13" s="7" t="b">
        <v>1</v>
      </c>
      <c r="T13" s="7" t="b">
        <v>0</v>
      </c>
      <c r="U13" s="7" t="b">
        <v>0</v>
      </c>
      <c r="V13" s="7" t="b">
        <v>1</v>
      </c>
    </row>
    <row r="14" spans="1:22" x14ac:dyDescent="0.25">
      <c r="C14" s="8" t="s">
        <v>3165</v>
      </c>
      <c r="G14" s="7">
        <v>1.1499999999999999</v>
      </c>
      <c r="H14" s="7" t="s">
        <v>3167</v>
      </c>
      <c r="I14" s="7" t="b">
        <v>0</v>
      </c>
      <c r="J14" s="7" t="b">
        <v>0</v>
      </c>
      <c r="K14" s="7" t="b">
        <v>0</v>
      </c>
      <c r="L14" s="7" t="b">
        <v>0</v>
      </c>
      <c r="M14" s="7" t="b">
        <v>1</v>
      </c>
      <c r="N14" s="7" t="b">
        <v>0</v>
      </c>
      <c r="O14" s="7" t="b">
        <v>1</v>
      </c>
      <c r="P14" s="7" t="b">
        <v>1</v>
      </c>
      <c r="Q14" s="7" t="b">
        <v>0</v>
      </c>
      <c r="R14" s="7" t="b">
        <v>0</v>
      </c>
      <c r="S14" s="7" t="b">
        <v>1</v>
      </c>
      <c r="T14" s="7" t="b">
        <v>0</v>
      </c>
      <c r="U14" s="7" t="b">
        <v>0</v>
      </c>
      <c r="V14" s="7" t="b">
        <v>1</v>
      </c>
    </row>
    <row r="15" spans="1:22" x14ac:dyDescent="0.25">
      <c r="D15" s="8" t="s">
        <v>3187</v>
      </c>
      <c r="G15" s="7">
        <v>1.1499999999999999</v>
      </c>
      <c r="H15" s="7" t="s">
        <v>3188</v>
      </c>
      <c r="I15" s="7" t="b">
        <v>0</v>
      </c>
      <c r="J15" s="7" t="b">
        <v>0</v>
      </c>
      <c r="K15" s="7" t="b">
        <v>0</v>
      </c>
      <c r="L15" s="7" t="b">
        <v>0</v>
      </c>
      <c r="M15" s="7" t="b">
        <v>1</v>
      </c>
      <c r="N15" s="7" t="b">
        <v>0</v>
      </c>
      <c r="O15" s="7" t="b">
        <v>1</v>
      </c>
      <c r="P15" s="7" t="b">
        <v>1</v>
      </c>
      <c r="Q15" s="7" t="b">
        <v>0</v>
      </c>
      <c r="R15" s="7" t="b">
        <v>0</v>
      </c>
      <c r="S15" s="7" t="b">
        <v>1</v>
      </c>
      <c r="T15" s="7" t="b">
        <v>0</v>
      </c>
      <c r="U15" s="7" t="b">
        <v>0</v>
      </c>
      <c r="V15" s="7" t="b">
        <v>1</v>
      </c>
    </row>
    <row r="16" spans="1:22" x14ac:dyDescent="0.25">
      <c r="D16" s="8" t="s">
        <v>3091</v>
      </c>
      <c r="G16" s="7" t="s">
        <v>3240</v>
      </c>
      <c r="H16" s="7" t="s">
        <v>3241</v>
      </c>
      <c r="I16" s="7" t="b">
        <v>0</v>
      </c>
      <c r="J16" s="7" t="b">
        <v>0</v>
      </c>
      <c r="K16" s="7" t="b">
        <v>0</v>
      </c>
      <c r="L16" s="7" t="b">
        <v>0</v>
      </c>
      <c r="M16" s="7" t="b">
        <v>1</v>
      </c>
      <c r="N16" s="7" t="b">
        <v>0</v>
      </c>
      <c r="O16" s="7" t="b">
        <v>1</v>
      </c>
      <c r="P16" s="7" t="b">
        <v>1</v>
      </c>
      <c r="Q16" s="7" t="b">
        <v>0</v>
      </c>
      <c r="R16" s="7" t="b">
        <v>0</v>
      </c>
      <c r="S16" s="7" t="b">
        <v>1</v>
      </c>
      <c r="T16" s="7" t="b">
        <v>0</v>
      </c>
      <c r="U16" s="7" t="b">
        <v>0</v>
      </c>
      <c r="V16" s="7" t="b">
        <v>1</v>
      </c>
    </row>
    <row r="17" spans="1:22" x14ac:dyDescent="0.25">
      <c r="D17" s="8" t="s">
        <v>3247</v>
      </c>
      <c r="G17" s="7" t="s">
        <v>3240</v>
      </c>
      <c r="H17" s="7" t="s">
        <v>3249</v>
      </c>
      <c r="I17" s="7" t="b">
        <v>0</v>
      </c>
      <c r="J17" s="7" t="b">
        <v>0</v>
      </c>
      <c r="K17" s="7" t="b">
        <v>0</v>
      </c>
      <c r="L17" s="7" t="b">
        <v>0</v>
      </c>
      <c r="M17" s="7" t="b">
        <v>1</v>
      </c>
      <c r="N17" s="7" t="b">
        <v>0</v>
      </c>
      <c r="O17" s="7" t="b">
        <v>1</v>
      </c>
      <c r="P17" s="7" t="b">
        <v>1</v>
      </c>
      <c r="Q17" s="7" t="b">
        <v>0</v>
      </c>
      <c r="R17" s="7" t="b">
        <v>0</v>
      </c>
      <c r="S17" s="7" t="b">
        <v>1</v>
      </c>
      <c r="T17" s="7" t="b">
        <v>0</v>
      </c>
      <c r="U17" s="7" t="b">
        <v>0</v>
      </c>
      <c r="V17" s="7" t="b">
        <v>1</v>
      </c>
    </row>
    <row r="18" spans="1:22" x14ac:dyDescent="0.25">
      <c r="B18" s="8" t="s">
        <v>2373</v>
      </c>
    </row>
    <row r="19" spans="1:22" x14ac:dyDescent="0.25">
      <c r="A19" s="8" t="s">
        <v>25</v>
      </c>
    </row>
    <row r="20" spans="1:22" x14ac:dyDescent="0.25">
      <c r="A20" s="8" t="s">
        <v>24</v>
      </c>
    </row>
  </sheetData>
  <sortState ref="A2:V20">
    <sortCondition ref="H2:H600"/>
  </sortState>
  <conditionalFormatting sqref="A1:V1048576">
    <cfRule type="containsText" dxfId="253" priority="7" operator="containsText" text="_спец">
      <formula>NOT(ISERROR(SEARCH("_спец",A1)))</formula>
    </cfRule>
    <cfRule type="containsText" dxfId="252" priority="6" operator="containsText" text="!">
      <formula>NOT(ISERROR(SEARCH("!",A1)))</formula>
    </cfRule>
    <cfRule type="expression" dxfId="251" priority="5">
      <formula>LEN(TRIM(A1))=0</formula>
    </cfRule>
    <cfRule type="containsText" dxfId="250" priority="4" operator="containsText" text="|">
      <formula>NOT(ISERROR(SEARCH("|",A1)))</formula>
    </cfRule>
    <cfRule type="containsText" dxfId="249" priority="3" operator="containsText" text="_кж">
      <formula>NOT(ISERROR(SEARCH("_кж",A1)))</formula>
    </cfRule>
    <cfRule type="containsText" dxfId="248" priority="2" operator="containsText" text="_км">
      <formula>NOT(ISERROR(SEARCH("_км",A1)))</formula>
    </cfRule>
    <cfRule type="containsText" dxfId="247" priority="1" operator="containsText" text="_поз">
      <formula>NOT(ISERROR(SEARCH("_поз",A1)))</formula>
    </cfRule>
  </conditionalFormatting>
  <hyperlinks>
    <hyperlink ref="B18" location="'!System'!B2" display="'!System'!B2"/>
    <hyperlink ref="A19" location="'|Лог|'!A1" display="'|Лог|'!A1"/>
    <hyperlink ref="A20" location="'|Содержание|'!A1" display="'|Содержание|'!A1"/>
    <hyperlink ref="E2" location="'Бм_спец'!E3" display="'Бм_спец'!E3"/>
    <hyperlink ref="C3" location="'Ведомость отделки фасадов'!C3" display="'Ведомость отделки фасадов'!C3"/>
    <hyperlink ref="C4" location="'Изделия_спец.И'!C3" display="'Изделия_спец.И'!C3"/>
    <hyperlink ref="D5" location="'Кровля_об'!D4" display="'Кровля_об'!D4"/>
    <hyperlink ref="E6" location="'Кровля_спец'!E3" display="'Кровля_спец'!E3"/>
    <hyperlink ref="C7" location="'Отделка_вед'!C3" display="'Отделка_вед'!C3"/>
    <hyperlink ref="E8" location="'Отделка_правила'!E3" display="'Отделка_правила'!E3"/>
    <hyperlink ref="C9" location="'Отделка_экспл'!C3" display="'Отделка_экспл'!C3"/>
    <hyperlink ref="D10" location="'Пандус_об'!D4" display="'Пандус_об'!D4"/>
    <hyperlink ref="E11" location="'Пдм1_спец'!E3" display="'Пдм1_спец'!E3"/>
    <hyperlink ref="D16" location="'Спм1'!D4" display="'Спм1'!D4"/>
    <hyperlink ref="D13" location="'Спм1_гр'!D4" display="'Спм1_гр'!D4"/>
    <hyperlink ref="D15" location="'Спм1_кж'!D4" display="'Спм1_кж'!D4"/>
    <hyperlink ref="C14" location="'Спм1_норм'!C3" display="'Спм1_норм'!C3"/>
    <hyperlink ref="D17" location="'Спм1_об'!D4" display="'Спм1_об'!D4"/>
    <hyperlink ref="E12" location="'Спм1_спец'!E3" display="'Сп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47" workbookViewId="0">
      <selection activeCell="C479" sqref="C479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44003.613136574073</v>
      </c>
      <c r="B2" s="1" t="s">
        <v>2584</v>
      </c>
      <c r="C2" s="1" t="s">
        <v>2912</v>
      </c>
      <c r="D2" s="1" t="s">
        <v>2900</v>
      </c>
      <c r="E2" s="1" t="s">
        <v>2585</v>
      </c>
      <c r="F2" s="1">
        <v>3.87</v>
      </c>
      <c r="G2" s="1">
        <v>3.97</v>
      </c>
      <c r="H2" s="1">
        <v>3.26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44003.613182870373</v>
      </c>
      <c r="B3" s="1" t="s">
        <v>2584</v>
      </c>
      <c r="C3" s="1" t="s">
        <v>2914</v>
      </c>
      <c r="D3" s="1" t="s">
        <v>2901</v>
      </c>
      <c r="E3" s="10" t="s">
        <v>2585</v>
      </c>
      <c r="F3" s="1">
        <v>3.87</v>
      </c>
      <c r="G3" s="1">
        <v>3.97</v>
      </c>
      <c r="H3" s="1">
        <v>3.26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44026.657916666663</v>
      </c>
      <c r="B4" s="1" t="s">
        <v>2584</v>
      </c>
      <c r="C4" s="1" t="s">
        <v>3116</v>
      </c>
      <c r="D4" s="1" t="s">
        <v>3117</v>
      </c>
      <c r="E4" s="10">
        <v>0</v>
      </c>
      <c r="F4" s="1">
        <v>3.88</v>
      </c>
      <c r="G4" s="1">
        <v>3.97</v>
      </c>
      <c r="H4" s="1">
        <v>3.26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44026.65797453704</v>
      </c>
      <c r="B5" s="1" t="s">
        <v>2584</v>
      </c>
      <c r="C5" s="1" t="s">
        <v>3116</v>
      </c>
      <c r="D5" s="1" t="s">
        <v>3117</v>
      </c>
      <c r="E5" s="1">
        <v>0</v>
      </c>
      <c r="F5" s="1">
        <v>3.88</v>
      </c>
      <c r="G5" s="1">
        <v>3.97</v>
      </c>
      <c r="H5" s="1">
        <v>3.26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44026.658043981479</v>
      </c>
      <c r="B6" s="1" t="s">
        <v>2584</v>
      </c>
      <c r="C6" s="1"/>
      <c r="D6" s="1" t="s">
        <v>3115</v>
      </c>
      <c r="E6" s="1" t="s">
        <v>3118</v>
      </c>
      <c r="F6" s="1">
        <v>3.88</v>
      </c>
      <c r="G6" s="1">
        <v>3.97</v>
      </c>
      <c r="H6" s="1">
        <v>3.26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44026.658043981479</v>
      </c>
      <c r="B7" s="1" t="s">
        <v>2584</v>
      </c>
      <c r="C7" s="1"/>
      <c r="D7" s="1" t="s">
        <v>3107</v>
      </c>
      <c r="E7" s="1" t="s">
        <v>3119</v>
      </c>
      <c r="F7" s="1">
        <v>3.88</v>
      </c>
      <c r="G7" s="1">
        <v>3.97</v>
      </c>
      <c r="H7" s="1">
        <v>3.26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44026.658043981479</v>
      </c>
      <c r="B8" s="1" t="s">
        <v>2584</v>
      </c>
      <c r="C8" s="1" t="s">
        <v>3139</v>
      </c>
      <c r="D8" s="1" t="s">
        <v>2900</v>
      </c>
      <c r="E8" s="10" t="s">
        <v>2585</v>
      </c>
      <c r="F8" s="1">
        <v>3.88</v>
      </c>
      <c r="G8" s="1">
        <v>3.97</v>
      </c>
      <c r="H8" s="1">
        <v>3.26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44026.660127314812</v>
      </c>
      <c r="B9" s="1" t="s">
        <v>2584</v>
      </c>
      <c r="C9" s="1"/>
      <c r="D9" s="1" t="s">
        <v>3115</v>
      </c>
      <c r="E9" s="10" t="s">
        <v>3118</v>
      </c>
      <c r="F9" s="1">
        <v>3.88</v>
      </c>
      <c r="G9" s="1">
        <v>3.97</v>
      </c>
      <c r="H9" s="1">
        <v>3.26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44026.660127314812</v>
      </c>
      <c r="B10" s="1" t="s">
        <v>2584</v>
      </c>
      <c r="C10" s="1"/>
      <c r="D10" s="1" t="s">
        <v>3115</v>
      </c>
      <c r="E10" s="10" t="s">
        <v>3118</v>
      </c>
      <c r="F10" s="1">
        <v>3.88</v>
      </c>
      <c r="G10" s="1">
        <v>3.97</v>
      </c>
      <c r="H10" s="1">
        <v>3.26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44026.660127314812</v>
      </c>
      <c r="B11" s="1" t="s">
        <v>2584</v>
      </c>
      <c r="C11" s="1"/>
      <c r="D11" s="1" t="s">
        <v>3107</v>
      </c>
      <c r="E11" s="10" t="s">
        <v>3119</v>
      </c>
      <c r="F11" s="1">
        <v>3.88</v>
      </c>
      <c r="G11" s="1">
        <v>3.97</v>
      </c>
      <c r="H11" s="1">
        <v>3.26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44026.660127314812</v>
      </c>
      <c r="B12" s="1" t="s">
        <v>2584</v>
      </c>
      <c r="C12" s="1"/>
      <c r="D12" s="1" t="s">
        <v>3107</v>
      </c>
      <c r="E12" s="1" t="s">
        <v>3119</v>
      </c>
      <c r="F12" s="1">
        <v>3.88</v>
      </c>
      <c r="G12" s="1">
        <v>3.97</v>
      </c>
      <c r="H12" s="1">
        <v>3.26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44026.660138888888</v>
      </c>
      <c r="B13" s="1" t="s">
        <v>2584</v>
      </c>
      <c r="C13" s="1" t="s">
        <v>3139</v>
      </c>
      <c r="D13" s="1" t="s">
        <v>2900</v>
      </c>
      <c r="E13" s="1" t="s">
        <v>2585</v>
      </c>
      <c r="F13" s="1">
        <v>3.88</v>
      </c>
      <c r="G13" s="1">
        <v>3.97</v>
      </c>
      <c r="H13" s="1">
        <v>3.26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44026.660196759258</v>
      </c>
      <c r="B14" s="1" t="s">
        <v>2584</v>
      </c>
      <c r="C14" s="1" t="s">
        <v>3116</v>
      </c>
      <c r="D14" s="1" t="s">
        <v>3117</v>
      </c>
      <c r="E14" s="1">
        <v>0</v>
      </c>
      <c r="F14" s="1">
        <v>3.88</v>
      </c>
      <c r="G14" s="1">
        <v>3.97</v>
      </c>
      <c r="H14" s="1">
        <v>3.26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1</v>
      </c>
      <c r="N14" s="1" t="b">
        <v>1</v>
      </c>
      <c r="O14" s="1" t="b">
        <v>0</v>
      </c>
    </row>
    <row r="15" spans="1:15" ht="15.95" customHeight="1" x14ac:dyDescent="0.25">
      <c r="A15" s="4">
        <v>44026.660208333335</v>
      </c>
      <c r="B15" s="1" t="s">
        <v>2584</v>
      </c>
      <c r="C15" s="1"/>
      <c r="D15" s="1" t="s">
        <v>3107</v>
      </c>
      <c r="E15" s="10" t="s">
        <v>3119</v>
      </c>
      <c r="F15" s="1">
        <v>3.88</v>
      </c>
      <c r="G15" s="1">
        <v>3.97</v>
      </c>
      <c r="H15" s="1">
        <v>3.26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1</v>
      </c>
      <c r="N15" s="1" t="b">
        <v>1</v>
      </c>
      <c r="O15" s="1" t="b">
        <v>0</v>
      </c>
    </row>
    <row r="16" spans="1:15" ht="15.95" customHeight="1" x14ac:dyDescent="0.25">
      <c r="A16" s="4">
        <v>44026.660208333335</v>
      </c>
      <c r="B16" s="1" t="s">
        <v>2584</v>
      </c>
      <c r="C16" s="1"/>
      <c r="D16" s="1" t="s">
        <v>3107</v>
      </c>
      <c r="E16" s="10" t="s">
        <v>3119</v>
      </c>
      <c r="F16" s="1">
        <v>3.88</v>
      </c>
      <c r="G16" s="1">
        <v>3.97</v>
      </c>
      <c r="H16" s="1">
        <v>3.26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1</v>
      </c>
      <c r="N16" s="1" t="b">
        <v>1</v>
      </c>
      <c r="O16" s="1" t="b">
        <v>0</v>
      </c>
    </row>
    <row r="17" spans="1:15" ht="15.95" customHeight="1" x14ac:dyDescent="0.25">
      <c r="A17" s="4">
        <v>44026.660208333335</v>
      </c>
      <c r="B17" s="1" t="s">
        <v>2584</v>
      </c>
      <c r="C17" s="1" t="s">
        <v>3139</v>
      </c>
      <c r="D17" s="1"/>
      <c r="E17" s="1" t="s">
        <v>2585</v>
      </c>
      <c r="F17" s="1">
        <v>3.88</v>
      </c>
      <c r="G17" s="1">
        <v>3.97</v>
      </c>
      <c r="H17" s="1">
        <v>3.26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1</v>
      </c>
      <c r="N17" s="1" t="b">
        <v>1</v>
      </c>
      <c r="O17" s="1" t="b">
        <v>0</v>
      </c>
    </row>
    <row r="18" spans="1:15" ht="15.95" customHeight="1" x14ac:dyDescent="0.25">
      <c r="A18" s="4">
        <v>44026.704872685186</v>
      </c>
      <c r="B18" s="1" t="s">
        <v>2584</v>
      </c>
      <c r="C18" s="1" t="s">
        <v>3116</v>
      </c>
      <c r="D18" s="1" t="s">
        <v>3117</v>
      </c>
      <c r="E18" s="10">
        <v>0</v>
      </c>
      <c r="F18" s="1">
        <v>3.88</v>
      </c>
      <c r="G18" s="1">
        <v>3.97</v>
      </c>
      <c r="H18" s="1">
        <v>3.26</v>
      </c>
      <c r="I18" s="1">
        <v>0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44028.591249999998</v>
      </c>
      <c r="B19" s="1" t="s">
        <v>2584</v>
      </c>
      <c r="C19" s="1" t="s">
        <v>3116</v>
      </c>
      <c r="D19" s="1" t="s">
        <v>3117</v>
      </c>
      <c r="E19" s="1">
        <v>0</v>
      </c>
      <c r="F19" s="1">
        <v>3.88</v>
      </c>
      <c r="G19" s="1">
        <v>3.97</v>
      </c>
      <c r="H19" s="1">
        <v>3.26</v>
      </c>
      <c r="I19" s="1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44028.592800925922</v>
      </c>
      <c r="B20" s="1" t="s">
        <v>2584</v>
      </c>
      <c r="C20" s="1" t="s">
        <v>3116</v>
      </c>
      <c r="D20" s="1" t="s">
        <v>3117</v>
      </c>
      <c r="E20" s="1">
        <v>0</v>
      </c>
      <c r="F20" s="1">
        <v>3.88</v>
      </c>
      <c r="G20" s="1">
        <v>3.97</v>
      </c>
      <c r="H20" s="1">
        <v>3.26</v>
      </c>
      <c r="I20" s="1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44028.592974537038</v>
      </c>
      <c r="B21" s="1" t="s">
        <v>2584</v>
      </c>
      <c r="C21" s="1" t="s">
        <v>3116</v>
      </c>
      <c r="D21" s="1" t="s">
        <v>3117</v>
      </c>
      <c r="E21" s="1">
        <v>0</v>
      </c>
      <c r="F21" s="1">
        <v>3.88</v>
      </c>
      <c r="G21" s="1">
        <v>3.97</v>
      </c>
      <c r="H21" s="1">
        <v>3.26</v>
      </c>
      <c r="I21" s="1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44028.592974537038</v>
      </c>
      <c r="B22" s="1" t="s">
        <v>2584</v>
      </c>
      <c r="C22" s="1" t="s">
        <v>3116</v>
      </c>
      <c r="D22" s="1" t="s">
        <v>2585</v>
      </c>
      <c r="E22" s="1" t="s">
        <v>3156</v>
      </c>
      <c r="F22" s="1">
        <v>3.88</v>
      </c>
      <c r="G22" s="1">
        <v>3.97</v>
      </c>
      <c r="H22" s="1">
        <v>3.26</v>
      </c>
      <c r="I22" s="1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44028.593055555553</v>
      </c>
      <c r="B23" s="1" t="s">
        <v>2584</v>
      </c>
      <c r="C23" s="1" t="s">
        <v>3116</v>
      </c>
      <c r="D23" s="1" t="s">
        <v>3117</v>
      </c>
      <c r="E23" s="10">
        <v>0</v>
      </c>
      <c r="F23" s="1">
        <v>3.88</v>
      </c>
      <c r="G23" s="1">
        <v>3.97</v>
      </c>
      <c r="H23" s="1">
        <v>3.26</v>
      </c>
      <c r="I23" s="1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44028.593055555553</v>
      </c>
      <c r="B24" s="1" t="s">
        <v>2584</v>
      </c>
      <c r="C24" s="1" t="s">
        <v>3116</v>
      </c>
      <c r="D24" s="1" t="s">
        <v>2585</v>
      </c>
      <c r="E24" s="1" t="s">
        <v>3157</v>
      </c>
      <c r="F24" s="1">
        <v>3.88</v>
      </c>
      <c r="G24" s="1">
        <v>3.97</v>
      </c>
      <c r="H24" s="1">
        <v>3.26</v>
      </c>
      <c r="I24" s="1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44074.690266203703</v>
      </c>
      <c r="B25" s="1" t="s">
        <v>2584</v>
      </c>
      <c r="C25" s="1" t="s">
        <v>3116</v>
      </c>
      <c r="D25" s="1" t="s">
        <v>3117</v>
      </c>
      <c r="E25" s="10">
        <v>0</v>
      </c>
      <c r="F25" s="1">
        <v>3.88</v>
      </c>
      <c r="G25" s="1">
        <v>3.97</v>
      </c>
      <c r="H25" s="1">
        <v>3.27</v>
      </c>
      <c r="I25" s="1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44074.690462962964</v>
      </c>
      <c r="B26" s="1" t="s">
        <v>2584</v>
      </c>
      <c r="C26" s="1" t="s">
        <v>3116</v>
      </c>
      <c r="D26" s="1" t="s">
        <v>3117</v>
      </c>
      <c r="E26" s="1">
        <v>0</v>
      </c>
      <c r="F26" s="1">
        <v>3.88</v>
      </c>
      <c r="G26" s="1">
        <v>3.97</v>
      </c>
      <c r="H26" s="1">
        <v>3.27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44074.690613425926</v>
      </c>
      <c r="B27" s="1" t="s">
        <v>2584</v>
      </c>
      <c r="C27" s="1" t="s">
        <v>3116</v>
      </c>
      <c r="D27" s="1" t="s">
        <v>3117</v>
      </c>
      <c r="E27" s="1">
        <v>0</v>
      </c>
      <c r="F27" s="1">
        <v>3.88</v>
      </c>
      <c r="G27" s="1">
        <v>3.97</v>
      </c>
      <c r="H27" s="1">
        <v>3.27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44074.690925925926</v>
      </c>
      <c r="B28" s="1" t="s">
        <v>2584</v>
      </c>
      <c r="C28" s="1" t="s">
        <v>3116</v>
      </c>
      <c r="D28" s="1" t="s">
        <v>3117</v>
      </c>
      <c r="E28" s="1">
        <v>0</v>
      </c>
      <c r="F28" s="1">
        <v>3.88</v>
      </c>
      <c r="G28" s="1">
        <v>3.97</v>
      </c>
      <c r="H28" s="1">
        <v>3.27</v>
      </c>
      <c r="I28" s="1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44074.691157407404</v>
      </c>
      <c r="B29" s="1" t="s">
        <v>2584</v>
      </c>
      <c r="C29" s="1"/>
      <c r="D29" s="1" t="s">
        <v>3115</v>
      </c>
      <c r="E29" s="1" t="s">
        <v>3118</v>
      </c>
      <c r="F29" s="1">
        <v>3.88</v>
      </c>
      <c r="G29" s="1">
        <v>3.97</v>
      </c>
      <c r="H29" s="1">
        <v>3.27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44074.691157407404</v>
      </c>
      <c r="B30" s="1" t="s">
        <v>2584</v>
      </c>
      <c r="C30" s="1"/>
      <c r="D30" s="1" t="s">
        <v>3115</v>
      </c>
      <c r="E30" s="10" t="s">
        <v>3118</v>
      </c>
      <c r="F30" s="1">
        <v>3.88</v>
      </c>
      <c r="G30" s="1">
        <v>3.97</v>
      </c>
      <c r="H30" s="1">
        <v>3.27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44074.691157407404</v>
      </c>
      <c r="B31" s="1" t="s">
        <v>2584</v>
      </c>
      <c r="C31" s="1"/>
      <c r="D31" s="1" t="s">
        <v>3107</v>
      </c>
      <c r="E31" s="1" t="s">
        <v>3119</v>
      </c>
      <c r="F31" s="1">
        <v>3.88</v>
      </c>
      <c r="G31" s="1">
        <v>3.97</v>
      </c>
      <c r="H31" s="1">
        <v>3.27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44074.691157407404</v>
      </c>
      <c r="B32" s="1" t="s">
        <v>2584</v>
      </c>
      <c r="C32" s="1"/>
      <c r="D32" s="1" t="s">
        <v>3107</v>
      </c>
      <c r="E32" s="10" t="s">
        <v>3119</v>
      </c>
      <c r="F32" s="1">
        <v>3.88</v>
      </c>
      <c r="G32" s="1">
        <v>3.97</v>
      </c>
      <c r="H32" s="1">
        <v>3.27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44074.691157407404</v>
      </c>
      <c r="B33" s="1" t="s">
        <v>2584</v>
      </c>
      <c r="C33" s="1" t="s">
        <v>3139</v>
      </c>
      <c r="D33" s="1" t="s">
        <v>2900</v>
      </c>
      <c r="E33" s="1" t="s">
        <v>2585</v>
      </c>
      <c r="F33" s="1">
        <v>3.88</v>
      </c>
      <c r="G33" s="1">
        <v>3.97</v>
      </c>
      <c r="H33" s="1">
        <v>3.27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44074.69121527778</v>
      </c>
      <c r="B34" s="1" t="s">
        <v>2584</v>
      </c>
      <c r="C34" s="1" t="s">
        <v>3116</v>
      </c>
      <c r="D34" s="1" t="s">
        <v>3117</v>
      </c>
      <c r="E34" s="1">
        <v>0</v>
      </c>
      <c r="F34" s="1">
        <v>3.88</v>
      </c>
      <c r="G34" s="1">
        <v>3.97</v>
      </c>
      <c r="H34" s="1">
        <v>3.27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1</v>
      </c>
      <c r="N34" s="1" t="b">
        <v>1</v>
      </c>
      <c r="O34" s="1" t="b">
        <v>0</v>
      </c>
    </row>
    <row r="35" spans="1:15" ht="15.95" customHeight="1" x14ac:dyDescent="0.25">
      <c r="A35" s="4">
        <v>44074.69122685185</v>
      </c>
      <c r="B35" s="1" t="s">
        <v>2584</v>
      </c>
      <c r="C35" s="1"/>
      <c r="D35" s="1" t="s">
        <v>3107</v>
      </c>
      <c r="E35" s="1" t="s">
        <v>3119</v>
      </c>
      <c r="F35" s="1">
        <v>3.88</v>
      </c>
      <c r="G35" s="1">
        <v>3.97</v>
      </c>
      <c r="H35" s="1">
        <v>3.27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1</v>
      </c>
      <c r="N35" s="1" t="b">
        <v>1</v>
      </c>
      <c r="O35" s="1" t="b">
        <v>0</v>
      </c>
    </row>
    <row r="36" spans="1:15" ht="15.95" customHeight="1" x14ac:dyDescent="0.25">
      <c r="A36" s="4">
        <v>44074.69122685185</v>
      </c>
      <c r="B36" s="1" t="s">
        <v>2584</v>
      </c>
      <c r="C36" s="1"/>
      <c r="D36" s="1" t="s">
        <v>3107</v>
      </c>
      <c r="E36" s="1" t="s">
        <v>3119</v>
      </c>
      <c r="F36" s="1">
        <v>3.88</v>
      </c>
      <c r="G36" s="1">
        <v>3.97</v>
      </c>
      <c r="H36" s="1">
        <v>3.27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1</v>
      </c>
      <c r="N36" s="1" t="b">
        <v>1</v>
      </c>
      <c r="O36" s="1" t="b">
        <v>0</v>
      </c>
    </row>
    <row r="37" spans="1:15" ht="15.95" customHeight="1" x14ac:dyDescent="0.25">
      <c r="A37" s="4">
        <v>44074.69122685185</v>
      </c>
      <c r="B37" s="1" t="s">
        <v>2584</v>
      </c>
      <c r="C37" s="1" t="s">
        <v>3139</v>
      </c>
      <c r="D37" s="1"/>
      <c r="E37" s="10" t="s">
        <v>2585</v>
      </c>
      <c r="F37" s="1">
        <v>3.88</v>
      </c>
      <c r="G37" s="1">
        <v>3.97</v>
      </c>
      <c r="H37" s="1">
        <v>3.27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1</v>
      </c>
      <c r="N37" s="1" t="b">
        <v>1</v>
      </c>
      <c r="O37" s="1" t="b">
        <v>0</v>
      </c>
    </row>
    <row r="38" spans="1:15" ht="15.95" customHeight="1" x14ac:dyDescent="0.25">
      <c r="A38" s="4">
        <v>44074.69158564815</v>
      </c>
      <c r="B38" s="1" t="s">
        <v>2584</v>
      </c>
      <c r="C38" s="1" t="s">
        <v>3116</v>
      </c>
      <c r="D38" s="1" t="s">
        <v>3117</v>
      </c>
      <c r="E38" s="10">
        <v>0</v>
      </c>
      <c r="F38" s="1">
        <v>3.88</v>
      </c>
      <c r="G38" s="1">
        <v>3.97</v>
      </c>
      <c r="H38" s="1">
        <v>3.27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1</v>
      </c>
      <c r="N38" s="1" t="b">
        <v>1</v>
      </c>
      <c r="O38" s="1" t="b">
        <v>0</v>
      </c>
    </row>
    <row r="39" spans="1:15" ht="15.95" customHeight="1" x14ac:dyDescent="0.25">
      <c r="A39" s="4">
        <v>44074.691620370373</v>
      </c>
      <c r="B39" s="1" t="s">
        <v>2584</v>
      </c>
      <c r="C39" s="1" t="s">
        <v>3116</v>
      </c>
      <c r="D39" s="1" t="s">
        <v>3117</v>
      </c>
      <c r="E39" s="10">
        <v>0</v>
      </c>
      <c r="F39" s="1">
        <v>3.88</v>
      </c>
      <c r="G39" s="1">
        <v>3.97</v>
      </c>
      <c r="H39" s="1">
        <v>3.27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44074.691620370373</v>
      </c>
      <c r="B40" s="1" t="s">
        <v>2584</v>
      </c>
      <c r="C40" s="1" t="s">
        <v>3165</v>
      </c>
      <c r="D40" s="1" t="s">
        <v>3166</v>
      </c>
      <c r="E40" s="1" t="s">
        <v>2585</v>
      </c>
      <c r="F40" s="1">
        <v>3.88</v>
      </c>
      <c r="G40" s="1">
        <v>3.97</v>
      </c>
      <c r="H40" s="1">
        <v>3.27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44074.692337962966</v>
      </c>
      <c r="B41" s="1" t="s">
        <v>2584</v>
      </c>
      <c r="C41" s="1" t="s">
        <v>3116</v>
      </c>
      <c r="D41" s="1" t="s">
        <v>3117</v>
      </c>
      <c r="E41" s="1">
        <v>0</v>
      </c>
      <c r="F41" s="1">
        <v>3.88</v>
      </c>
      <c r="G41" s="1">
        <v>3.97</v>
      </c>
      <c r="H41" s="1">
        <v>3.27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44074.692453703705</v>
      </c>
      <c r="B42" s="1" t="s">
        <v>2584</v>
      </c>
      <c r="C42" s="1" t="s">
        <v>3168</v>
      </c>
      <c r="D42" s="1"/>
      <c r="E42" s="10" t="s">
        <v>3169</v>
      </c>
      <c r="F42" s="1">
        <v>3.88</v>
      </c>
      <c r="G42" s="1">
        <v>3.97</v>
      </c>
      <c r="H42" s="1">
        <v>3.27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44074.692453703705</v>
      </c>
      <c r="B43" s="1" t="s">
        <v>2584</v>
      </c>
      <c r="C43" s="1" t="s">
        <v>3170</v>
      </c>
      <c r="D43" s="1" t="s">
        <v>3171</v>
      </c>
      <c r="E43" s="10" t="s">
        <v>3172</v>
      </c>
      <c r="F43" s="1">
        <v>3.88</v>
      </c>
      <c r="G43" s="1">
        <v>3.97</v>
      </c>
      <c r="H43" s="1">
        <v>3.27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44074.694444444445</v>
      </c>
      <c r="B44" s="1" t="s">
        <v>2584</v>
      </c>
      <c r="C44" s="1" t="s">
        <v>3116</v>
      </c>
      <c r="D44" s="1" t="s">
        <v>3117</v>
      </c>
      <c r="E44" s="10">
        <v>0</v>
      </c>
      <c r="F44" s="1">
        <v>3.88</v>
      </c>
      <c r="G44" s="1">
        <v>3.97</v>
      </c>
      <c r="H44" s="1">
        <v>3.27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44076.83871527778</v>
      </c>
      <c r="B45" s="1" t="s">
        <v>3173</v>
      </c>
      <c r="C45" s="1" t="s">
        <v>3116</v>
      </c>
      <c r="D45" s="1" t="s">
        <v>3117</v>
      </c>
      <c r="E45" s="10">
        <v>0</v>
      </c>
      <c r="F45" s="1">
        <v>3.88</v>
      </c>
      <c r="G45" s="1">
        <v>3.97</v>
      </c>
      <c r="H45" s="1">
        <v>3.27</v>
      </c>
      <c r="I45" s="1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44076.843541666669</v>
      </c>
      <c r="B46" s="1" t="s">
        <v>3173</v>
      </c>
      <c r="C46" s="1" t="s">
        <v>3187</v>
      </c>
      <c r="D46" s="1" t="s">
        <v>2901</v>
      </c>
      <c r="E46" s="10" t="s">
        <v>2585</v>
      </c>
      <c r="F46" s="1">
        <v>3.88</v>
      </c>
      <c r="G46" s="1">
        <v>3.97</v>
      </c>
      <c r="H46" s="1">
        <v>3.27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44076.843587962961</v>
      </c>
      <c r="B47" s="1" t="s">
        <v>3173</v>
      </c>
      <c r="C47" s="1" t="s">
        <v>3116</v>
      </c>
      <c r="D47" s="1" t="s">
        <v>3117</v>
      </c>
      <c r="E47" s="1">
        <v>0</v>
      </c>
      <c r="F47" s="1">
        <v>3.88</v>
      </c>
      <c r="G47" s="1">
        <v>3.97</v>
      </c>
      <c r="H47" s="1">
        <v>3.27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44076.84511574074</v>
      </c>
      <c r="B48" s="1" t="s">
        <v>3173</v>
      </c>
      <c r="C48" s="1" t="s">
        <v>3116</v>
      </c>
      <c r="D48" s="1" t="s">
        <v>3117</v>
      </c>
      <c r="E48" s="1">
        <v>0</v>
      </c>
      <c r="F48" s="1">
        <v>3.88</v>
      </c>
      <c r="G48" s="1">
        <v>3.97</v>
      </c>
      <c r="H48" s="1">
        <v>3.27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44076.84516203704</v>
      </c>
      <c r="B49" s="1" t="s">
        <v>3173</v>
      </c>
      <c r="C49" s="1" t="s">
        <v>3116</v>
      </c>
      <c r="D49" s="1" t="s">
        <v>3117</v>
      </c>
      <c r="E49" s="10">
        <v>0</v>
      </c>
      <c r="F49" s="1">
        <v>3.88</v>
      </c>
      <c r="G49" s="1">
        <v>3.97</v>
      </c>
      <c r="H49" s="1">
        <v>3.27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44076.845289351855</v>
      </c>
      <c r="B50" s="1" t="s">
        <v>3173</v>
      </c>
      <c r="C50" s="1" t="s">
        <v>3116</v>
      </c>
      <c r="D50" s="1" t="s">
        <v>3117</v>
      </c>
      <c r="E50" s="10">
        <v>0</v>
      </c>
      <c r="F50" s="1">
        <v>3.88</v>
      </c>
      <c r="G50" s="1">
        <v>3.97</v>
      </c>
      <c r="H50" s="1">
        <v>3.27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44076.845682870371</v>
      </c>
      <c r="B51" s="1" t="s">
        <v>3173</v>
      </c>
      <c r="C51" s="1" t="s">
        <v>3116</v>
      </c>
      <c r="D51" s="1" t="s">
        <v>3117</v>
      </c>
      <c r="E51" s="10">
        <v>0</v>
      </c>
      <c r="F51" s="1">
        <v>3.88</v>
      </c>
      <c r="G51" s="1">
        <v>3.97</v>
      </c>
      <c r="H51" s="1">
        <v>3.27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44076.847685185188</v>
      </c>
      <c r="B52" s="1" t="s">
        <v>3173</v>
      </c>
      <c r="C52" s="1" t="s">
        <v>3116</v>
      </c>
      <c r="D52" s="1" t="s">
        <v>3117</v>
      </c>
      <c r="E52" s="10">
        <v>0</v>
      </c>
      <c r="F52" s="1">
        <v>3.88</v>
      </c>
      <c r="G52" s="1">
        <v>3.97</v>
      </c>
      <c r="H52" s="1">
        <v>3.27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44076.847696759258</v>
      </c>
      <c r="B53" s="1" t="s">
        <v>3173</v>
      </c>
      <c r="C53" s="1" t="s">
        <v>3187</v>
      </c>
      <c r="D53" s="1"/>
      <c r="E53" s="10" t="s">
        <v>2585</v>
      </c>
      <c r="F53" s="1">
        <v>3.88</v>
      </c>
      <c r="G53" s="1">
        <v>3.97</v>
      </c>
      <c r="H53" s="1">
        <v>3.27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44076.859074074076</v>
      </c>
      <c r="B54" s="1" t="s">
        <v>3173</v>
      </c>
      <c r="C54" s="1" t="s">
        <v>3116</v>
      </c>
      <c r="D54" s="1" t="s">
        <v>3117</v>
      </c>
      <c r="E54" s="1">
        <v>0</v>
      </c>
      <c r="F54" s="1">
        <v>3.88</v>
      </c>
      <c r="G54" s="1">
        <v>3.97</v>
      </c>
      <c r="H54" s="1">
        <v>3.27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44076.859166666669</v>
      </c>
      <c r="B55" s="1" t="s">
        <v>3173</v>
      </c>
      <c r="C55" s="1" t="s">
        <v>3144</v>
      </c>
      <c r="D55" s="1" t="s">
        <v>3117</v>
      </c>
      <c r="E55" s="1">
        <v>0</v>
      </c>
      <c r="F55" s="1">
        <v>3.88</v>
      </c>
      <c r="G55" s="1">
        <v>3.97</v>
      </c>
      <c r="H55" s="1">
        <v>3.27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44076.859236111108</v>
      </c>
      <c r="B56" s="1" t="s">
        <v>3173</v>
      </c>
      <c r="C56" s="1" t="s">
        <v>3116</v>
      </c>
      <c r="D56" s="1" t="s">
        <v>3117</v>
      </c>
      <c r="E56" s="10">
        <v>0</v>
      </c>
      <c r="F56" s="1">
        <v>3.88</v>
      </c>
      <c r="G56" s="1">
        <v>3.97</v>
      </c>
      <c r="H56" s="1">
        <v>3.27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44076.870949074073</v>
      </c>
      <c r="B57" s="1" t="s">
        <v>3173</v>
      </c>
      <c r="C57" s="1" t="s">
        <v>3116</v>
      </c>
      <c r="D57" s="1" t="s">
        <v>3117</v>
      </c>
      <c r="E57" s="10">
        <v>0</v>
      </c>
      <c r="F57" s="1">
        <v>3.88</v>
      </c>
      <c r="G57" s="1">
        <v>3.97</v>
      </c>
      <c r="H57" s="1">
        <v>3.27</v>
      </c>
      <c r="I57" s="1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44076.872488425928</v>
      </c>
      <c r="B58" s="1" t="s">
        <v>3173</v>
      </c>
      <c r="C58" s="1" t="s">
        <v>3116</v>
      </c>
      <c r="D58" s="1" t="s">
        <v>3117</v>
      </c>
      <c r="E58" s="10">
        <v>0</v>
      </c>
      <c r="F58" s="1">
        <v>3.88</v>
      </c>
      <c r="G58" s="1">
        <v>3.97</v>
      </c>
      <c r="H58" s="1">
        <v>3.27</v>
      </c>
      <c r="I58" s="1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44076.873078703706</v>
      </c>
      <c r="B59" s="1" t="s">
        <v>3173</v>
      </c>
      <c r="C59" s="1" t="s">
        <v>3237</v>
      </c>
      <c r="D59" s="1" t="s">
        <v>3117</v>
      </c>
      <c r="E59" s="1">
        <v>3</v>
      </c>
      <c r="F59" s="1">
        <v>3.88</v>
      </c>
      <c r="G59" s="1">
        <v>3.97</v>
      </c>
      <c r="H59" s="1">
        <v>3.27</v>
      </c>
      <c r="I59" s="1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44076.873564814814</v>
      </c>
      <c r="B60" s="1" t="s">
        <v>3173</v>
      </c>
      <c r="C60" s="1" t="s">
        <v>3237</v>
      </c>
      <c r="D60" s="1" t="s">
        <v>3117</v>
      </c>
      <c r="E60" s="10">
        <v>3</v>
      </c>
      <c r="F60" s="1">
        <v>3.88</v>
      </c>
      <c r="G60" s="1">
        <v>3.97</v>
      </c>
      <c r="H60" s="1">
        <v>3.27</v>
      </c>
      <c r="I60" s="1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44076.877268518518</v>
      </c>
      <c r="B61" s="1" t="s">
        <v>3173</v>
      </c>
      <c r="C61" s="1" t="s">
        <v>3237</v>
      </c>
      <c r="D61" s="1" t="s">
        <v>3117</v>
      </c>
      <c r="E61" s="1">
        <v>3</v>
      </c>
      <c r="F61" s="1">
        <v>3.88</v>
      </c>
      <c r="G61" s="1">
        <v>3.97</v>
      </c>
      <c r="H61" s="1">
        <v>3.27</v>
      </c>
      <c r="I61" s="1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44076.878182870372</v>
      </c>
      <c r="B62" s="1" t="s">
        <v>3173</v>
      </c>
      <c r="C62" s="1" t="s">
        <v>3237</v>
      </c>
      <c r="D62" s="1" t="s">
        <v>3117</v>
      </c>
      <c r="E62" s="1">
        <v>3</v>
      </c>
      <c r="F62" s="1">
        <v>3.88</v>
      </c>
      <c r="G62" s="1">
        <v>3.97</v>
      </c>
      <c r="H62" s="1">
        <v>3.27</v>
      </c>
      <c r="I62" s="1">
        <v>0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44076.878182870372</v>
      </c>
      <c r="B63" s="1" t="s">
        <v>3173</v>
      </c>
      <c r="C63" s="1" t="s">
        <v>3237</v>
      </c>
      <c r="D63" s="1" t="s">
        <v>2585</v>
      </c>
      <c r="E63" s="10" t="s">
        <v>3157</v>
      </c>
      <c r="F63" s="1">
        <v>3.88</v>
      </c>
      <c r="G63" s="1">
        <v>3.97</v>
      </c>
      <c r="H63" s="1">
        <v>3.27</v>
      </c>
      <c r="I63" s="1">
        <v>0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44077.41946759259</v>
      </c>
      <c r="B64" s="1" t="s">
        <v>2584</v>
      </c>
      <c r="C64" s="1" t="s">
        <v>3116</v>
      </c>
      <c r="D64" s="1" t="s">
        <v>3117</v>
      </c>
      <c r="E64" s="1">
        <v>0</v>
      </c>
      <c r="F64" s="1">
        <v>3.88</v>
      </c>
      <c r="G64" s="1">
        <v>3.97</v>
      </c>
      <c r="H64" s="1">
        <v>3.27</v>
      </c>
      <c r="I64" s="1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44077.435474537036</v>
      </c>
      <c r="B65" s="1" t="s">
        <v>2584</v>
      </c>
      <c r="C65" s="1" t="s">
        <v>3116</v>
      </c>
      <c r="D65" s="1" t="s">
        <v>3117</v>
      </c>
      <c r="E65" s="10">
        <v>0</v>
      </c>
      <c r="F65" s="1">
        <v>3.88</v>
      </c>
      <c r="G65" s="1">
        <v>3.97</v>
      </c>
      <c r="H65" s="1">
        <v>3.27</v>
      </c>
      <c r="I65" s="1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44077.449733796297</v>
      </c>
      <c r="B66" s="1" t="s">
        <v>2584</v>
      </c>
      <c r="C66" s="1" t="s">
        <v>3116</v>
      </c>
      <c r="D66" s="1" t="s">
        <v>3117</v>
      </c>
      <c r="E66" s="1">
        <v>0</v>
      </c>
      <c r="F66" s="1">
        <v>3.88</v>
      </c>
      <c r="G66" s="1">
        <v>3.97</v>
      </c>
      <c r="H66" s="1">
        <v>3.28</v>
      </c>
      <c r="I66" s="1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44077.452094907407</v>
      </c>
      <c r="B67" s="1" t="s">
        <v>2584</v>
      </c>
      <c r="C67" s="1" t="s">
        <v>3116</v>
      </c>
      <c r="D67" s="1" t="s">
        <v>3117</v>
      </c>
      <c r="E67" s="10">
        <v>0</v>
      </c>
      <c r="F67" s="1">
        <v>3.88</v>
      </c>
      <c r="G67" s="1">
        <v>3.97</v>
      </c>
      <c r="H67" s="1">
        <v>3.28</v>
      </c>
      <c r="I67" s="1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44077.454085648147</v>
      </c>
      <c r="B68" s="1" t="s">
        <v>2584</v>
      </c>
      <c r="C68" s="1" t="s">
        <v>3144</v>
      </c>
      <c r="D68" s="1" t="s">
        <v>3117</v>
      </c>
      <c r="E68" s="1">
        <v>0</v>
      </c>
      <c r="F68" s="1">
        <v>3.88</v>
      </c>
      <c r="G68" s="1">
        <v>3.97</v>
      </c>
      <c r="H68" s="1">
        <v>3.28</v>
      </c>
      <c r="I68" s="1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44077.454131944447</v>
      </c>
      <c r="B69" s="1" t="s">
        <v>2584</v>
      </c>
      <c r="C69" s="1" t="s">
        <v>3237</v>
      </c>
      <c r="D69" s="1" t="s">
        <v>3117</v>
      </c>
      <c r="E69" s="1">
        <v>3</v>
      </c>
      <c r="F69" s="1">
        <v>3.88</v>
      </c>
      <c r="G69" s="1">
        <v>3.97</v>
      </c>
      <c r="H69" s="1">
        <v>3.28</v>
      </c>
      <c r="I69" s="1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44077.454155092593</v>
      </c>
      <c r="B70" s="1" t="s">
        <v>2584</v>
      </c>
      <c r="C70" s="1" t="s">
        <v>3116</v>
      </c>
      <c r="D70" s="1" t="s">
        <v>3117</v>
      </c>
      <c r="E70" s="10">
        <v>0</v>
      </c>
      <c r="F70" s="1">
        <v>3.88</v>
      </c>
      <c r="G70" s="1">
        <v>3.97</v>
      </c>
      <c r="H70" s="1">
        <v>3.28</v>
      </c>
      <c r="I70" s="1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44077.45453703704</v>
      </c>
      <c r="B71" s="1" t="s">
        <v>2584</v>
      </c>
      <c r="C71" s="1" t="s">
        <v>3116</v>
      </c>
      <c r="D71" s="1" t="s">
        <v>3117</v>
      </c>
      <c r="E71" s="1">
        <v>2</v>
      </c>
      <c r="F71" s="1">
        <v>3.88</v>
      </c>
      <c r="G71" s="1">
        <v>3.97</v>
      </c>
      <c r="H71" s="1">
        <v>3.28</v>
      </c>
      <c r="I71" s="1">
        <v>1.1499999999999999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44077.454560185186</v>
      </c>
      <c r="B72" s="1" t="s">
        <v>2584</v>
      </c>
      <c r="C72" s="1" t="s">
        <v>3187</v>
      </c>
      <c r="D72" s="1"/>
      <c r="E72" s="10" t="s">
        <v>2585</v>
      </c>
      <c r="F72" s="1">
        <v>3.88</v>
      </c>
      <c r="G72" s="1">
        <v>3.97</v>
      </c>
      <c r="H72" s="1">
        <v>3.28</v>
      </c>
      <c r="I72" s="1">
        <v>1.1499999999999999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44077.456122685187</v>
      </c>
      <c r="B73" s="1" t="s">
        <v>2584</v>
      </c>
      <c r="C73" s="1" t="s">
        <v>3116</v>
      </c>
      <c r="D73" s="1" t="s">
        <v>3117</v>
      </c>
      <c r="E73" s="1">
        <v>2</v>
      </c>
      <c r="F73" s="1">
        <v>3.89</v>
      </c>
      <c r="G73" s="1">
        <v>3.97</v>
      </c>
      <c r="H73" s="1">
        <v>3.28</v>
      </c>
      <c r="I73" s="1">
        <v>1.1499999999999999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44077.457719907405</v>
      </c>
      <c r="B74" s="1" t="s">
        <v>2584</v>
      </c>
      <c r="C74" s="1" t="s">
        <v>3116</v>
      </c>
      <c r="D74" s="1" t="s">
        <v>3117</v>
      </c>
      <c r="E74" s="10">
        <v>2</v>
      </c>
      <c r="F74" s="1">
        <v>3.89</v>
      </c>
      <c r="G74" s="1">
        <v>3.97</v>
      </c>
      <c r="H74" s="1">
        <v>3.28</v>
      </c>
      <c r="I74" s="1">
        <v>1.1499999999999999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44077.460729166669</v>
      </c>
      <c r="B75" s="1" t="s">
        <v>2584</v>
      </c>
      <c r="C75" s="1" t="s">
        <v>3116</v>
      </c>
      <c r="D75" s="1" t="s">
        <v>3117</v>
      </c>
      <c r="E75" s="10">
        <v>2</v>
      </c>
      <c r="F75" s="1">
        <v>3.89</v>
      </c>
      <c r="G75" s="1">
        <v>3.97</v>
      </c>
      <c r="H75" s="1">
        <v>3.28</v>
      </c>
      <c r="I75" s="1">
        <v>1.1499999999999999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44077.460740740738</v>
      </c>
      <c r="B76" s="1" t="s">
        <v>2584</v>
      </c>
      <c r="C76" s="1" t="s">
        <v>3187</v>
      </c>
      <c r="D76" s="1"/>
      <c r="E76" s="1" t="s">
        <v>2585</v>
      </c>
      <c r="F76" s="1">
        <v>3.89</v>
      </c>
      <c r="G76" s="1">
        <v>3.97</v>
      </c>
      <c r="H76" s="1">
        <v>3.28</v>
      </c>
      <c r="I76" s="1">
        <v>1.1499999999999999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44077.460902777777</v>
      </c>
      <c r="B77" s="1" t="s">
        <v>2584</v>
      </c>
      <c r="C77" s="1" t="s">
        <v>3116</v>
      </c>
      <c r="D77" s="1" t="s">
        <v>3117</v>
      </c>
      <c r="E77" s="10">
        <v>2</v>
      </c>
      <c r="F77" s="1">
        <v>3.89</v>
      </c>
      <c r="G77" s="1">
        <v>3.97</v>
      </c>
      <c r="H77" s="1">
        <v>3.28</v>
      </c>
      <c r="I77" s="1">
        <v>1.1499999999999999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44077.461608796293</v>
      </c>
      <c r="B78" s="1" t="s">
        <v>2584</v>
      </c>
      <c r="C78" s="1" t="s">
        <v>3116</v>
      </c>
      <c r="D78" s="1" t="s">
        <v>3117</v>
      </c>
      <c r="E78" s="1">
        <v>2</v>
      </c>
      <c r="F78" s="1">
        <v>3.89</v>
      </c>
      <c r="G78" s="1">
        <v>3.97</v>
      </c>
      <c r="H78" s="1">
        <v>3.28</v>
      </c>
      <c r="I78" s="1">
        <v>1.1499999999999999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44077.462893518517</v>
      </c>
      <c r="B79" s="1" t="s">
        <v>2584</v>
      </c>
      <c r="C79" s="1" t="s">
        <v>3116</v>
      </c>
      <c r="D79" s="1" t="s">
        <v>3117</v>
      </c>
      <c r="E79" s="10">
        <v>2</v>
      </c>
      <c r="F79" s="1">
        <v>3.89</v>
      </c>
      <c r="G79" s="1">
        <v>3.97</v>
      </c>
      <c r="H79" s="1">
        <v>3.28</v>
      </c>
      <c r="I79" s="1">
        <v>1.1499999999999999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44077.462997685187</v>
      </c>
      <c r="B80" s="1" t="s">
        <v>2584</v>
      </c>
      <c r="C80" s="1" t="s">
        <v>3187</v>
      </c>
      <c r="D80" s="1"/>
      <c r="E80" s="1" t="s">
        <v>2585</v>
      </c>
      <c r="F80" s="1">
        <v>3.89</v>
      </c>
      <c r="G80" s="1">
        <v>3.97</v>
      </c>
      <c r="H80" s="1">
        <v>3.28</v>
      </c>
      <c r="I80" s="1">
        <v>1.1499999999999999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44077.463171296295</v>
      </c>
      <c r="B81" s="1" t="s">
        <v>2584</v>
      </c>
      <c r="C81" s="1" t="s">
        <v>3091</v>
      </c>
      <c r="D81" s="1"/>
      <c r="E81" s="10" t="s">
        <v>2585</v>
      </c>
      <c r="F81" s="1">
        <v>3.89</v>
      </c>
      <c r="G81" s="1">
        <v>3.97</v>
      </c>
      <c r="H81" s="1">
        <v>3.28</v>
      </c>
      <c r="I81" s="1">
        <v>1.1499999999999999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44077.463206018518</v>
      </c>
      <c r="B82" s="1" t="s">
        <v>2584</v>
      </c>
      <c r="C82" s="1" t="s">
        <v>3247</v>
      </c>
      <c r="D82" s="1" t="s">
        <v>3248</v>
      </c>
      <c r="E82" s="10" t="s">
        <v>2585</v>
      </c>
      <c r="F82" s="1">
        <v>3.89</v>
      </c>
      <c r="G82" s="1">
        <v>3.97</v>
      </c>
      <c r="H82" s="1">
        <v>3.28</v>
      </c>
      <c r="I82" s="1">
        <v>1.1499999999999999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44077.463321759256</v>
      </c>
      <c r="B83" s="1" t="s">
        <v>2584</v>
      </c>
      <c r="C83" s="1" t="s">
        <v>3237</v>
      </c>
      <c r="D83" s="1" t="s">
        <v>3117</v>
      </c>
      <c r="E83" s="10">
        <v>3</v>
      </c>
      <c r="F83" s="1">
        <v>3.89</v>
      </c>
      <c r="G83" s="1">
        <v>3.97</v>
      </c>
      <c r="H83" s="1">
        <v>3.28</v>
      </c>
      <c r="I83" s="1">
        <v>1.1499999999999999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44077.463368055556</v>
      </c>
      <c r="B84" s="1" t="s">
        <v>2584</v>
      </c>
      <c r="C84" s="1" t="s">
        <v>3116</v>
      </c>
      <c r="D84" s="1" t="s">
        <v>3117</v>
      </c>
      <c r="E84" s="1">
        <v>2</v>
      </c>
      <c r="F84" s="1">
        <v>3.89</v>
      </c>
      <c r="G84" s="1">
        <v>3.97</v>
      </c>
      <c r="H84" s="1">
        <v>3.28</v>
      </c>
      <c r="I84" s="1">
        <v>1.1499999999999999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44077.463437500002</v>
      </c>
      <c r="B85" s="1" t="s">
        <v>2584</v>
      </c>
      <c r="C85" s="1" t="s">
        <v>3116</v>
      </c>
      <c r="D85" s="1" t="s">
        <v>3117</v>
      </c>
      <c r="E85" s="1">
        <v>0</v>
      </c>
      <c r="F85" s="1">
        <v>3.89</v>
      </c>
      <c r="G85" s="1">
        <v>3.97</v>
      </c>
      <c r="H85" s="1">
        <v>3.28</v>
      </c>
      <c r="I85" s="1">
        <v>1.1499999999999999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44077.463530092595</v>
      </c>
      <c r="B86" s="1" t="s">
        <v>2584</v>
      </c>
      <c r="C86" s="1" t="s">
        <v>3116</v>
      </c>
      <c r="D86" s="1" t="s">
        <v>3117</v>
      </c>
      <c r="E86" s="10">
        <v>0</v>
      </c>
      <c r="F86" s="1">
        <v>3.89</v>
      </c>
      <c r="G86" s="1">
        <v>3.97</v>
      </c>
      <c r="H86" s="1">
        <v>3.28</v>
      </c>
      <c r="I86" s="1">
        <v>1.1499999999999999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44077.463541666664</v>
      </c>
      <c r="B87" s="1" t="s">
        <v>2584</v>
      </c>
      <c r="C87" s="1" t="s">
        <v>3247</v>
      </c>
      <c r="D87" s="1"/>
      <c r="E87" s="1" t="s">
        <v>2585</v>
      </c>
      <c r="F87" s="1">
        <v>3.89</v>
      </c>
      <c r="G87" s="1">
        <v>3.97</v>
      </c>
      <c r="H87" s="1">
        <v>3.28</v>
      </c>
      <c r="I87" s="1">
        <v>1.1499999999999999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44077.473460648151</v>
      </c>
      <c r="B88" s="1" t="s">
        <v>2584</v>
      </c>
      <c r="C88" s="1" t="s">
        <v>3116</v>
      </c>
      <c r="D88" s="1" t="s">
        <v>3117</v>
      </c>
      <c r="E88" s="10">
        <v>0</v>
      </c>
      <c r="F88" s="1">
        <v>3.89</v>
      </c>
      <c r="G88" s="1">
        <v>3.97</v>
      </c>
      <c r="H88" s="1">
        <v>3.28</v>
      </c>
      <c r="I88" s="1">
        <v>1.1499999999999999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44077.47347222222</v>
      </c>
      <c r="B89" s="1" t="s">
        <v>2584</v>
      </c>
      <c r="C89" s="1" t="s">
        <v>3247</v>
      </c>
      <c r="D89" s="1"/>
      <c r="E89" s="1" t="s">
        <v>2585</v>
      </c>
      <c r="F89" s="1">
        <v>3.89</v>
      </c>
      <c r="G89" s="1">
        <v>3.97</v>
      </c>
      <c r="H89" s="1">
        <v>3.28</v>
      </c>
      <c r="I89" s="1">
        <v>1.1499999999999999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44077.473495370374</v>
      </c>
      <c r="B90" s="1" t="s">
        <v>2584</v>
      </c>
      <c r="C90" s="1" t="s">
        <v>3116</v>
      </c>
      <c r="D90" s="1" t="s">
        <v>3117</v>
      </c>
      <c r="E90" s="10">
        <v>0</v>
      </c>
      <c r="F90" s="1">
        <v>3.89</v>
      </c>
      <c r="G90" s="1">
        <v>3.97</v>
      </c>
      <c r="H90" s="1">
        <v>3.28</v>
      </c>
      <c r="I90" s="1">
        <v>1.1499999999999999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44077.473506944443</v>
      </c>
      <c r="B91" s="1" t="s">
        <v>2584</v>
      </c>
      <c r="C91" s="1" t="s">
        <v>3247</v>
      </c>
      <c r="D91" s="1"/>
      <c r="E91" s="10" t="s">
        <v>2585</v>
      </c>
      <c r="F91" s="1">
        <v>3.89</v>
      </c>
      <c r="G91" s="1">
        <v>3.97</v>
      </c>
      <c r="H91" s="1">
        <v>3.28</v>
      </c>
      <c r="I91" s="1">
        <v>1.1499999999999999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44077.473680555559</v>
      </c>
      <c r="B92" s="1" t="s">
        <v>2584</v>
      </c>
      <c r="C92" s="1" t="s">
        <v>3116</v>
      </c>
      <c r="D92" s="1" t="s">
        <v>3117</v>
      </c>
      <c r="E92" s="1">
        <v>0</v>
      </c>
      <c r="F92" s="1">
        <v>3.89</v>
      </c>
      <c r="G92" s="1">
        <v>3.97</v>
      </c>
      <c r="H92" s="1">
        <v>3.28</v>
      </c>
      <c r="I92" s="1">
        <v>1.1499999999999999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44077.473865740743</v>
      </c>
      <c r="B93" s="1" t="s">
        <v>2584</v>
      </c>
      <c r="C93" s="1" t="s">
        <v>3116</v>
      </c>
      <c r="D93" s="1" t="s">
        <v>3117</v>
      </c>
      <c r="E93" s="10">
        <v>0</v>
      </c>
      <c r="F93" s="1">
        <v>3.89</v>
      </c>
      <c r="G93" s="1">
        <v>3.97</v>
      </c>
      <c r="H93" s="1">
        <v>3.28</v>
      </c>
      <c r="I93" s="1">
        <v>1.1499999999999999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44077.473877314813</v>
      </c>
      <c r="B94" s="1" t="s">
        <v>2584</v>
      </c>
      <c r="C94" s="1" t="s">
        <v>3247</v>
      </c>
      <c r="D94" s="1"/>
      <c r="E94" s="1" t="s">
        <v>2585</v>
      </c>
      <c r="F94" s="1">
        <v>3.89</v>
      </c>
      <c r="G94" s="1">
        <v>3.97</v>
      </c>
      <c r="H94" s="1">
        <v>3.28</v>
      </c>
      <c r="I94" s="1">
        <v>1.1499999999999999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44077.476215277777</v>
      </c>
      <c r="B95" s="1" t="s">
        <v>2584</v>
      </c>
      <c r="C95" s="1" t="s">
        <v>3116</v>
      </c>
      <c r="D95" s="1" t="s">
        <v>3117</v>
      </c>
      <c r="E95" s="10">
        <v>0</v>
      </c>
      <c r="F95" s="1">
        <v>3.89</v>
      </c>
      <c r="G95" s="1">
        <v>3.97</v>
      </c>
      <c r="H95" s="1">
        <v>3.28</v>
      </c>
      <c r="I95" s="1">
        <v>1.1499999999999999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44077.476226851853</v>
      </c>
      <c r="B96" s="1" t="s">
        <v>2584</v>
      </c>
      <c r="C96" s="1" t="s">
        <v>3247</v>
      </c>
      <c r="D96" s="1"/>
      <c r="E96" s="1" t="s">
        <v>2585</v>
      </c>
      <c r="F96" s="1">
        <v>3.89</v>
      </c>
      <c r="G96" s="1">
        <v>3.97</v>
      </c>
      <c r="H96" s="1">
        <v>3.28</v>
      </c>
      <c r="I96" s="1">
        <v>1.1499999999999999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44077.476585648146</v>
      </c>
      <c r="B97" s="1" t="s">
        <v>2584</v>
      </c>
      <c r="C97" s="1" t="s">
        <v>3116</v>
      </c>
      <c r="D97" s="1" t="s">
        <v>3117</v>
      </c>
      <c r="E97" s="1">
        <v>0</v>
      </c>
      <c r="F97" s="1">
        <v>3.89</v>
      </c>
      <c r="G97" s="1">
        <v>3.97</v>
      </c>
      <c r="H97" s="1">
        <v>3.28</v>
      </c>
      <c r="I97" s="1">
        <v>1.1499999999999999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44077.476597222223</v>
      </c>
      <c r="B98" s="1" t="s">
        <v>2584</v>
      </c>
      <c r="C98" s="1" t="s">
        <v>3247</v>
      </c>
      <c r="D98" s="1"/>
      <c r="E98" s="10" t="s">
        <v>2585</v>
      </c>
      <c r="F98" s="1">
        <v>3.89</v>
      </c>
      <c r="G98" s="1">
        <v>3.97</v>
      </c>
      <c r="H98" s="1">
        <v>3.28</v>
      </c>
      <c r="I98" s="1">
        <v>1.1499999999999999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44077.518425925926</v>
      </c>
      <c r="B99" s="1" t="s">
        <v>2584</v>
      </c>
      <c r="C99" s="1" t="s">
        <v>3116</v>
      </c>
      <c r="D99" s="1" t="s">
        <v>3117</v>
      </c>
      <c r="E99" s="10">
        <v>0</v>
      </c>
      <c r="F99" s="1">
        <v>3.89</v>
      </c>
      <c r="G99" s="1">
        <v>3.97</v>
      </c>
      <c r="H99" s="1">
        <v>3.28</v>
      </c>
      <c r="I99" s="1">
        <v>1.1499999999999999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44077.518437500003</v>
      </c>
      <c r="B100" s="1" t="s">
        <v>2584</v>
      </c>
      <c r="C100" s="1" t="s">
        <v>3247</v>
      </c>
      <c r="D100" s="1"/>
      <c r="E100" s="1" t="s">
        <v>2585</v>
      </c>
      <c r="F100" s="1">
        <v>3.89</v>
      </c>
      <c r="G100" s="1">
        <v>3.97</v>
      </c>
      <c r="H100" s="1">
        <v>3.28</v>
      </c>
      <c r="I100" s="1">
        <v>1.1499999999999999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44077.518657407411</v>
      </c>
      <c r="B101" s="1" t="s">
        <v>2584</v>
      </c>
      <c r="C101" s="1" t="s">
        <v>3116</v>
      </c>
      <c r="D101" s="1" t="s">
        <v>3117</v>
      </c>
      <c r="E101" s="1">
        <v>0</v>
      </c>
      <c r="F101" s="1">
        <v>3.89</v>
      </c>
      <c r="G101" s="1">
        <v>3.97</v>
      </c>
      <c r="H101" s="1">
        <v>3.28</v>
      </c>
      <c r="I101" s="1">
        <v>1.1499999999999999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44077.51866898148</v>
      </c>
      <c r="B102" s="1" t="s">
        <v>2584</v>
      </c>
      <c r="C102" s="1" t="s">
        <v>3247</v>
      </c>
      <c r="D102" s="1"/>
      <c r="E102" s="10" t="s">
        <v>2585</v>
      </c>
      <c r="F102" s="1">
        <v>3.89</v>
      </c>
      <c r="G102" s="1">
        <v>3.97</v>
      </c>
      <c r="H102" s="1">
        <v>3.28</v>
      </c>
      <c r="I102" s="1">
        <v>1.1499999999999999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44077.518784722219</v>
      </c>
      <c r="B103" s="1" t="s">
        <v>2584</v>
      </c>
      <c r="C103" s="1" t="s">
        <v>3116</v>
      </c>
      <c r="D103" s="1" t="s">
        <v>3117</v>
      </c>
      <c r="E103" s="1">
        <v>0</v>
      </c>
      <c r="F103" s="1">
        <v>3.89</v>
      </c>
      <c r="G103" s="1">
        <v>3.97</v>
      </c>
      <c r="H103" s="1">
        <v>3.28</v>
      </c>
      <c r="I103" s="1">
        <v>1.1499999999999999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44077.518796296295</v>
      </c>
      <c r="B104" s="1" t="s">
        <v>2584</v>
      </c>
      <c r="C104" s="1" t="s">
        <v>3247</v>
      </c>
      <c r="D104" s="1"/>
      <c r="E104" s="10" t="s">
        <v>2585</v>
      </c>
      <c r="F104" s="1">
        <v>3.89</v>
      </c>
      <c r="G104" s="1">
        <v>3.97</v>
      </c>
      <c r="H104" s="1">
        <v>3.28</v>
      </c>
      <c r="I104" s="1">
        <v>1.1499999999999999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44077.519780092596</v>
      </c>
      <c r="B105" s="1" t="s">
        <v>2584</v>
      </c>
      <c r="C105" s="1" t="s">
        <v>3271</v>
      </c>
      <c r="D105" s="1" t="s">
        <v>3117</v>
      </c>
      <c r="E105" s="1">
        <v>1</v>
      </c>
      <c r="F105" s="1">
        <v>3.89</v>
      </c>
      <c r="G105" s="1">
        <v>3.97</v>
      </c>
      <c r="H105" s="1">
        <v>3.28</v>
      </c>
      <c r="I105" s="1">
        <v>1.1499999999999999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44077.519942129627</v>
      </c>
      <c r="B106" s="1" t="s">
        <v>2584</v>
      </c>
      <c r="C106" s="1" t="s">
        <v>3271</v>
      </c>
      <c r="D106" s="1" t="s">
        <v>3117</v>
      </c>
      <c r="E106" s="10">
        <v>1</v>
      </c>
      <c r="F106" s="1">
        <v>3.89</v>
      </c>
      <c r="G106" s="1">
        <v>3.97</v>
      </c>
      <c r="H106" s="1">
        <v>3.28</v>
      </c>
      <c r="I106" s="1">
        <v>1.1499999999999999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44077.522256944445</v>
      </c>
      <c r="B107" s="1" t="s">
        <v>2584</v>
      </c>
      <c r="C107" s="1" t="s">
        <v>3271</v>
      </c>
      <c r="D107" s="1" t="s">
        <v>3117</v>
      </c>
      <c r="E107" s="10">
        <v>1</v>
      </c>
      <c r="F107" s="1">
        <v>3.89</v>
      </c>
      <c r="G107" s="1">
        <v>3.97</v>
      </c>
      <c r="H107" s="1">
        <v>3.28</v>
      </c>
      <c r="I107" s="1">
        <v>1.1499999999999999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44077.522407407407</v>
      </c>
      <c r="B108" s="1" t="s">
        <v>2584</v>
      </c>
      <c r="C108" s="1" t="s">
        <v>3237</v>
      </c>
      <c r="D108" s="1" t="s">
        <v>3117</v>
      </c>
      <c r="E108" s="1">
        <v>3</v>
      </c>
      <c r="F108" s="1">
        <v>3.89</v>
      </c>
      <c r="G108" s="1">
        <v>3.97</v>
      </c>
      <c r="H108" s="1">
        <v>3.28</v>
      </c>
      <c r="I108" s="1">
        <v>1.1499999999999999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44077.523182870369</v>
      </c>
      <c r="B109" s="1" t="s">
        <v>2584</v>
      </c>
      <c r="C109" s="1" t="s">
        <v>3142</v>
      </c>
      <c r="D109" s="1" t="s">
        <v>3117</v>
      </c>
      <c r="E109" s="10">
        <v>0</v>
      </c>
      <c r="F109" s="1">
        <v>3.89</v>
      </c>
      <c r="G109" s="1">
        <v>3.97</v>
      </c>
      <c r="H109" s="1">
        <v>3.28</v>
      </c>
      <c r="I109" s="1">
        <v>1.1499999999999999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44077.5234837963</v>
      </c>
      <c r="B110" s="1" t="s">
        <v>2584</v>
      </c>
      <c r="C110" s="1" t="s">
        <v>3237</v>
      </c>
      <c r="D110" s="1" t="s">
        <v>3117</v>
      </c>
      <c r="E110" s="1">
        <v>3</v>
      </c>
      <c r="F110" s="1">
        <v>3.89</v>
      </c>
      <c r="G110" s="1">
        <v>3.97</v>
      </c>
      <c r="H110" s="1">
        <v>3.28</v>
      </c>
      <c r="I110" s="1">
        <v>1.1499999999999999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44077.523564814815</v>
      </c>
      <c r="B111" s="1" t="s">
        <v>2584</v>
      </c>
      <c r="C111" s="1" t="s">
        <v>3237</v>
      </c>
      <c r="D111" s="1" t="s">
        <v>3117</v>
      </c>
      <c r="E111" s="10">
        <v>3</v>
      </c>
      <c r="F111" s="1">
        <v>3.89</v>
      </c>
      <c r="G111" s="1">
        <v>3.97</v>
      </c>
      <c r="H111" s="1">
        <v>3.28</v>
      </c>
      <c r="I111" s="1">
        <v>1.1499999999999999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44077.523726851854</v>
      </c>
      <c r="B112" s="1" t="s">
        <v>2584</v>
      </c>
      <c r="C112" s="1" t="s">
        <v>3237</v>
      </c>
      <c r="D112" s="1" t="s">
        <v>3117</v>
      </c>
      <c r="E112" s="1">
        <v>3</v>
      </c>
      <c r="F112" s="1">
        <v>3.89</v>
      </c>
      <c r="G112" s="1">
        <v>3.97</v>
      </c>
      <c r="H112" s="1">
        <v>3.28</v>
      </c>
      <c r="I112" s="1">
        <v>1.1499999999999999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44077.530162037037</v>
      </c>
      <c r="B113" s="1" t="s">
        <v>2584</v>
      </c>
      <c r="C113" s="1" t="s">
        <v>3116</v>
      </c>
      <c r="D113" s="1" t="s">
        <v>3117</v>
      </c>
      <c r="E113" s="10">
        <v>0</v>
      </c>
      <c r="F113" s="1">
        <v>3.89</v>
      </c>
      <c r="G113" s="1">
        <v>3.97</v>
      </c>
      <c r="H113" s="1">
        <v>3.28</v>
      </c>
      <c r="I113" s="1">
        <v>1.1499999999999999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44077.535138888888</v>
      </c>
      <c r="B114" s="1" t="s">
        <v>2584</v>
      </c>
      <c r="C114" s="1" t="s">
        <v>3116</v>
      </c>
      <c r="D114" s="1" t="s">
        <v>3117</v>
      </c>
      <c r="E114" s="10">
        <v>0</v>
      </c>
      <c r="F114" s="1">
        <v>3.89</v>
      </c>
      <c r="G114" s="1">
        <v>3.97</v>
      </c>
      <c r="H114" s="1">
        <v>3.28</v>
      </c>
      <c r="I114" s="1">
        <v>0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44077.548796296294</v>
      </c>
      <c r="B115" s="1" t="s">
        <v>2584</v>
      </c>
      <c r="C115" s="1" t="s">
        <v>3116</v>
      </c>
      <c r="D115" s="1" t="s">
        <v>3117</v>
      </c>
      <c r="E115" s="1">
        <v>0</v>
      </c>
      <c r="F115" s="1">
        <v>3.89</v>
      </c>
      <c r="G115" s="1">
        <v>3.97</v>
      </c>
      <c r="H115" s="1">
        <v>3.28</v>
      </c>
      <c r="I115" s="1">
        <v>0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44077.54892361111</v>
      </c>
      <c r="B116" s="1" t="s">
        <v>2584</v>
      </c>
      <c r="C116" s="1" t="s">
        <v>3116</v>
      </c>
      <c r="D116" s="1" t="s">
        <v>3117</v>
      </c>
      <c r="E116" s="10">
        <v>0</v>
      </c>
      <c r="F116" s="1">
        <v>3.89</v>
      </c>
      <c r="G116" s="1">
        <v>3.97</v>
      </c>
      <c r="H116" s="1">
        <v>3.28</v>
      </c>
      <c r="I116" s="1">
        <v>1.1499999999999999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44077.548935185187</v>
      </c>
      <c r="B117" s="1" t="s">
        <v>2584</v>
      </c>
      <c r="C117" s="1" t="s">
        <v>3247</v>
      </c>
      <c r="D117" s="1"/>
      <c r="E117" s="1" t="s">
        <v>2585</v>
      </c>
      <c r="F117" s="1">
        <v>3.89</v>
      </c>
      <c r="G117" s="1">
        <v>3.97</v>
      </c>
      <c r="H117" s="1">
        <v>3.28</v>
      </c>
      <c r="I117" s="1">
        <v>1.1499999999999999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44077.549016203702</v>
      </c>
      <c r="B118" s="1" t="s">
        <v>2584</v>
      </c>
      <c r="C118" s="1" t="s">
        <v>3116</v>
      </c>
      <c r="D118" s="1" t="s">
        <v>3117</v>
      </c>
      <c r="E118" s="10">
        <v>0</v>
      </c>
      <c r="F118" s="1">
        <v>3.89</v>
      </c>
      <c r="G118" s="1">
        <v>3.97</v>
      </c>
      <c r="H118" s="1">
        <v>3.28</v>
      </c>
      <c r="I118" s="1">
        <v>1.1499999999999999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44077.565949074073</v>
      </c>
      <c r="B119" s="1" t="s">
        <v>2584</v>
      </c>
      <c r="C119" s="1" t="s">
        <v>3116</v>
      </c>
      <c r="D119" s="1" t="s">
        <v>3117</v>
      </c>
      <c r="E119" s="1">
        <v>0</v>
      </c>
      <c r="F119" s="1">
        <v>3.89</v>
      </c>
      <c r="G119" s="1">
        <v>3.97</v>
      </c>
      <c r="H119" s="1">
        <v>3.28</v>
      </c>
      <c r="I119" s="1">
        <v>1.1499999999999999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44077.568078703705</v>
      </c>
      <c r="B120" s="1" t="s">
        <v>2584</v>
      </c>
      <c r="C120" s="1" t="s">
        <v>3116</v>
      </c>
      <c r="D120" s="1" t="s">
        <v>3117</v>
      </c>
      <c r="E120" s="1">
        <v>0</v>
      </c>
      <c r="F120" s="1">
        <v>3.89</v>
      </c>
      <c r="G120" s="1">
        <v>3.97</v>
      </c>
      <c r="H120" s="1">
        <v>3.28</v>
      </c>
      <c r="I120" s="1">
        <v>1.1499999999999999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44077.568101851852</v>
      </c>
      <c r="B121" s="1" t="s">
        <v>2584</v>
      </c>
      <c r="C121" s="1" t="s">
        <v>3247</v>
      </c>
      <c r="D121" s="1"/>
      <c r="E121" s="10" t="s">
        <v>2585</v>
      </c>
      <c r="F121" s="1">
        <v>3.89</v>
      </c>
      <c r="G121" s="1">
        <v>3.97</v>
      </c>
      <c r="H121" s="1">
        <v>3.28</v>
      </c>
      <c r="I121" s="1">
        <v>1.1499999999999999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44077.568252314813</v>
      </c>
      <c r="B122" s="1" t="s">
        <v>2584</v>
      </c>
      <c r="C122" s="1" t="s">
        <v>3116</v>
      </c>
      <c r="D122" s="1" t="s">
        <v>3117</v>
      </c>
      <c r="E122" s="1">
        <v>0</v>
      </c>
      <c r="F122" s="1">
        <v>3.89</v>
      </c>
      <c r="G122" s="1">
        <v>3.97</v>
      </c>
      <c r="H122" s="1">
        <v>3.28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44077.56826388889</v>
      </c>
      <c r="B123" s="1" t="s">
        <v>2584</v>
      </c>
      <c r="C123" s="1" t="s">
        <v>3247</v>
      </c>
      <c r="D123" s="1"/>
      <c r="E123" s="10" t="s">
        <v>2585</v>
      </c>
      <c r="F123" s="1">
        <v>3.89</v>
      </c>
      <c r="G123" s="1">
        <v>3.97</v>
      </c>
      <c r="H123" s="1">
        <v>3.28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44077.569594907407</v>
      </c>
      <c r="B124" s="1" t="s">
        <v>2584</v>
      </c>
      <c r="C124" s="1" t="s">
        <v>3116</v>
      </c>
      <c r="D124" s="1" t="s">
        <v>3117</v>
      </c>
      <c r="E124" s="1">
        <v>0</v>
      </c>
      <c r="F124" s="1">
        <v>3.89</v>
      </c>
      <c r="G124" s="1">
        <v>3.97</v>
      </c>
      <c r="H124" s="1">
        <v>3.28</v>
      </c>
      <c r="I124" s="1">
        <v>1.1499999999999999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44077.569675925923</v>
      </c>
      <c r="B125" s="1" t="s">
        <v>2584</v>
      </c>
      <c r="C125" s="1" t="s">
        <v>3247</v>
      </c>
      <c r="D125" s="1"/>
      <c r="E125" s="1" t="s">
        <v>2585</v>
      </c>
      <c r="F125" s="1">
        <v>3.89</v>
      </c>
      <c r="G125" s="1">
        <v>3.97</v>
      </c>
      <c r="H125" s="1">
        <v>3.28</v>
      </c>
      <c r="I125" s="1">
        <v>1.1499999999999999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44077.57271990741</v>
      </c>
      <c r="B126" s="1" t="s">
        <v>2584</v>
      </c>
      <c r="C126" s="1" t="s">
        <v>3116</v>
      </c>
      <c r="D126" s="1" t="s">
        <v>3117</v>
      </c>
      <c r="E126" s="1">
        <v>0</v>
      </c>
      <c r="F126" s="1">
        <v>3.89</v>
      </c>
      <c r="G126" s="1">
        <v>3.97</v>
      </c>
      <c r="H126" s="1">
        <v>3.28</v>
      </c>
      <c r="I126" s="1">
        <v>1.1499999999999999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44077.572731481479</v>
      </c>
      <c r="B127" s="1" t="s">
        <v>2584</v>
      </c>
      <c r="C127" s="1" t="s">
        <v>3247</v>
      </c>
      <c r="D127" s="1"/>
      <c r="E127" s="1" t="s">
        <v>2585</v>
      </c>
      <c r="F127" s="1">
        <v>3.89</v>
      </c>
      <c r="G127" s="1">
        <v>3.97</v>
      </c>
      <c r="H127" s="1">
        <v>3.28</v>
      </c>
      <c r="I127" s="1">
        <v>1.1499999999999999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44077.572766203702</v>
      </c>
      <c r="B128" s="1" t="s">
        <v>2584</v>
      </c>
      <c r="C128" s="1" t="s">
        <v>3116</v>
      </c>
      <c r="D128" s="1" t="s">
        <v>3117</v>
      </c>
      <c r="E128" s="10">
        <v>0</v>
      </c>
      <c r="F128" s="1">
        <v>3.89</v>
      </c>
      <c r="G128" s="1">
        <v>3.97</v>
      </c>
      <c r="H128" s="1">
        <v>3.28</v>
      </c>
      <c r="I128" s="1">
        <v>1.1499999999999999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44077.572777777779</v>
      </c>
      <c r="B129" s="1" t="s">
        <v>2584</v>
      </c>
      <c r="C129" s="1" t="s">
        <v>3247</v>
      </c>
      <c r="D129" s="1"/>
      <c r="E129" s="1" t="s">
        <v>2585</v>
      </c>
      <c r="F129" s="1">
        <v>3.89</v>
      </c>
      <c r="G129" s="1">
        <v>3.97</v>
      </c>
      <c r="H129" s="1">
        <v>3.28</v>
      </c>
      <c r="I129" s="1">
        <v>1.1499999999999999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44077.572835648149</v>
      </c>
      <c r="B130" s="1" t="s">
        <v>2584</v>
      </c>
      <c r="C130" s="1" t="s">
        <v>3116</v>
      </c>
      <c r="D130" s="1" t="s">
        <v>3117</v>
      </c>
      <c r="E130" s="10">
        <v>0</v>
      </c>
      <c r="F130" s="1">
        <v>3.89</v>
      </c>
      <c r="G130" s="1">
        <v>3.97</v>
      </c>
      <c r="H130" s="1">
        <v>3.28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44077.572858796295</v>
      </c>
      <c r="B131" s="1" t="s">
        <v>2584</v>
      </c>
      <c r="C131" s="1" t="s">
        <v>3247</v>
      </c>
      <c r="D131" s="1"/>
      <c r="E131" s="1" t="s">
        <v>2585</v>
      </c>
      <c r="F131" s="1">
        <v>3.89</v>
      </c>
      <c r="G131" s="1">
        <v>3.97</v>
      </c>
      <c r="H131" s="1">
        <v>3.28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44077.572974537034</v>
      </c>
      <c r="B132" s="1" t="s">
        <v>2584</v>
      </c>
      <c r="C132" s="1" t="s">
        <v>3116</v>
      </c>
      <c r="D132" s="1" t="s">
        <v>3117</v>
      </c>
      <c r="E132" s="1">
        <v>0</v>
      </c>
      <c r="F132" s="1">
        <v>3.89</v>
      </c>
      <c r="G132" s="1">
        <v>3.97</v>
      </c>
      <c r="H132" s="1">
        <v>3.28</v>
      </c>
      <c r="I132" s="1">
        <v>1.1499999999999999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44077.573020833333</v>
      </c>
      <c r="B133" s="1" t="s">
        <v>2584</v>
      </c>
      <c r="C133" s="1" t="s">
        <v>3247</v>
      </c>
      <c r="D133" s="1"/>
      <c r="E133" s="1" t="s">
        <v>2585</v>
      </c>
      <c r="F133" s="1">
        <v>3.89</v>
      </c>
      <c r="G133" s="1">
        <v>3.97</v>
      </c>
      <c r="H133" s="1">
        <v>3.28</v>
      </c>
      <c r="I133" s="1">
        <v>1.1499999999999999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44077.573460648149</v>
      </c>
      <c r="B134" s="1" t="s">
        <v>2584</v>
      </c>
      <c r="C134" s="1" t="s">
        <v>3116</v>
      </c>
      <c r="D134" s="1" t="s">
        <v>3117</v>
      </c>
      <c r="E134" s="1">
        <v>0</v>
      </c>
      <c r="F134" s="1">
        <v>3.89</v>
      </c>
      <c r="G134" s="1">
        <v>3.97</v>
      </c>
      <c r="H134" s="1">
        <v>3.28</v>
      </c>
      <c r="I134" s="1">
        <v>1.1499999999999999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44077.573483796295</v>
      </c>
      <c r="B135" s="1" t="s">
        <v>2584</v>
      </c>
      <c r="C135" s="1" t="s">
        <v>3247</v>
      </c>
      <c r="D135" s="1"/>
      <c r="E135" s="10" t="s">
        <v>2585</v>
      </c>
      <c r="F135" s="1">
        <v>3.89</v>
      </c>
      <c r="G135" s="1">
        <v>3.97</v>
      </c>
      <c r="H135" s="1">
        <v>3.28</v>
      </c>
      <c r="I135" s="1">
        <v>1.1499999999999999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44077.573599537034</v>
      </c>
      <c r="B136" s="1" t="s">
        <v>2584</v>
      </c>
      <c r="C136" s="1" t="s">
        <v>3116</v>
      </c>
      <c r="D136" s="1" t="s">
        <v>3117</v>
      </c>
      <c r="E136" s="1">
        <v>0</v>
      </c>
      <c r="F136" s="1">
        <v>3.89</v>
      </c>
      <c r="G136" s="1">
        <v>3.97</v>
      </c>
      <c r="H136" s="1">
        <v>3.28</v>
      </c>
      <c r="I136" s="1">
        <v>1.1499999999999999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44077.573703703703</v>
      </c>
      <c r="B137" s="1" t="s">
        <v>2584</v>
      </c>
      <c r="C137" s="1" t="s">
        <v>3247</v>
      </c>
      <c r="D137" s="1"/>
      <c r="E137" s="10" t="s">
        <v>2585</v>
      </c>
      <c r="F137" s="1">
        <v>3.89</v>
      </c>
      <c r="G137" s="1">
        <v>3.97</v>
      </c>
      <c r="H137" s="1">
        <v>3.28</v>
      </c>
      <c r="I137" s="1">
        <v>1.1499999999999999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44077.574907407405</v>
      </c>
      <c r="B138" s="1" t="s">
        <v>2584</v>
      </c>
      <c r="C138" s="1" t="s">
        <v>3116</v>
      </c>
      <c r="D138" s="1" t="s">
        <v>3117</v>
      </c>
      <c r="E138" s="1">
        <v>0</v>
      </c>
      <c r="F138" s="1">
        <v>3.89</v>
      </c>
      <c r="G138" s="1">
        <v>3.97</v>
      </c>
      <c r="H138" s="1">
        <v>3.28</v>
      </c>
      <c r="I138" s="1">
        <v>1.1499999999999999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44077.574918981481</v>
      </c>
      <c r="B139" s="1" t="s">
        <v>2584</v>
      </c>
      <c r="C139" s="1" t="s">
        <v>3247</v>
      </c>
      <c r="D139" s="1"/>
      <c r="E139" s="1" t="s">
        <v>2585</v>
      </c>
      <c r="F139" s="1">
        <v>3.89</v>
      </c>
      <c r="G139" s="1">
        <v>3.97</v>
      </c>
      <c r="H139" s="1">
        <v>3.28</v>
      </c>
      <c r="I139" s="1">
        <v>1.1499999999999999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44077.574942129628</v>
      </c>
      <c r="B140" s="1" t="s">
        <v>2584</v>
      </c>
      <c r="C140" s="1" t="s">
        <v>3116</v>
      </c>
      <c r="D140" s="1" t="s">
        <v>3117</v>
      </c>
      <c r="E140" s="1">
        <v>0</v>
      </c>
      <c r="F140" s="1">
        <v>3.89</v>
      </c>
      <c r="G140" s="1">
        <v>3.97</v>
      </c>
      <c r="H140" s="1">
        <v>3.28</v>
      </c>
      <c r="I140" s="1">
        <v>1.1499999999999999</v>
      </c>
      <c r="J140" s="1" t="b">
        <v>0</v>
      </c>
      <c r="K140" s="1" t="b">
        <v>0</v>
      </c>
      <c r="L140" s="1" t="b">
        <v>0</v>
      </c>
      <c r="M140" s="1" t="b">
        <v>1</v>
      </c>
      <c r="N140" s="1" t="b">
        <v>1</v>
      </c>
      <c r="O140" s="1" t="b">
        <v>0</v>
      </c>
    </row>
    <row r="141" spans="1:15" ht="15.95" customHeight="1" x14ac:dyDescent="0.25">
      <c r="A141" s="4">
        <v>44077.574953703705</v>
      </c>
      <c r="B141" s="1" t="s">
        <v>2584</v>
      </c>
      <c r="C141" s="1" t="s">
        <v>3247</v>
      </c>
      <c r="D141" s="1"/>
      <c r="E141" s="10" t="s">
        <v>2585</v>
      </c>
      <c r="F141" s="1">
        <v>3.89</v>
      </c>
      <c r="G141" s="1">
        <v>3.97</v>
      </c>
      <c r="H141" s="1">
        <v>3.28</v>
      </c>
      <c r="I141" s="1">
        <v>1.1499999999999999</v>
      </c>
      <c r="J141" s="1" t="b">
        <v>0</v>
      </c>
      <c r="K141" s="1" t="b">
        <v>0</v>
      </c>
      <c r="L141" s="1" t="b">
        <v>0</v>
      </c>
      <c r="M141" s="1" t="b">
        <v>1</v>
      </c>
      <c r="N141" s="1" t="b">
        <v>1</v>
      </c>
      <c r="O141" s="1" t="b">
        <v>0</v>
      </c>
    </row>
    <row r="142" spans="1:15" ht="15.95" customHeight="1" x14ac:dyDescent="0.25">
      <c r="A142" s="4">
        <v>44077.577245370368</v>
      </c>
      <c r="B142" s="1" t="s">
        <v>2584</v>
      </c>
      <c r="C142" s="1" t="s">
        <v>3116</v>
      </c>
      <c r="D142" s="1" t="s">
        <v>3117</v>
      </c>
      <c r="E142" s="10">
        <v>0</v>
      </c>
      <c r="F142" s="1">
        <v>3.89</v>
      </c>
      <c r="G142" s="1">
        <v>3.97</v>
      </c>
      <c r="H142" s="1">
        <v>3.28</v>
      </c>
      <c r="I142" s="1">
        <v>1.1499999999999999</v>
      </c>
      <c r="J142" s="1" t="b">
        <v>0</v>
      </c>
      <c r="K142" s="1" t="b">
        <v>0</v>
      </c>
      <c r="L142" s="1" t="b">
        <v>0</v>
      </c>
      <c r="M142" s="1" t="b">
        <v>1</v>
      </c>
      <c r="N142" s="1" t="b">
        <v>1</v>
      </c>
      <c r="O142" s="1" t="b">
        <v>0</v>
      </c>
    </row>
    <row r="143" spans="1:15" ht="15.95" customHeight="1" x14ac:dyDescent="0.25">
      <c r="A143" s="4">
        <v>44077.577268518522</v>
      </c>
      <c r="B143" s="1" t="s">
        <v>2584</v>
      </c>
      <c r="C143" s="1" t="s">
        <v>3247</v>
      </c>
      <c r="D143" s="1"/>
      <c r="E143" s="1" t="s">
        <v>2585</v>
      </c>
      <c r="F143" s="1">
        <v>3.89</v>
      </c>
      <c r="G143" s="1">
        <v>3.97</v>
      </c>
      <c r="H143" s="1">
        <v>3.28</v>
      </c>
      <c r="I143" s="1">
        <v>1.1499999999999999</v>
      </c>
      <c r="J143" s="1" t="b">
        <v>0</v>
      </c>
      <c r="K143" s="1" t="b">
        <v>0</v>
      </c>
      <c r="L143" s="1" t="b">
        <v>0</v>
      </c>
      <c r="M143" s="1" t="b">
        <v>1</v>
      </c>
      <c r="N143" s="1" t="b">
        <v>1</v>
      </c>
      <c r="O143" s="1" t="b">
        <v>0</v>
      </c>
    </row>
    <row r="144" spans="1:15" ht="15.95" customHeight="1" x14ac:dyDescent="0.25">
      <c r="A144" s="4">
        <v>44077.585405092592</v>
      </c>
      <c r="B144" s="1" t="s">
        <v>2584</v>
      </c>
      <c r="C144" s="1" t="s">
        <v>3116</v>
      </c>
      <c r="D144" s="1" t="s">
        <v>3117</v>
      </c>
      <c r="E144" s="10">
        <v>0</v>
      </c>
      <c r="F144" s="1">
        <v>3.89</v>
      </c>
      <c r="G144" s="1">
        <v>3.97</v>
      </c>
      <c r="H144" s="1">
        <v>3.28</v>
      </c>
      <c r="I144" s="1">
        <v>1.1499999999999999</v>
      </c>
      <c r="J144" s="1" t="b">
        <v>0</v>
      </c>
      <c r="K144" s="1" t="b">
        <v>0</v>
      </c>
      <c r="L144" s="1" t="b">
        <v>0</v>
      </c>
      <c r="M144" s="1" t="b">
        <v>1</v>
      </c>
      <c r="N144" s="1" t="b">
        <v>1</v>
      </c>
      <c r="O144" s="1" t="b">
        <v>0</v>
      </c>
    </row>
    <row r="145" spans="1:15" ht="15.95" customHeight="1" x14ac:dyDescent="0.25">
      <c r="A145" s="4">
        <v>44077.585416666669</v>
      </c>
      <c r="B145" s="1" t="s">
        <v>2584</v>
      </c>
      <c r="C145" s="1" t="s">
        <v>3247</v>
      </c>
      <c r="D145" s="1"/>
      <c r="E145" s="1" t="s">
        <v>2585</v>
      </c>
      <c r="F145" s="1">
        <v>3.89</v>
      </c>
      <c r="G145" s="1">
        <v>3.97</v>
      </c>
      <c r="H145" s="1">
        <v>3.28</v>
      </c>
      <c r="I145" s="1">
        <v>1.1499999999999999</v>
      </c>
      <c r="J145" s="1" t="b">
        <v>0</v>
      </c>
      <c r="K145" s="1" t="b">
        <v>0</v>
      </c>
      <c r="L145" s="1" t="b">
        <v>0</v>
      </c>
      <c r="M145" s="1" t="b">
        <v>1</v>
      </c>
      <c r="N145" s="1" t="b">
        <v>1</v>
      </c>
      <c r="O145" s="1" t="b">
        <v>0</v>
      </c>
    </row>
    <row r="146" spans="1:15" ht="15.95" customHeight="1" x14ac:dyDescent="0.25">
      <c r="A146" s="4">
        <v>44077.585497685184</v>
      </c>
      <c r="B146" s="1" t="s">
        <v>2584</v>
      </c>
      <c r="C146" s="1" t="s">
        <v>3116</v>
      </c>
      <c r="D146" s="1" t="s">
        <v>3117</v>
      </c>
      <c r="E146" s="10">
        <v>0</v>
      </c>
      <c r="F146" s="1">
        <v>3.89</v>
      </c>
      <c r="G146" s="1">
        <v>3.97</v>
      </c>
      <c r="H146" s="1">
        <v>3.28</v>
      </c>
      <c r="I146" s="1">
        <v>1.1499999999999999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44077.585509259261</v>
      </c>
      <c r="B147" s="1" t="s">
        <v>2584</v>
      </c>
      <c r="C147" s="1" t="s">
        <v>3247</v>
      </c>
      <c r="D147" s="1"/>
      <c r="E147" s="1" t="s">
        <v>2585</v>
      </c>
      <c r="F147" s="1">
        <v>3.89</v>
      </c>
      <c r="G147" s="1">
        <v>3.97</v>
      </c>
      <c r="H147" s="1">
        <v>3.28</v>
      </c>
      <c r="I147" s="1">
        <v>1.1499999999999999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44077.588067129633</v>
      </c>
      <c r="B148" s="1" t="s">
        <v>2584</v>
      </c>
      <c r="C148" s="1" t="s">
        <v>3116</v>
      </c>
      <c r="D148" s="1" t="s">
        <v>3117</v>
      </c>
      <c r="E148" s="1">
        <v>0</v>
      </c>
      <c r="F148" s="1">
        <v>3.89</v>
      </c>
      <c r="G148" s="1">
        <v>3.97</v>
      </c>
      <c r="H148" s="1">
        <v>3.28</v>
      </c>
      <c r="I148" s="1">
        <v>1.1499999999999999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44077.588171296295</v>
      </c>
      <c r="B149" s="1" t="s">
        <v>2584</v>
      </c>
      <c r="C149" s="1" t="s">
        <v>3271</v>
      </c>
      <c r="D149" s="1" t="s">
        <v>3117</v>
      </c>
      <c r="E149" s="10">
        <v>1</v>
      </c>
      <c r="F149" s="1">
        <v>3.89</v>
      </c>
      <c r="G149" s="1">
        <v>3.97</v>
      </c>
      <c r="H149" s="1">
        <v>3.28</v>
      </c>
      <c r="I149" s="1">
        <v>1.1499999999999999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44077.588229166664</v>
      </c>
      <c r="B150" s="1" t="s">
        <v>2584</v>
      </c>
      <c r="C150" s="1" t="s">
        <v>3116</v>
      </c>
      <c r="D150" s="1" t="s">
        <v>3117</v>
      </c>
      <c r="E150" s="1">
        <v>0</v>
      </c>
      <c r="F150" s="1">
        <v>3.89</v>
      </c>
      <c r="G150" s="1">
        <v>3.97</v>
      </c>
      <c r="H150" s="1">
        <v>3.28</v>
      </c>
      <c r="I150" s="1">
        <v>1.1499999999999999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44077.588240740741</v>
      </c>
      <c r="B151" s="1" t="s">
        <v>2584</v>
      </c>
      <c r="C151" s="1" t="s">
        <v>3247</v>
      </c>
      <c r="D151" s="1"/>
      <c r="E151" s="10" t="s">
        <v>2585</v>
      </c>
      <c r="F151" s="1">
        <v>3.89</v>
      </c>
      <c r="G151" s="1">
        <v>3.97</v>
      </c>
      <c r="H151" s="1">
        <v>3.28</v>
      </c>
      <c r="I151" s="1">
        <v>1.1499999999999999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44077.588310185187</v>
      </c>
      <c r="B152" s="1" t="s">
        <v>2584</v>
      </c>
      <c r="C152" s="1" t="s">
        <v>3116</v>
      </c>
      <c r="D152" s="1" t="s">
        <v>3117</v>
      </c>
      <c r="E152" s="1">
        <v>0</v>
      </c>
      <c r="F152" s="1">
        <v>3.89</v>
      </c>
      <c r="G152" s="1">
        <v>3.97</v>
      </c>
      <c r="H152" s="1">
        <v>3.28</v>
      </c>
      <c r="I152" s="1">
        <v>1.1499999999999999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44077.588321759256</v>
      </c>
      <c r="B153" s="1" t="s">
        <v>2584</v>
      </c>
      <c r="C153" s="1" t="s">
        <v>3247</v>
      </c>
      <c r="D153" s="1"/>
      <c r="E153" s="1" t="s">
        <v>2585</v>
      </c>
      <c r="F153" s="1">
        <v>3.89</v>
      </c>
      <c r="G153" s="1">
        <v>3.97</v>
      </c>
      <c r="H153" s="1">
        <v>3.28</v>
      </c>
      <c r="I153" s="1">
        <v>1.1499999999999999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44077.588425925926</v>
      </c>
      <c r="B154" s="1" t="s">
        <v>2584</v>
      </c>
      <c r="C154" s="1" t="s">
        <v>3116</v>
      </c>
      <c r="D154" s="1" t="s">
        <v>3117</v>
      </c>
      <c r="E154" s="1">
        <v>0</v>
      </c>
      <c r="F154" s="1">
        <v>3.89</v>
      </c>
      <c r="G154" s="1">
        <v>3.97</v>
      </c>
      <c r="H154" s="1">
        <v>3.28</v>
      </c>
      <c r="I154" s="1">
        <v>1.1499999999999999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44077.588437500002</v>
      </c>
      <c r="B155" s="1" t="s">
        <v>2584</v>
      </c>
      <c r="C155" s="1" t="s">
        <v>3247</v>
      </c>
      <c r="D155" s="1"/>
      <c r="E155" s="1" t="s">
        <v>2585</v>
      </c>
      <c r="F155" s="1">
        <v>3.89</v>
      </c>
      <c r="G155" s="1">
        <v>3.97</v>
      </c>
      <c r="H155" s="1">
        <v>3.28</v>
      </c>
      <c r="I155" s="1">
        <v>1.1499999999999999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44077.588495370372</v>
      </c>
      <c r="B156" s="1" t="s">
        <v>2584</v>
      </c>
      <c r="C156" s="1" t="s">
        <v>3116</v>
      </c>
      <c r="D156" s="1" t="s">
        <v>3117</v>
      </c>
      <c r="E156" s="10">
        <v>0</v>
      </c>
      <c r="F156" s="1">
        <v>3.89</v>
      </c>
      <c r="G156" s="1">
        <v>3.97</v>
      </c>
      <c r="H156" s="1">
        <v>3.28</v>
      </c>
      <c r="I156" s="1">
        <v>1.1499999999999999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0</v>
      </c>
      <c r="O156" s="1" t="b">
        <v>0</v>
      </c>
    </row>
    <row r="157" spans="1:15" ht="15.95" customHeight="1" x14ac:dyDescent="0.25">
      <c r="A157" s="4">
        <v>44077.588518518518</v>
      </c>
      <c r="B157" s="1" t="s">
        <v>2584</v>
      </c>
      <c r="C157" s="1" t="s">
        <v>3247</v>
      </c>
      <c r="D157" s="1"/>
      <c r="E157" s="1" t="s">
        <v>2585</v>
      </c>
      <c r="F157" s="1">
        <v>3.89</v>
      </c>
      <c r="G157" s="1">
        <v>3.97</v>
      </c>
      <c r="H157" s="1">
        <v>3.28</v>
      </c>
      <c r="I157" s="1">
        <v>1.1499999999999999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</row>
    <row r="158" spans="1:15" ht="15.95" customHeight="1" x14ac:dyDescent="0.25">
      <c r="A158" s="4">
        <v>44077.588541666664</v>
      </c>
      <c r="B158" s="1" t="s">
        <v>2584</v>
      </c>
      <c r="C158" s="1" t="s">
        <v>3116</v>
      </c>
      <c r="D158" s="1" t="s">
        <v>3117</v>
      </c>
      <c r="E158" s="1">
        <v>0</v>
      </c>
      <c r="F158" s="1">
        <v>3.89</v>
      </c>
      <c r="G158" s="1">
        <v>3.97</v>
      </c>
      <c r="H158" s="1">
        <v>3.28</v>
      </c>
      <c r="I158" s="1">
        <v>1.1499999999999999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1</v>
      </c>
    </row>
    <row r="159" spans="1:15" ht="15.95" customHeight="1" x14ac:dyDescent="0.25">
      <c r="A159" s="4">
        <v>44077.588553240741</v>
      </c>
      <c r="B159" s="1" t="s">
        <v>2584</v>
      </c>
      <c r="C159" s="1" t="s">
        <v>3247</v>
      </c>
      <c r="D159" s="1"/>
      <c r="E159" s="1" t="s">
        <v>2585</v>
      </c>
      <c r="F159" s="1">
        <v>3.89</v>
      </c>
      <c r="G159" s="1">
        <v>3.97</v>
      </c>
      <c r="H159" s="1">
        <v>3.28</v>
      </c>
      <c r="I159" s="1">
        <v>1.1499999999999999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1</v>
      </c>
    </row>
    <row r="160" spans="1:15" ht="15.95" customHeight="1" x14ac:dyDescent="0.25">
      <c r="A160" s="4">
        <v>44077.58871527778</v>
      </c>
      <c r="B160" s="1" t="s">
        <v>2584</v>
      </c>
      <c r="C160" s="1" t="s">
        <v>3116</v>
      </c>
      <c r="D160" s="1" t="s">
        <v>3117</v>
      </c>
      <c r="E160" s="10">
        <v>0</v>
      </c>
      <c r="F160" s="1">
        <v>3.89</v>
      </c>
      <c r="G160" s="1">
        <v>3.97</v>
      </c>
      <c r="H160" s="1">
        <v>3.28</v>
      </c>
      <c r="I160" s="1">
        <v>1.1499999999999999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44077.588738425926</v>
      </c>
      <c r="B161" s="1" t="s">
        <v>2584</v>
      </c>
      <c r="C161" s="1" t="s">
        <v>3247</v>
      </c>
      <c r="D161" s="1"/>
      <c r="E161" s="1" t="s">
        <v>2585</v>
      </c>
      <c r="F161" s="1">
        <v>3.89</v>
      </c>
      <c r="G161" s="1">
        <v>3.97</v>
      </c>
      <c r="H161" s="1">
        <v>3.28</v>
      </c>
      <c r="I161" s="1">
        <v>1.1499999999999999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44077.588796296295</v>
      </c>
      <c r="B162" s="1" t="s">
        <v>2584</v>
      </c>
      <c r="C162" s="1" t="s">
        <v>3116</v>
      </c>
      <c r="D162" s="1" t="s">
        <v>3117</v>
      </c>
      <c r="E162" s="1">
        <v>0</v>
      </c>
      <c r="F162" s="1">
        <v>3.89</v>
      </c>
      <c r="G162" s="1">
        <v>3.97</v>
      </c>
      <c r="H162" s="1">
        <v>3.28</v>
      </c>
      <c r="I162" s="1">
        <v>1.1499999999999999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44077.588831018518</v>
      </c>
      <c r="B163" s="1" t="s">
        <v>2584</v>
      </c>
      <c r="C163" s="1" t="s">
        <v>3116</v>
      </c>
      <c r="D163" s="1" t="s">
        <v>3117</v>
      </c>
      <c r="E163" s="1">
        <v>0</v>
      </c>
      <c r="F163" s="1">
        <v>3.89</v>
      </c>
      <c r="G163" s="1">
        <v>3.97</v>
      </c>
      <c r="H163" s="1">
        <v>3.28</v>
      </c>
      <c r="I163" s="1">
        <v>1.1499999999999999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44077.593900462962</v>
      </c>
      <c r="B164" s="1" t="s">
        <v>2584</v>
      </c>
      <c r="C164" s="1" t="s">
        <v>3116</v>
      </c>
      <c r="D164" s="1" t="s">
        <v>3117</v>
      </c>
      <c r="E164" s="1">
        <v>1</v>
      </c>
      <c r="F164" s="1">
        <v>3.89</v>
      </c>
      <c r="G164" s="1">
        <v>3.97</v>
      </c>
      <c r="H164" s="1">
        <v>3.28</v>
      </c>
      <c r="I164" s="1">
        <v>1.1499999999999999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44077.594004629631</v>
      </c>
      <c r="B165" s="1" t="s">
        <v>2584</v>
      </c>
      <c r="C165" s="1" t="s">
        <v>3116</v>
      </c>
      <c r="D165" s="1" t="s">
        <v>3117</v>
      </c>
      <c r="E165" s="10">
        <v>1</v>
      </c>
      <c r="F165" s="1">
        <v>3.89</v>
      </c>
      <c r="G165" s="1">
        <v>3.97</v>
      </c>
      <c r="H165" s="1">
        <v>3.28</v>
      </c>
      <c r="I165" s="1">
        <v>1.1499999999999999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44077.594050925924</v>
      </c>
      <c r="B166" s="1" t="s">
        <v>2584</v>
      </c>
      <c r="C166" s="1" t="s">
        <v>3116</v>
      </c>
      <c r="D166" s="1" t="s">
        <v>3117</v>
      </c>
      <c r="E166" s="1">
        <v>0</v>
      </c>
      <c r="F166" s="1">
        <v>3.89</v>
      </c>
      <c r="G166" s="1">
        <v>3.97</v>
      </c>
      <c r="H166" s="1">
        <v>3.28</v>
      </c>
      <c r="I166" s="1">
        <v>1.1499999999999999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44077.594143518516</v>
      </c>
      <c r="B167" s="1" t="s">
        <v>2584</v>
      </c>
      <c r="C167" s="1" t="s">
        <v>3116</v>
      </c>
      <c r="D167" s="1" t="s">
        <v>3117</v>
      </c>
      <c r="E167" s="1">
        <v>0</v>
      </c>
      <c r="F167" s="1">
        <v>3.89</v>
      </c>
      <c r="G167" s="1">
        <v>3.97</v>
      </c>
      <c r="H167" s="1">
        <v>3.28</v>
      </c>
      <c r="I167" s="1">
        <v>1.1499999999999999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44077.594155092593</v>
      </c>
      <c r="B168" s="1" t="s">
        <v>2584</v>
      </c>
      <c r="C168" s="1" t="s">
        <v>3247</v>
      </c>
      <c r="D168" s="1"/>
      <c r="E168" s="1" t="s">
        <v>2585</v>
      </c>
      <c r="F168" s="1">
        <v>3.89</v>
      </c>
      <c r="G168" s="1">
        <v>3.97</v>
      </c>
      <c r="H168" s="1">
        <v>3.28</v>
      </c>
      <c r="I168" s="1">
        <v>1.1499999999999999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44077.594282407408</v>
      </c>
      <c r="B169" s="1" t="s">
        <v>2584</v>
      </c>
      <c r="C169" s="1" t="s">
        <v>3116</v>
      </c>
      <c r="D169" s="1" t="s">
        <v>3117</v>
      </c>
      <c r="E169" s="1">
        <v>0</v>
      </c>
      <c r="F169" s="1">
        <v>3.89</v>
      </c>
      <c r="G169" s="1">
        <v>3.97</v>
      </c>
      <c r="H169" s="1">
        <v>3.28</v>
      </c>
      <c r="I169" s="1">
        <v>1.1499999999999999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44077.59447916667</v>
      </c>
      <c r="B170" s="1" t="s">
        <v>2584</v>
      </c>
      <c r="C170" s="1" t="s">
        <v>3116</v>
      </c>
      <c r="D170" s="1" t="s">
        <v>3117</v>
      </c>
      <c r="E170" s="1">
        <v>0</v>
      </c>
      <c r="F170" s="1">
        <v>3.89</v>
      </c>
      <c r="G170" s="1">
        <v>3.97</v>
      </c>
      <c r="H170" s="1">
        <v>3.28</v>
      </c>
      <c r="I170" s="1">
        <v>1.1499999999999999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44077.594652777778</v>
      </c>
      <c r="B171" s="1" t="s">
        <v>2584</v>
      </c>
      <c r="C171" s="1" t="s">
        <v>3116</v>
      </c>
      <c r="D171" s="1" t="s">
        <v>3117</v>
      </c>
      <c r="E171" s="1">
        <v>0</v>
      </c>
      <c r="F171" s="1">
        <v>3.89</v>
      </c>
      <c r="G171" s="1">
        <v>3.97</v>
      </c>
      <c r="H171" s="1">
        <v>3.28</v>
      </c>
      <c r="I171" s="1">
        <v>1.1499999999999999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44077.594675925924</v>
      </c>
      <c r="B172" s="1" t="s">
        <v>2584</v>
      </c>
      <c r="C172" s="1" t="s">
        <v>3247</v>
      </c>
      <c r="D172" s="1"/>
      <c r="E172" s="10" t="s">
        <v>2585</v>
      </c>
      <c r="F172" s="1">
        <v>3.89</v>
      </c>
      <c r="G172" s="1">
        <v>3.97</v>
      </c>
      <c r="H172" s="1">
        <v>3.28</v>
      </c>
      <c r="I172" s="1">
        <v>1.1499999999999999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44077.639837962961</v>
      </c>
      <c r="B173" s="1" t="s">
        <v>2584</v>
      </c>
      <c r="C173" s="1" t="s">
        <v>2373</v>
      </c>
      <c r="D173" s="1" t="b">
        <v>1</v>
      </c>
      <c r="E173" s="1" t="s">
        <v>3275</v>
      </c>
      <c r="F173" s="1">
        <v>3.89</v>
      </c>
      <c r="G173" s="1">
        <v>3.97</v>
      </c>
      <c r="H173" s="1">
        <v>3.28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44077.640960648147</v>
      </c>
      <c r="B174" s="1" t="s">
        <v>2584</v>
      </c>
      <c r="C174" s="1" t="s">
        <v>2373</v>
      </c>
      <c r="D174" s="1" t="b">
        <v>1</v>
      </c>
      <c r="E174" s="1" t="s">
        <v>3275</v>
      </c>
      <c r="F174" s="1">
        <v>3.89</v>
      </c>
      <c r="G174" s="1">
        <v>3.97</v>
      </c>
      <c r="H174" s="1">
        <v>3.28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44077.657222222224</v>
      </c>
      <c r="B175" s="1" t="s">
        <v>2584</v>
      </c>
      <c r="C175" s="1" t="s">
        <v>3116</v>
      </c>
      <c r="D175" s="1" t="s">
        <v>3117</v>
      </c>
      <c r="E175" s="1">
        <v>0</v>
      </c>
      <c r="F175" s="1">
        <v>3.89</v>
      </c>
      <c r="G175" s="1">
        <v>3.97</v>
      </c>
      <c r="H175" s="1">
        <v>3.28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.95" customHeight="1" x14ac:dyDescent="0.25">
      <c r="A177" s="4"/>
      <c r="B177" s="1"/>
      <c r="C177" s="1"/>
      <c r="D177" s="1"/>
      <c r="E177" s="10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.95" customHeight="1" x14ac:dyDescent="0.25">
      <c r="A178" s="4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.95" customHeight="1" x14ac:dyDescent="0.25">
      <c r="A179" s="4"/>
      <c r="B179" s="1"/>
      <c r="C179" s="1"/>
      <c r="D179" s="1"/>
      <c r="E179" s="10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.95" customHeight="1" x14ac:dyDescent="0.25">
      <c r="A180" s="4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/>
      <c r="B184" s="1"/>
      <c r="C184" s="1"/>
      <c r="D184" s="1"/>
      <c r="E184" s="10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/>
      <c r="B186" s="1"/>
      <c r="C186" s="1"/>
      <c r="D186" s="1"/>
      <c r="E186" s="10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/>
      <c r="B191" s="1"/>
      <c r="C191" s="1"/>
      <c r="D191" s="1"/>
      <c r="E191" s="10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/>
      <c r="B193" s="1"/>
      <c r="C193" s="1"/>
      <c r="D193" s="1"/>
      <c r="E193" s="10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/>
      <c r="B198" s="1"/>
      <c r="C198" s="1"/>
      <c r="D198" s="1"/>
      <c r="E198" s="10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4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4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4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4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4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4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4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4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4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4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4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4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4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4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4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4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4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4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0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0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0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0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1"/>
    </row>
    <row r="1002" spans="1:15" x14ac:dyDescent="0.25">
      <c r="A1002" s="11"/>
    </row>
    <row r="1003" spans="1:15" x14ac:dyDescent="0.25">
      <c r="A1003" s="11"/>
    </row>
    <row r="1004" spans="1:15" x14ac:dyDescent="0.25">
      <c r="A1004" s="11"/>
    </row>
    <row r="1005" spans="1:15" x14ac:dyDescent="0.25">
      <c r="A1005" s="11"/>
    </row>
    <row r="1006" spans="1:15" x14ac:dyDescent="0.25">
      <c r="A1006" s="11"/>
    </row>
    <row r="1007" spans="1:15" x14ac:dyDescent="0.25">
      <c r="A1007" s="11"/>
    </row>
    <row r="1008" spans="1:15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U36"/>
  <sheetViews>
    <sheetView tabSelected="1" topLeftCell="A13" zoomScale="80" zoomScaleNormal="80" workbookViewId="0">
      <selection activeCell="X18" sqref="X18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02" t="s">
        <v>3019</v>
      </c>
      <c r="B1" s="96" t="s">
        <v>2903</v>
      </c>
      <c r="C1" s="96" t="s">
        <v>2904</v>
      </c>
      <c r="D1" s="96" t="s">
        <v>2905</v>
      </c>
      <c r="E1" s="96" t="s">
        <v>3018</v>
      </c>
      <c r="F1" s="96" t="s">
        <v>3017</v>
      </c>
      <c r="G1" s="96" t="s">
        <v>3016</v>
      </c>
      <c r="H1" s="98" t="s">
        <v>3015</v>
      </c>
      <c r="I1" s="99"/>
      <c r="J1" s="100"/>
      <c r="K1" s="98" t="s">
        <v>2913</v>
      </c>
      <c r="L1" s="99"/>
      <c r="M1" s="99"/>
      <c r="N1" s="99"/>
      <c r="O1" s="99"/>
      <c r="P1" s="99"/>
      <c r="Q1" s="100"/>
      <c r="R1" s="96" t="s">
        <v>3014</v>
      </c>
      <c r="S1" s="98" t="s">
        <v>3013</v>
      </c>
      <c r="T1" s="99"/>
      <c r="U1" s="101"/>
    </row>
    <row r="2" spans="1:21" ht="63" x14ac:dyDescent="0.25">
      <c r="A2" s="103"/>
      <c r="B2" s="97"/>
      <c r="C2" s="97"/>
      <c r="D2" s="97"/>
      <c r="E2" s="97"/>
      <c r="F2" s="97"/>
      <c r="G2" s="97"/>
      <c r="H2" s="90" t="s">
        <v>3012</v>
      </c>
      <c r="I2" s="90" t="s">
        <v>3011</v>
      </c>
      <c r="J2" s="90" t="s">
        <v>3010</v>
      </c>
      <c r="K2" s="90" t="s">
        <v>3009</v>
      </c>
      <c r="L2" s="90" t="s">
        <v>3008</v>
      </c>
      <c r="M2" s="90" t="s">
        <v>3007</v>
      </c>
      <c r="N2" s="90" t="s">
        <v>3006</v>
      </c>
      <c r="O2" s="90" t="s">
        <v>3005</v>
      </c>
      <c r="P2" s="90" t="s">
        <v>3004</v>
      </c>
      <c r="Q2" s="90" t="s">
        <v>3003</v>
      </c>
      <c r="R2" s="97"/>
      <c r="S2" s="90" t="s">
        <v>3002</v>
      </c>
      <c r="T2" s="90" t="s">
        <v>3001</v>
      </c>
      <c r="U2" s="92" t="s">
        <v>3000</v>
      </c>
    </row>
    <row r="3" spans="1:21" ht="15.75" x14ac:dyDescent="0.25">
      <c r="A3" s="49" t="str">
        <f>A4</f>
        <v>Спм1</v>
      </c>
      <c r="B3" s="48" t="s">
        <v>2979</v>
      </c>
      <c r="C3" s="48" t="s">
        <v>3098</v>
      </c>
      <c r="D3" s="48" t="s">
        <v>3089</v>
      </c>
      <c r="E3" s="48">
        <f>0.78*107</f>
        <v>83.460000000000008</v>
      </c>
      <c r="F3" s="48" t="s">
        <v>4</v>
      </c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7"/>
    </row>
    <row r="4" spans="1:21" ht="15.75" x14ac:dyDescent="0.25">
      <c r="A4" s="49" t="str">
        <f>A5</f>
        <v>Спм1</v>
      </c>
      <c r="B4" s="48" t="s">
        <v>2979</v>
      </c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7"/>
    </row>
    <row r="5" spans="1:21" ht="15.75" x14ac:dyDescent="0.25">
      <c r="A5" s="49" t="str">
        <f>A6</f>
        <v>Спм1</v>
      </c>
      <c r="B5" s="48" t="s">
        <v>2979</v>
      </c>
      <c r="C5" s="48"/>
      <c r="D5" s="48" t="s">
        <v>3097</v>
      </c>
      <c r="E5" s="48">
        <f>1.6*107</f>
        <v>171.20000000000002</v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7"/>
    </row>
    <row r="6" spans="1:21" ht="15.75" x14ac:dyDescent="0.25">
      <c r="A6" s="49" t="str">
        <f>A8</f>
        <v>Спм1</v>
      </c>
      <c r="B6" s="48" t="s">
        <v>2979</v>
      </c>
      <c r="C6" s="48"/>
      <c r="D6" s="48" t="s">
        <v>3096</v>
      </c>
      <c r="E6" s="48">
        <v>200</v>
      </c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7"/>
    </row>
    <row r="7" spans="1:21" ht="15.75" x14ac:dyDescent="0.25">
      <c r="A7" s="49" t="str">
        <f>A8</f>
        <v>Спм1</v>
      </c>
      <c r="B7" s="48" t="s">
        <v>2979</v>
      </c>
      <c r="C7" s="48"/>
      <c r="D7" s="48" t="s">
        <v>3095</v>
      </c>
      <c r="E7" s="48">
        <v>107000</v>
      </c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7"/>
    </row>
    <row r="8" spans="1:21" ht="15.75" x14ac:dyDescent="0.25">
      <c r="A8" s="49" t="str">
        <f>A9</f>
        <v>Спм1</v>
      </c>
      <c r="B8" s="48" t="s">
        <v>2979</v>
      </c>
      <c r="C8" s="48"/>
      <c r="D8" s="48" t="s">
        <v>3094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7"/>
    </row>
    <row r="9" spans="1:21" ht="15.75" x14ac:dyDescent="0.25">
      <c r="A9" s="49" t="str">
        <f>A10</f>
        <v>Спм1</v>
      </c>
      <c r="B9" s="48" t="s">
        <v>2979</v>
      </c>
      <c r="C9" s="48"/>
      <c r="D9" s="48" t="s">
        <v>3093</v>
      </c>
      <c r="E9" s="48">
        <f>2.3*107</f>
        <v>246.1</v>
      </c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7"/>
    </row>
    <row r="10" spans="1:21" ht="15.75" x14ac:dyDescent="0.25">
      <c r="A10" s="49" t="str">
        <f>A11</f>
        <v>Спм1</v>
      </c>
      <c r="B10" s="48" t="s">
        <v>2979</v>
      </c>
      <c r="C10" s="48"/>
      <c r="D10" s="48" t="s">
        <v>3092</v>
      </c>
      <c r="E10" s="48">
        <f>1.8*107.2</f>
        <v>192.96</v>
      </c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7"/>
    </row>
    <row r="11" spans="1:21" ht="31.5" x14ac:dyDescent="0.25">
      <c r="A11" s="46" t="str">
        <f>B11</f>
        <v>Спм1</v>
      </c>
      <c r="B11" s="45" t="s">
        <v>3091</v>
      </c>
      <c r="C11" s="45"/>
      <c r="D11" s="45" t="s">
        <v>3090</v>
      </c>
      <c r="E11" s="45">
        <v>1</v>
      </c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4"/>
    </row>
    <row r="12" spans="1:21" ht="15.75" x14ac:dyDescent="0.25">
      <c r="A12" s="91" t="str">
        <f t="shared" ref="A12:A28" si="0">$B$11</f>
        <v>Спм1</v>
      </c>
      <c r="B12" s="90"/>
      <c r="C12" s="53" t="s">
        <v>3081</v>
      </c>
      <c r="D12" s="53" t="s">
        <v>3089</v>
      </c>
      <c r="E12" s="53">
        <f>E3</f>
        <v>83.460000000000008</v>
      </c>
      <c r="F12" s="48" t="s">
        <v>4</v>
      </c>
      <c r="G12" s="90" t="s">
        <v>3</v>
      </c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2"/>
    </row>
    <row r="13" spans="1:21" ht="15.75" x14ac:dyDescent="0.25">
      <c r="A13" s="91" t="str">
        <f t="shared" si="0"/>
        <v>Спм1</v>
      </c>
      <c r="B13" s="90"/>
      <c r="C13" s="53" t="s">
        <v>3081</v>
      </c>
      <c r="D13" s="53" t="s">
        <v>3239</v>
      </c>
      <c r="E13" s="53">
        <f>E9*0.1</f>
        <v>24.61</v>
      </c>
      <c r="F13" s="48" t="s">
        <v>4</v>
      </c>
      <c r="G13" s="90" t="s">
        <v>3</v>
      </c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2"/>
    </row>
    <row r="14" spans="1:21" ht="15.75" x14ac:dyDescent="0.25">
      <c r="A14" s="91" t="str">
        <f t="shared" si="0"/>
        <v>Спм1</v>
      </c>
      <c r="B14" s="90"/>
      <c r="C14" s="53" t="s">
        <v>3081</v>
      </c>
      <c r="D14" s="53" t="s">
        <v>3088</v>
      </c>
      <c r="E14" s="53">
        <f>E10*0.1</f>
        <v>19.296000000000003</v>
      </c>
      <c r="F14" s="48" t="s">
        <v>4</v>
      </c>
      <c r="G14" s="90" t="s">
        <v>3</v>
      </c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2"/>
    </row>
    <row r="15" spans="1:21" ht="15.75" x14ac:dyDescent="0.25">
      <c r="A15" s="91" t="str">
        <f t="shared" si="0"/>
        <v>Спм1</v>
      </c>
      <c r="B15" s="90">
        <v>2</v>
      </c>
      <c r="C15" s="90" t="s">
        <v>3066</v>
      </c>
      <c r="D15" s="90" t="s">
        <v>3087</v>
      </c>
      <c r="E15" s="90">
        <v>2</v>
      </c>
      <c r="F15" s="48">
        <v>0.88800000000000001</v>
      </c>
      <c r="G15" s="90" t="s">
        <v>20</v>
      </c>
      <c r="H15" s="90">
        <v>1616851.9772999999</v>
      </c>
      <c r="I15" s="90">
        <v>12</v>
      </c>
      <c r="J15" s="90" t="s">
        <v>2</v>
      </c>
      <c r="K15" s="90"/>
      <c r="L15" s="90"/>
      <c r="M15" s="90"/>
      <c r="N15" s="90"/>
      <c r="O15" s="90"/>
      <c r="P15" s="90"/>
      <c r="Q15" s="90"/>
      <c r="R15" s="90"/>
      <c r="S15" s="90">
        <v>500</v>
      </c>
      <c r="T15" s="90">
        <v>600</v>
      </c>
      <c r="U15" s="92">
        <v>30</v>
      </c>
    </row>
    <row r="16" spans="1:21" ht="31.5" x14ac:dyDescent="0.25">
      <c r="A16" s="91" t="str">
        <f t="shared" si="0"/>
        <v>Спм1</v>
      </c>
      <c r="B16" s="90">
        <v>4</v>
      </c>
      <c r="C16" s="90" t="s">
        <v>3066</v>
      </c>
      <c r="D16" s="90" t="s">
        <v>3086</v>
      </c>
      <c r="E16" s="90">
        <f>ROUNDUP(E7*2/200,0)</f>
        <v>1070</v>
      </c>
      <c r="F16" s="48">
        <v>0.88800000000000001</v>
      </c>
      <c r="G16" s="90" t="s">
        <v>0</v>
      </c>
      <c r="H16" s="90">
        <f>Арм_Элемент_П(E6*2,E6-2*50,I16,J16)</f>
        <v>870</v>
      </c>
      <c r="I16" s="90">
        <v>12</v>
      </c>
      <c r="J16" s="90" t="s">
        <v>2</v>
      </c>
      <c r="K16" s="90"/>
      <c r="L16" s="90"/>
      <c r="M16" s="90"/>
      <c r="N16" s="90"/>
      <c r="O16" s="90"/>
      <c r="P16" s="90"/>
      <c r="Q16" s="90"/>
      <c r="R16" s="90"/>
      <c r="S16" s="90">
        <v>500</v>
      </c>
      <c r="T16" s="90">
        <v>600</v>
      </c>
      <c r="U16" s="92">
        <v>30</v>
      </c>
    </row>
    <row r="17" spans="1:21" ht="15.75" x14ac:dyDescent="0.25">
      <c r="A17" s="91" t="str">
        <f t="shared" si="0"/>
        <v>Спм1</v>
      </c>
      <c r="B17" s="90">
        <v>1</v>
      </c>
      <c r="C17" s="90" t="s">
        <v>3066</v>
      </c>
      <c r="D17" s="90" t="s">
        <v>3085</v>
      </c>
      <c r="E17" s="52">
        <v>2</v>
      </c>
      <c r="F17" s="48">
        <v>1.208</v>
      </c>
      <c r="G17" s="90" t="s">
        <v>20</v>
      </c>
      <c r="H17" s="52">
        <f>Арм_ПоПлощади(E9*1000*1000,200,T17)</f>
        <v>1321090</v>
      </c>
      <c r="I17" s="90">
        <v>14</v>
      </c>
      <c r="J17" s="90" t="s">
        <v>2</v>
      </c>
      <c r="K17" s="90"/>
      <c r="L17" s="90"/>
      <c r="M17" s="90"/>
      <c r="N17" s="90"/>
      <c r="O17" s="90"/>
      <c r="P17" s="90"/>
      <c r="Q17" s="90"/>
      <c r="R17" s="90"/>
      <c r="S17" s="90">
        <v>580</v>
      </c>
      <c r="T17" s="90">
        <v>700</v>
      </c>
      <c r="U17" s="92">
        <v>35</v>
      </c>
    </row>
    <row r="18" spans="1:21" ht="31.5" x14ac:dyDescent="0.25">
      <c r="A18" s="91" t="str">
        <f t="shared" si="0"/>
        <v>Спм1</v>
      </c>
      <c r="B18" s="90">
        <v>4</v>
      </c>
      <c r="C18" s="90" t="s">
        <v>3066</v>
      </c>
      <c r="D18" s="90" t="s">
        <v>3084</v>
      </c>
      <c r="E18" s="90">
        <f>ROUNDUP((E7/200+2300/200*10),0)</f>
        <v>650</v>
      </c>
      <c r="F18" s="48">
        <v>0.88800000000000001</v>
      </c>
      <c r="G18" s="90" t="s">
        <v>0</v>
      </c>
      <c r="H18" s="90">
        <f>Арм_Элемент_П(E6*2,E6-2*50,I18,J18)</f>
        <v>870</v>
      </c>
      <c r="I18" s="90">
        <v>12</v>
      </c>
      <c r="J18" s="90" t="s">
        <v>2</v>
      </c>
      <c r="K18" s="90"/>
      <c r="L18" s="90"/>
      <c r="M18" s="90"/>
      <c r="N18" s="90"/>
      <c r="O18" s="90"/>
      <c r="P18" s="90"/>
      <c r="Q18" s="90"/>
      <c r="R18" s="90"/>
      <c r="S18" s="90">
        <v>500</v>
      </c>
      <c r="T18" s="90">
        <v>600</v>
      </c>
      <c r="U18" s="92">
        <v>30</v>
      </c>
    </row>
    <row r="19" spans="1:21" ht="31.5" x14ac:dyDescent="0.25">
      <c r="A19" s="91" t="str">
        <f t="shared" si="0"/>
        <v>Спм1</v>
      </c>
      <c r="B19" s="90">
        <v>3</v>
      </c>
      <c r="C19" s="90" t="s">
        <v>3066</v>
      </c>
      <c r="D19" s="90" t="s">
        <v>3083</v>
      </c>
      <c r="E19" s="90">
        <f>ROUNDUP(E7/200,0)*2</f>
        <v>1070</v>
      </c>
      <c r="F19" s="48">
        <v>0.88800000000000001</v>
      </c>
      <c r="G19" s="90" t="s">
        <v>0</v>
      </c>
      <c r="H19" s="90">
        <f>Арм_Элемент_Г((500-125),T19+125,I19,J19)</f>
        <v>1480</v>
      </c>
      <c r="I19" s="90">
        <v>12</v>
      </c>
      <c r="J19" s="90" t="s">
        <v>2</v>
      </c>
      <c r="K19" s="90"/>
      <c r="L19" s="90"/>
      <c r="M19" s="90"/>
      <c r="N19" s="90"/>
      <c r="O19" s="90"/>
      <c r="P19" s="90"/>
      <c r="Q19" s="90"/>
      <c r="R19" s="90"/>
      <c r="S19" s="90">
        <v>995</v>
      </c>
      <c r="T19" s="90">
        <v>995</v>
      </c>
      <c r="U19" s="92">
        <v>30</v>
      </c>
    </row>
    <row r="20" spans="1:21" ht="31.5" x14ac:dyDescent="0.25">
      <c r="A20" s="91" t="str">
        <f t="shared" si="0"/>
        <v>Спм1</v>
      </c>
      <c r="B20" s="90">
        <v>5</v>
      </c>
      <c r="C20" s="90" t="s">
        <v>3066</v>
      </c>
      <c r="D20" s="90" t="s">
        <v>3082</v>
      </c>
      <c r="E20" s="90">
        <f>ROUNDUP((E18/2*6),0)</f>
        <v>1950</v>
      </c>
      <c r="F20" s="48">
        <v>0.222</v>
      </c>
      <c r="G20" s="90" t="s">
        <v>0</v>
      </c>
      <c r="H20" s="90">
        <f>245</f>
        <v>245</v>
      </c>
      <c r="I20" s="90">
        <v>6</v>
      </c>
      <c r="J20" s="90" t="s">
        <v>1</v>
      </c>
      <c r="K20" s="90"/>
      <c r="L20" s="90"/>
      <c r="M20" s="90"/>
      <c r="N20" s="90"/>
      <c r="O20" s="90"/>
      <c r="P20" s="90"/>
      <c r="Q20" s="90"/>
      <c r="R20" s="90"/>
      <c r="S20" s="90">
        <v>200</v>
      </c>
      <c r="T20" s="90">
        <v>250</v>
      </c>
      <c r="U20" s="92">
        <v>7.5</v>
      </c>
    </row>
    <row r="21" spans="1:21" ht="15.75" x14ac:dyDescent="0.25">
      <c r="A21" s="91" t="str">
        <f t="shared" si="0"/>
        <v>Спм1</v>
      </c>
      <c r="B21" s="51" t="str">
        <f>Изделия_спец.И!A5</f>
        <v>Крп20</v>
      </c>
      <c r="C21" s="51" t="str">
        <f>Изделия_спец.И!C5</f>
        <v xml:space="preserve"> </v>
      </c>
      <c r="D21" s="51" t="str">
        <f>Изделия_спец.И!D5</f>
        <v>Каркас Крп20</v>
      </c>
      <c r="E21" s="51">
        <f>ROUNDUP(Арм_ПоПлощади(E5*1000*1000,1000,0)/1000,0)</f>
        <v>185</v>
      </c>
      <c r="F21" s="48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2"/>
    </row>
    <row r="22" spans="1:21" ht="15.75" x14ac:dyDescent="0.25">
      <c r="A22" s="91" t="str">
        <f t="shared" si="0"/>
        <v>Спм1</v>
      </c>
      <c r="B22" s="90"/>
      <c r="C22" s="90" t="s">
        <v>3081</v>
      </c>
      <c r="D22" s="90" t="s">
        <v>3080</v>
      </c>
      <c r="E22" s="90">
        <f>(6.5*E7/1000)*2</f>
        <v>1391</v>
      </c>
      <c r="F22" s="90"/>
      <c r="G22" s="90" t="s">
        <v>2369</v>
      </c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2"/>
    </row>
    <row r="23" spans="1:21" ht="31.5" x14ac:dyDescent="0.25">
      <c r="A23" s="91" t="str">
        <f t="shared" si="0"/>
        <v>Спм1</v>
      </c>
      <c r="B23" s="90"/>
      <c r="C23" s="90" t="s">
        <v>3079</v>
      </c>
      <c r="D23" s="90" t="s">
        <v>3078</v>
      </c>
      <c r="E23" s="90">
        <f>(6.5*E7/1000)*0.35</f>
        <v>243.42499999999998</v>
      </c>
      <c r="F23" s="90"/>
      <c r="G23" s="90" t="s">
        <v>2371</v>
      </c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2"/>
    </row>
    <row r="24" spans="1:21" ht="31.5" x14ac:dyDescent="0.25">
      <c r="A24" s="91" t="str">
        <f t="shared" si="0"/>
        <v>Спм1</v>
      </c>
      <c r="B24" s="90"/>
      <c r="C24" s="90"/>
      <c r="D24" s="90" t="s">
        <v>3077</v>
      </c>
      <c r="E24" s="90">
        <f>4*1.7</f>
        <v>6.8</v>
      </c>
      <c r="F24" s="90"/>
      <c r="G24" s="90" t="s">
        <v>20</v>
      </c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2"/>
    </row>
    <row r="25" spans="1:21" ht="31.5" x14ac:dyDescent="0.25">
      <c r="A25" s="91" t="str">
        <f t="shared" si="0"/>
        <v>Спм1</v>
      </c>
      <c r="B25" s="90"/>
      <c r="C25" s="90"/>
      <c r="D25" s="90" t="s">
        <v>3076</v>
      </c>
      <c r="E25" s="90">
        <f>4*0.78</f>
        <v>3.12</v>
      </c>
      <c r="F25" s="90"/>
      <c r="G25" s="90" t="s">
        <v>2369</v>
      </c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2"/>
    </row>
    <row r="26" spans="1:21" ht="15.75" x14ac:dyDescent="0.25">
      <c r="A26" s="91" t="str">
        <f t="shared" si="0"/>
        <v>Спм1</v>
      </c>
      <c r="B26" s="51" t="str">
        <f>Изделия_спец.И!$B$9</f>
        <v>Мн1</v>
      </c>
      <c r="C26" s="51" t="str">
        <f>Изделия_спец.И!$C$9</f>
        <v>данный лист</v>
      </c>
      <c r="D26" s="51" t="str">
        <f>Изделия_спец.И!$D$9</f>
        <v>Закладная деталь Мн1</v>
      </c>
      <c r="E26" s="51">
        <v>1</v>
      </c>
      <c r="F26" s="48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2"/>
    </row>
    <row r="27" spans="1:21" ht="15.75" x14ac:dyDescent="0.25">
      <c r="A27" s="91" t="str">
        <f t="shared" si="0"/>
        <v>Спм1</v>
      </c>
      <c r="B27" s="51" t="str">
        <f>Изделия_спец.И!$B$14</f>
        <v>Му1</v>
      </c>
      <c r="C27" s="51" t="str">
        <f>Изделия_спец.И!$C$14</f>
        <v>данный лист</v>
      </c>
      <c r="D27" s="51" t="str">
        <f>Изделия_спец.И!$D$14</f>
        <v>Закладная деталь Му1</v>
      </c>
      <c r="E27" s="51">
        <v>2</v>
      </c>
      <c r="F27" s="48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2"/>
    </row>
    <row r="28" spans="1:21" ht="15.75" x14ac:dyDescent="0.25">
      <c r="A28" s="91" t="str">
        <f t="shared" si="0"/>
        <v>Спм1</v>
      </c>
      <c r="B28" s="51" t="str">
        <f>Изделия_спец.И!$B$18</f>
        <v>Му2</v>
      </c>
      <c r="C28" s="51" t="str">
        <f>Изделия_спец.И!$C$18</f>
        <v>данный лист</v>
      </c>
      <c r="D28" s="51" t="str">
        <f>Изделия_спец.И!$D$18</f>
        <v>Закладная деталь Му2</v>
      </c>
      <c r="E28" s="51">
        <v>4</v>
      </c>
      <c r="F28" s="48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2"/>
    </row>
    <row r="29" spans="1:21" ht="15.75" x14ac:dyDescent="0.25">
      <c r="A29" s="91" t="str">
        <f>A28</f>
        <v>Спм1</v>
      </c>
      <c r="B29" s="51" t="str">
        <f>Изделия_спец.И!$B$14</f>
        <v>Му1</v>
      </c>
      <c r="C29" s="51" t="str">
        <f>Изделия_спец.И!$C$14</f>
        <v>данный лист</v>
      </c>
      <c r="D29" s="51" t="str">
        <f>Изделия_спец.И!$D$14</f>
        <v>Закладная деталь Му1</v>
      </c>
      <c r="E29" s="51">
        <v>15</v>
      </c>
      <c r="F29" s="48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2"/>
    </row>
    <row r="30" spans="1:21" ht="15.75" x14ac:dyDescent="0.25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</row>
    <row r="31" spans="1:21" ht="15.75" x14ac:dyDescent="0.25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</row>
    <row r="32" spans="1:21" ht="15.75" x14ac:dyDescent="0.25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</row>
    <row r="33" spans="1:21" ht="15.75" x14ac:dyDescent="0.25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</row>
    <row r="34" spans="1:21" ht="31.5" x14ac:dyDescent="0.25">
      <c r="A34" s="91"/>
      <c r="B34" s="90">
        <v>4</v>
      </c>
      <c r="C34" s="90" t="s">
        <v>3066</v>
      </c>
      <c r="D34" s="90" t="s">
        <v>3084</v>
      </c>
      <c r="E34" s="90">
        <f>ROUNDUP((E23/200+2300/200*10),0)</f>
        <v>117</v>
      </c>
      <c r="F34" s="48">
        <v>0.88800000000000001</v>
      </c>
      <c r="G34" s="90" t="s">
        <v>20</v>
      </c>
      <c r="H34" s="90">
        <f>Арм_Элемент_П(E22*2,E22-2*50,I34,J34)</f>
        <v>6830</v>
      </c>
      <c r="I34" s="90">
        <v>12</v>
      </c>
      <c r="J34" s="90" t="s">
        <v>2</v>
      </c>
      <c r="K34" s="90"/>
      <c r="L34" s="90"/>
      <c r="M34" s="90"/>
      <c r="N34" s="90"/>
      <c r="O34" s="90"/>
      <c r="P34" s="90"/>
      <c r="Q34" s="90"/>
      <c r="R34" s="90"/>
      <c r="S34" s="90" t="s">
        <v>3108</v>
      </c>
      <c r="T34" s="90" t="s">
        <v>3108</v>
      </c>
      <c r="U34" s="92">
        <v>30</v>
      </c>
    </row>
    <row r="35" spans="1:21" ht="31.5" x14ac:dyDescent="0.25">
      <c r="A35" s="91"/>
      <c r="B35" s="90">
        <v>3</v>
      </c>
      <c r="C35" s="90" t="s">
        <v>3066</v>
      </c>
      <c r="D35" s="90" t="s">
        <v>3083</v>
      </c>
      <c r="E35" s="90">
        <f>ROUNDUP(E23/200,0)*2</f>
        <v>4</v>
      </c>
      <c r="F35" s="48">
        <v>0.88800000000000001</v>
      </c>
      <c r="G35" s="90" t="s">
        <v>0</v>
      </c>
      <c r="H35" s="90">
        <v>200</v>
      </c>
      <c r="I35" s="90">
        <v>12</v>
      </c>
      <c r="J35" s="90" t="s">
        <v>2</v>
      </c>
      <c r="K35" s="90"/>
      <c r="L35" s="90"/>
      <c r="M35" s="90"/>
      <c r="N35" s="90"/>
      <c r="O35" s="90"/>
      <c r="P35" s="90"/>
      <c r="Q35" s="90"/>
      <c r="R35" s="90"/>
      <c r="S35" s="90" t="s">
        <v>3108</v>
      </c>
      <c r="T35" s="90" t="s">
        <v>3108</v>
      </c>
      <c r="U35" s="92">
        <v>30</v>
      </c>
    </row>
    <row r="36" spans="1:21" ht="32.25" thickBot="1" x14ac:dyDescent="0.3">
      <c r="A36" s="93"/>
      <c r="B36" s="94">
        <v>5</v>
      </c>
      <c r="C36" s="94" t="s">
        <v>3066</v>
      </c>
      <c r="D36" s="94" t="s">
        <v>3082</v>
      </c>
      <c r="E36" s="94">
        <f>ROUNDUP((E34/2*6),0)</f>
        <v>351</v>
      </c>
      <c r="F36" s="50">
        <v>0.222</v>
      </c>
      <c r="G36" s="94" t="s">
        <v>0</v>
      </c>
      <c r="H36" s="94">
        <f>245</f>
        <v>245</v>
      </c>
      <c r="I36" s="94">
        <v>6</v>
      </c>
      <c r="J36" s="94" t="s">
        <v>1</v>
      </c>
      <c r="K36" s="94"/>
      <c r="L36" s="94"/>
      <c r="M36" s="94"/>
      <c r="N36" s="94"/>
      <c r="O36" s="94"/>
      <c r="P36" s="94"/>
      <c r="Q36" s="94"/>
      <c r="R36" s="94"/>
      <c r="S36" s="94" t="s">
        <v>3108</v>
      </c>
      <c r="T36" s="94" t="s">
        <v>3108</v>
      </c>
      <c r="U36" s="95">
        <v>7.5</v>
      </c>
    </row>
  </sheetData>
  <mergeCells count="11"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  <mergeCell ref="F1:F2"/>
  </mergeCells>
  <conditionalFormatting sqref="A1:H1 A3:U36 H2:Q2 K1 R1:S1 S2:U2">
    <cfRule type="containsText" dxfId="14" priority="15" stopIfTrue="1" operator="containsText" text="шт.)">
      <formula>NOT(ISERROR(SEARCH("шт.)",A1)))</formula>
    </cfRule>
    <cfRule type="containsText" dxfId="13" priority="14" stopIfTrue="1" operator="containsText" text=", на ">
      <formula>NOT(ISERROR(SEARCH(", на ",A1)))</formula>
    </cfRule>
    <cfRule type="containsText" dxfId="12" priority="13" stopIfTrue="1" operator="containsText" text="Элементы на отм.">
      <formula>NOT(ISERROR(SEARCH("Элементы на отм.",A1)))</formula>
    </cfRule>
    <cfRule type="containsText" dxfId="11" priority="12" stopIfTrue="1" operator="containsText" text=" Прокат ">
      <formula>NOT(ISERROR(SEARCH(" Прокат ",A1)))</formula>
    </cfRule>
    <cfRule type="containsText" dxfId="10" priority="11" stopIfTrue="1" operator="containsText" text=" Изделия арматурные ">
      <formula>NOT(ISERROR(SEARCH(" Изделия арматурные ",A1)))</formula>
    </cfRule>
    <cfRule type="containsText" dxfId="9" priority="10" stopIfTrue="1" operator="containsText" text=" Материалы ">
      <formula>NOT(ISERROR(SEARCH(" Материалы ",A1)))</formula>
    </cfRule>
    <cfRule type="containsText" dxfId="8" priority="9" stopIfTrue="1" operator="containsText" text=" Изделия ">
      <formula>NOT(ISERROR(SEARCH(" Изделия ",A1)))</formula>
    </cfRule>
    <cfRule type="containsText" dxfId="7" priority="8" stopIfTrue="1" operator="containsText" text=" Сборочные единицы ">
      <formula>NOT(ISERROR(SEARCH(" Сборочные единицы ",A1)))</formula>
    </cfRule>
    <cfRule type="containsText" dxfId="6" priority="7" stopIfTrue="1" operator="containsText" text=" Заполнения проёмов ">
      <formula>NOT(ISERROR(SEARCH(" Заполнения проёмов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Заполнения проёмов ">
      <formula>NOT(ISERROR(SEARCH(" Заполнения проёмов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errorStyle="warning" allowBlank="1" showInputMessage="1" showErrorMessage="1">
          <x14:formula1>
            <xm:f>'!System'!$BW$1:$BW$6</xm:f>
          </x14:formula1>
          <xm:sqref>G3:G36</xm:sqref>
        </x14:dataValidation>
        <x14:dataValidation type="list" allowBlank="1" showInputMessage="1" showErrorMessage="1">
          <x14:formula1>
            <xm:f>'!System'!$AG$1:$AO$1</xm:f>
          </x14:formula1>
          <xm:sqref>J3:J36</xm:sqref>
        </x14:dataValidation>
        <x14:dataValidation type="list" allowBlank="1" showInputMessage="1" showErrorMessage="1">
          <x14:formula1>
            <xm:f>'!System'!$A$1:$AE$1</xm:f>
          </x14:formula1>
          <xm:sqref>L3:L36</xm:sqref>
        </x14:dataValidation>
        <x14:dataValidation type="list" allowBlank="1" showInputMessage="1" showErrorMessage="1">
          <x14:formula1>
            <xm:f>'!System'!$AP$1:$BV$1</xm:f>
          </x14:formula1>
          <xm:sqref>O3:O36</xm:sqref>
        </x14:dataValidation>
        <x14:dataValidation type="list" allowBlank="1" showInputMessage="1" showErrorMessage="1">
          <x14:formula1>
            <xm:f>'!System'!$BX$1:$BX$5</xm:f>
          </x14:formula1>
          <xm:sqref>P3:P36</xm:sqref>
        </x14:dataValidation>
        <x14:dataValidation type="list" allowBlank="1" showInputMessage="1" showErrorMessage="1">
          <x14:formula1>
            <xm:f>'!System'!$AG$2:$AG$17</xm:f>
          </x14:formula1>
          <xm:sqref>I15</xm:sqref>
        </x14:dataValidation>
        <x14:dataValidation type="list" allowBlank="1" showInputMessage="1" showErrorMessage="1">
          <x14:formula1>
            <xm:f>'!System'!$AG$2:$AG$17</xm:f>
          </x14:formula1>
          <xm:sqref>I16</xm:sqref>
        </x14:dataValidation>
        <x14:dataValidation type="list" allowBlank="1" showInputMessage="1" showErrorMessage="1">
          <x14:formula1>
            <xm:f>'!System'!$AG$2:$AG$17</xm:f>
          </x14:formula1>
          <xm:sqref>I17</xm:sqref>
        </x14:dataValidation>
        <x14:dataValidation type="list" allowBlank="1" showInputMessage="1" showErrorMessage="1">
          <x14:formula1>
            <xm:f>'!System'!$AG$2:$AG$17</xm:f>
          </x14:formula1>
          <xm:sqref>I18</xm:sqref>
        </x14:dataValidation>
        <x14:dataValidation type="list" allowBlank="1" showInputMessage="1" showErrorMessage="1">
          <x14:formula1>
            <xm:f>'!System'!$AG$2:$AG$17</xm:f>
          </x14:formula1>
          <xm:sqref>I19</xm:sqref>
        </x14:dataValidation>
        <x14:dataValidation type="list" allowBlank="1" showInputMessage="1" showErrorMessage="1">
          <x14:formula1>
            <xm:f>'!System'!$AH$2:$AH$16</xm:f>
          </x14:formula1>
          <xm:sqref>I20</xm:sqref>
        </x14:dataValidation>
        <x14:dataValidation type="list" allowBlank="1" showInputMessage="1" showErrorMessage="1">
          <x14:formula1>
            <xm:f>'!System'!$AG$2:$AG$17</xm:f>
          </x14:formula1>
          <xm:sqref>I34</xm:sqref>
        </x14:dataValidation>
        <x14:dataValidation type="list" allowBlank="1" showInputMessage="1" showErrorMessage="1">
          <x14:formula1>
            <xm:f>'!System'!$AG$2:$AG$17</xm:f>
          </x14:formula1>
          <xm:sqref>I35</xm:sqref>
        </x14:dataValidation>
        <x14:dataValidation type="list" allowBlank="1" showInputMessage="1" showErrorMessage="1">
          <x14:formula1>
            <xm:f>'!System'!$AH$2:$AH$16</xm:f>
          </x14:formula1>
          <xm:sqref>I36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BX806"/>
  <sheetViews>
    <sheetView workbookViewId="0"/>
  </sheetViews>
  <sheetFormatPr defaultRowHeight="15" x14ac:dyDescent="0.25"/>
  <sheetData>
    <row r="1" spans="1:76" x14ac:dyDescent="0.25">
      <c r="A1" t="s">
        <v>44</v>
      </c>
      <c r="B1" t="s">
        <v>6</v>
      </c>
      <c r="C1" t="s">
        <v>1181</v>
      </c>
      <c r="D1" t="s">
        <v>1608</v>
      </c>
      <c r="E1" t="s">
        <v>2374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2609</v>
      </c>
      <c r="M1" t="s">
        <v>2631</v>
      </c>
      <c r="N1" t="s">
        <v>2676</v>
      </c>
      <c r="O1" t="s">
        <v>2750</v>
      </c>
      <c r="P1" t="s">
        <v>2765</v>
      </c>
      <c r="Q1" t="s">
        <v>2821</v>
      </c>
      <c r="R1" t="s">
        <v>2046</v>
      </c>
      <c r="S1" t="s">
        <v>2168</v>
      </c>
      <c r="T1" t="s">
        <v>2231</v>
      </c>
      <c r="U1" t="s">
        <v>2346</v>
      </c>
      <c r="V1" t="s">
        <v>2850</v>
      </c>
      <c r="W1" t="s">
        <v>2375</v>
      </c>
      <c r="X1" t="s">
        <v>2384</v>
      </c>
      <c r="Y1" t="s">
        <v>2892</v>
      </c>
      <c r="Z1" t="s">
        <v>2899</v>
      </c>
      <c r="AA1" t="s">
        <v>2387</v>
      </c>
      <c r="AB1" t="s">
        <v>2488</v>
      </c>
      <c r="AC1" t="s">
        <v>2539</v>
      </c>
      <c r="AD1" t="s">
        <v>2563</v>
      </c>
      <c r="AG1" t="s">
        <v>2</v>
      </c>
      <c r="AH1" t="s">
        <v>1</v>
      </c>
      <c r="AI1" t="s">
        <v>2356</v>
      </c>
      <c r="AJ1" t="s">
        <v>2357</v>
      </c>
      <c r="AK1" t="s">
        <v>2358</v>
      </c>
      <c r="AL1" t="s">
        <v>2359</v>
      </c>
      <c r="AM1" t="s">
        <v>2360</v>
      </c>
      <c r="AN1" t="s">
        <v>2361</v>
      </c>
      <c r="AP1" t="s">
        <v>17</v>
      </c>
      <c r="AQ1" t="s">
        <v>5</v>
      </c>
      <c r="AR1" t="s">
        <v>18</v>
      </c>
      <c r="AS1" t="s">
        <v>2363</v>
      </c>
      <c r="AT1" t="s">
        <v>19</v>
      </c>
      <c r="AU1" t="s">
        <v>2364</v>
      </c>
      <c r="AV1" t="s">
        <v>2365</v>
      </c>
      <c r="AW1" t="s">
        <v>2367</v>
      </c>
      <c r="AX1" t="s">
        <v>2587</v>
      </c>
      <c r="AY1" t="s">
        <v>2588</v>
      </c>
      <c r="AZ1" t="s">
        <v>2589</v>
      </c>
      <c r="BA1" t="s">
        <v>2586</v>
      </c>
      <c r="BB1" t="s">
        <v>2590</v>
      </c>
      <c r="BC1" t="s">
        <v>2591</v>
      </c>
      <c r="BD1" t="s">
        <v>2592</v>
      </c>
      <c r="BE1" t="s">
        <v>2593</v>
      </c>
      <c r="BF1" t="s">
        <v>2594</v>
      </c>
      <c r="BG1" t="s">
        <v>19</v>
      </c>
      <c r="BH1" t="s">
        <v>2595</v>
      </c>
      <c r="BI1" t="s">
        <v>2596</v>
      </c>
      <c r="BJ1" t="s">
        <v>2597</v>
      </c>
      <c r="BK1" t="s">
        <v>2598</v>
      </c>
      <c r="BL1" t="s">
        <v>2599</v>
      </c>
      <c r="BM1" t="s">
        <v>2600</v>
      </c>
      <c r="BN1" t="s">
        <v>2601</v>
      </c>
      <c r="BO1" t="s">
        <v>2602</v>
      </c>
      <c r="BP1" t="s">
        <v>2603</v>
      </c>
      <c r="BQ1" t="s">
        <v>2604</v>
      </c>
      <c r="BR1" t="s">
        <v>2605</v>
      </c>
      <c r="BS1" t="s">
        <v>2606</v>
      </c>
      <c r="BT1" t="s">
        <v>2607</v>
      </c>
      <c r="BU1" t="s">
        <v>2608</v>
      </c>
      <c r="BW1" t="s">
        <v>0</v>
      </c>
      <c r="BX1" t="s">
        <v>4</v>
      </c>
    </row>
    <row r="2" spans="1:76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45</v>
      </c>
      <c r="AB2" t="s">
        <v>1781</v>
      </c>
      <c r="AC2" t="s">
        <v>1781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2362</v>
      </c>
      <c r="AQ2" t="s">
        <v>2362</v>
      </c>
      <c r="AR2" t="s">
        <v>2362</v>
      </c>
      <c r="AS2" t="s">
        <v>2362</v>
      </c>
      <c r="AT2" t="s">
        <v>2362</v>
      </c>
      <c r="AU2" t="s">
        <v>2362</v>
      </c>
      <c r="AV2" t="s">
        <v>2366</v>
      </c>
      <c r="AW2" t="s">
        <v>2368</v>
      </c>
      <c r="AX2" t="s">
        <v>2362</v>
      </c>
      <c r="AY2" t="s">
        <v>2362</v>
      </c>
      <c r="AZ2" t="s">
        <v>2362</v>
      </c>
      <c r="BA2" t="s">
        <v>2362</v>
      </c>
      <c r="BB2" t="s">
        <v>2362</v>
      </c>
      <c r="BC2" t="s">
        <v>2362</v>
      </c>
      <c r="BD2" t="s">
        <v>2362</v>
      </c>
      <c r="BE2" t="s">
        <v>2362</v>
      </c>
      <c r="BF2" t="s">
        <v>2362</v>
      </c>
      <c r="BG2" t="s">
        <v>2362</v>
      </c>
      <c r="BH2" t="s">
        <v>2362</v>
      </c>
      <c r="BI2" t="s">
        <v>2362</v>
      </c>
      <c r="BJ2" t="s">
        <v>2362</v>
      </c>
      <c r="BK2" t="s">
        <v>2362</v>
      </c>
      <c r="BL2" t="s">
        <v>2362</v>
      </c>
      <c r="BM2" t="s">
        <v>2362</v>
      </c>
      <c r="BN2" t="s">
        <v>2362</v>
      </c>
      <c r="BO2" t="s">
        <v>2362</v>
      </c>
      <c r="BP2" t="s">
        <v>2362</v>
      </c>
      <c r="BQ2" t="s">
        <v>2362</v>
      </c>
      <c r="BR2" t="s">
        <v>2362</v>
      </c>
      <c r="BS2" t="s">
        <v>2362</v>
      </c>
      <c r="BT2" t="s">
        <v>2362</v>
      </c>
      <c r="BU2" t="s">
        <v>2362</v>
      </c>
      <c r="BW2" t="s">
        <v>20</v>
      </c>
      <c r="BX2" t="s">
        <v>21</v>
      </c>
    </row>
    <row r="3" spans="1:76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1961</v>
      </c>
      <c r="M3" t="s">
        <v>2632</v>
      </c>
      <c r="N3" t="s">
        <v>2677</v>
      </c>
      <c r="O3" t="s">
        <v>2751</v>
      </c>
      <c r="P3" t="s">
        <v>2766</v>
      </c>
      <c r="Q3" t="s">
        <v>2822</v>
      </c>
      <c r="R3" t="s">
        <v>2047</v>
      </c>
      <c r="S3" t="s">
        <v>2169</v>
      </c>
      <c r="T3" t="s">
        <v>2232</v>
      </c>
      <c r="U3" t="s">
        <v>2347</v>
      </c>
      <c r="V3" t="s">
        <v>2851</v>
      </c>
      <c r="W3" t="s">
        <v>2376</v>
      </c>
      <c r="X3" t="s">
        <v>2385</v>
      </c>
      <c r="Y3" t="s">
        <v>2893</v>
      </c>
      <c r="Z3" t="s">
        <v>2893</v>
      </c>
      <c r="AA3" t="s">
        <v>2388</v>
      </c>
      <c r="AB3" t="s">
        <v>2489</v>
      </c>
      <c r="AC3" t="s">
        <v>2540</v>
      </c>
      <c r="AD3" t="s">
        <v>2564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2369</v>
      </c>
      <c r="BX3" t="s">
        <v>22</v>
      </c>
    </row>
    <row r="4" spans="1:76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1962</v>
      </c>
      <c r="M4" t="s">
        <v>1992</v>
      </c>
      <c r="N4" t="s">
        <v>2678</v>
      </c>
      <c r="O4" t="s">
        <v>2752</v>
      </c>
      <c r="P4" t="s">
        <v>2767</v>
      </c>
      <c r="Q4" t="s">
        <v>2823</v>
      </c>
      <c r="R4" t="s">
        <v>2048</v>
      </c>
      <c r="S4" t="s">
        <v>2170</v>
      </c>
      <c r="T4" t="s">
        <v>2233</v>
      </c>
      <c r="U4" t="s">
        <v>2061</v>
      </c>
      <c r="V4" t="s">
        <v>2852</v>
      </c>
      <c r="W4" t="s">
        <v>2377</v>
      </c>
      <c r="X4" t="s">
        <v>2386</v>
      </c>
      <c r="Y4" t="s">
        <v>2577</v>
      </c>
      <c r="Z4" t="s">
        <v>2577</v>
      </c>
      <c r="AA4" t="s">
        <v>2389</v>
      </c>
      <c r="AB4" t="s">
        <v>2490</v>
      </c>
      <c r="AC4" t="s">
        <v>2541</v>
      </c>
      <c r="AD4" t="s">
        <v>2565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1963</v>
      </c>
      <c r="M5" t="s">
        <v>2633</v>
      </c>
      <c r="N5" t="s">
        <v>2679</v>
      </c>
      <c r="O5" t="s">
        <v>2753</v>
      </c>
      <c r="P5" t="s">
        <v>2768</v>
      </c>
      <c r="Q5" t="s">
        <v>2824</v>
      </c>
      <c r="R5" t="s">
        <v>2049</v>
      </c>
      <c r="S5" t="s">
        <v>2171</v>
      </c>
      <c r="T5" t="s">
        <v>2234</v>
      </c>
      <c r="U5" t="s">
        <v>2061</v>
      </c>
      <c r="V5" t="s">
        <v>2853</v>
      </c>
      <c r="W5" t="s">
        <v>2378</v>
      </c>
      <c r="Y5" t="s">
        <v>2578</v>
      </c>
      <c r="Z5" t="s">
        <v>2578</v>
      </c>
      <c r="AA5" t="s">
        <v>2390</v>
      </c>
      <c r="AB5" t="s">
        <v>2491</v>
      </c>
      <c r="AC5" t="s">
        <v>2542</v>
      </c>
      <c r="AD5" t="s">
        <v>2566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2370</v>
      </c>
      <c r="BX5" t="s">
        <v>2372</v>
      </c>
    </row>
    <row r="6" spans="1:76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1964</v>
      </c>
      <c r="M6" t="s">
        <v>2634</v>
      </c>
      <c r="N6" t="s">
        <v>2680</v>
      </c>
      <c r="O6" t="s">
        <v>2754</v>
      </c>
      <c r="P6" t="s">
        <v>2769</v>
      </c>
      <c r="Q6" t="s">
        <v>2825</v>
      </c>
      <c r="R6" t="s">
        <v>2050</v>
      </c>
      <c r="S6" t="s">
        <v>2172</v>
      </c>
      <c r="T6" t="s">
        <v>2235</v>
      </c>
      <c r="U6" t="s">
        <v>2069</v>
      </c>
      <c r="V6" t="s">
        <v>2854</v>
      </c>
      <c r="W6" t="s">
        <v>2379</v>
      </c>
      <c r="Y6" t="s">
        <v>2579</v>
      </c>
      <c r="Z6" t="s">
        <v>2579</v>
      </c>
      <c r="AA6" t="s">
        <v>2391</v>
      </c>
      <c r="AB6" t="s">
        <v>2492</v>
      </c>
      <c r="AC6" t="s">
        <v>2543</v>
      </c>
      <c r="AD6" t="s">
        <v>2567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2371</v>
      </c>
    </row>
    <row r="7" spans="1:76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1965</v>
      </c>
      <c r="M7" t="s">
        <v>2635</v>
      </c>
      <c r="N7" t="s">
        <v>2681</v>
      </c>
      <c r="O7" t="s">
        <v>2755</v>
      </c>
      <c r="P7" t="s">
        <v>2770</v>
      </c>
      <c r="Q7" t="s">
        <v>2826</v>
      </c>
      <c r="R7" t="s">
        <v>2051</v>
      </c>
      <c r="S7" t="s">
        <v>2173</v>
      </c>
      <c r="T7" t="s">
        <v>2236</v>
      </c>
      <c r="U7" t="s">
        <v>2070</v>
      </c>
      <c r="V7" t="s">
        <v>2855</v>
      </c>
      <c r="W7" t="s">
        <v>2380</v>
      </c>
      <c r="Y7" t="s">
        <v>2580</v>
      </c>
      <c r="Z7" t="s">
        <v>2580</v>
      </c>
      <c r="AA7" t="s">
        <v>2392</v>
      </c>
      <c r="AB7" t="s">
        <v>2493</v>
      </c>
      <c r="AC7" t="s">
        <v>2544</v>
      </c>
      <c r="AD7" t="s">
        <v>2568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1966</v>
      </c>
      <c r="M8" t="s">
        <v>2636</v>
      </c>
      <c r="N8" t="s">
        <v>2022</v>
      </c>
      <c r="O8" t="s">
        <v>2756</v>
      </c>
      <c r="P8" t="s">
        <v>2771</v>
      </c>
      <c r="Q8" t="s">
        <v>2827</v>
      </c>
      <c r="R8" t="s">
        <v>2052</v>
      </c>
      <c r="S8" t="s">
        <v>2174</v>
      </c>
      <c r="T8" t="s">
        <v>2237</v>
      </c>
      <c r="U8" t="s">
        <v>2348</v>
      </c>
      <c r="V8" t="s">
        <v>2856</v>
      </c>
      <c r="W8" t="s">
        <v>2381</v>
      </c>
      <c r="Y8" t="s">
        <v>2894</v>
      </c>
      <c r="Z8" t="s">
        <v>2894</v>
      </c>
      <c r="AA8" t="s">
        <v>2393</v>
      </c>
      <c r="AB8" t="s">
        <v>2494</v>
      </c>
      <c r="AC8" t="s">
        <v>2545</v>
      </c>
      <c r="AD8" t="s">
        <v>2569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1967</v>
      </c>
      <c r="M9" t="s">
        <v>2637</v>
      </c>
      <c r="N9" t="s">
        <v>2023</v>
      </c>
      <c r="O9" t="s">
        <v>2757</v>
      </c>
      <c r="P9" t="s">
        <v>2772</v>
      </c>
      <c r="Q9" t="s">
        <v>2828</v>
      </c>
      <c r="R9" t="s">
        <v>2053</v>
      </c>
      <c r="S9" t="s">
        <v>2175</v>
      </c>
      <c r="T9" t="s">
        <v>2238</v>
      </c>
      <c r="U9" t="s">
        <v>2077</v>
      </c>
      <c r="V9" t="s">
        <v>2857</v>
      </c>
      <c r="W9" t="s">
        <v>2382</v>
      </c>
      <c r="Y9" t="s">
        <v>2581</v>
      </c>
      <c r="Z9" t="s">
        <v>2581</v>
      </c>
      <c r="AA9" t="s">
        <v>2394</v>
      </c>
      <c r="AB9" t="s">
        <v>2495</v>
      </c>
      <c r="AC9" t="s">
        <v>2546</v>
      </c>
      <c r="AD9" t="s">
        <v>2570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1968</v>
      </c>
      <c r="M10" t="s">
        <v>2638</v>
      </c>
      <c r="N10" t="s">
        <v>2682</v>
      </c>
      <c r="O10" t="s">
        <v>2758</v>
      </c>
      <c r="P10" t="s">
        <v>2773</v>
      </c>
      <c r="Q10" t="s">
        <v>2829</v>
      </c>
      <c r="R10" t="s">
        <v>2054</v>
      </c>
      <c r="S10" t="s">
        <v>2176</v>
      </c>
      <c r="T10" t="s">
        <v>2239</v>
      </c>
      <c r="U10" t="s">
        <v>2087</v>
      </c>
      <c r="V10" t="s">
        <v>2858</v>
      </c>
      <c r="W10" t="s">
        <v>2383</v>
      </c>
      <c r="Y10" t="s">
        <v>2895</v>
      </c>
      <c r="Z10" t="s">
        <v>2895</v>
      </c>
      <c r="AA10" t="s">
        <v>2395</v>
      </c>
      <c r="AB10" t="s">
        <v>2496</v>
      </c>
      <c r="AC10" t="s">
        <v>2547</v>
      </c>
      <c r="AD10" t="s">
        <v>2571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1969</v>
      </c>
      <c r="M11" t="s">
        <v>1993</v>
      </c>
      <c r="N11" t="s">
        <v>2683</v>
      </c>
      <c r="O11" t="s">
        <v>2759</v>
      </c>
      <c r="P11" t="s">
        <v>2774</v>
      </c>
      <c r="Q11" t="s">
        <v>2830</v>
      </c>
      <c r="R11" t="s">
        <v>2055</v>
      </c>
      <c r="S11" t="s">
        <v>2177</v>
      </c>
      <c r="T11" t="s">
        <v>1835</v>
      </c>
      <c r="U11" t="s">
        <v>2349</v>
      </c>
      <c r="V11" t="s">
        <v>2859</v>
      </c>
      <c r="Y11" t="s">
        <v>2582</v>
      </c>
      <c r="Z11" t="s">
        <v>2582</v>
      </c>
      <c r="AA11" t="s">
        <v>2396</v>
      </c>
      <c r="AB11" t="s">
        <v>2497</v>
      </c>
      <c r="AC11" t="s">
        <v>2548</v>
      </c>
      <c r="AD11" t="s">
        <v>2572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2610</v>
      </c>
      <c r="M12" t="s">
        <v>2639</v>
      </c>
      <c r="N12" t="s">
        <v>2684</v>
      </c>
      <c r="O12" t="s">
        <v>2760</v>
      </c>
      <c r="P12" t="s">
        <v>2775</v>
      </c>
      <c r="Q12" t="s">
        <v>2831</v>
      </c>
      <c r="R12" t="s">
        <v>2056</v>
      </c>
      <c r="S12" t="s">
        <v>2178</v>
      </c>
      <c r="T12" t="s">
        <v>1837</v>
      </c>
      <c r="U12" t="s">
        <v>2350</v>
      </c>
      <c r="V12" t="s">
        <v>2860</v>
      </c>
      <c r="Y12" t="s">
        <v>2896</v>
      </c>
      <c r="Z12" t="s">
        <v>2896</v>
      </c>
      <c r="AA12" t="s">
        <v>2397</v>
      </c>
      <c r="AB12" t="s">
        <v>2498</v>
      </c>
      <c r="AC12" t="s">
        <v>2549</v>
      </c>
      <c r="AD12" t="s">
        <v>2573</v>
      </c>
      <c r="AG12">
        <v>22</v>
      </c>
      <c r="AH12">
        <v>25</v>
      </c>
      <c r="AJ12">
        <v>25</v>
      </c>
    </row>
    <row r="13" spans="1:76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1970</v>
      </c>
      <c r="M13" t="s">
        <v>2640</v>
      </c>
      <c r="N13" t="s">
        <v>2685</v>
      </c>
      <c r="O13" t="s">
        <v>2761</v>
      </c>
      <c r="P13" t="s">
        <v>2776</v>
      </c>
      <c r="Q13" t="s">
        <v>2832</v>
      </c>
      <c r="R13" t="s">
        <v>2057</v>
      </c>
      <c r="S13" t="s">
        <v>2179</v>
      </c>
      <c r="T13" t="s">
        <v>1845</v>
      </c>
      <c r="U13" t="s">
        <v>2098</v>
      </c>
      <c r="V13" t="s">
        <v>2861</v>
      </c>
      <c r="Y13" t="s">
        <v>2897</v>
      </c>
      <c r="Z13" t="s">
        <v>2897</v>
      </c>
      <c r="AA13" t="s">
        <v>2398</v>
      </c>
      <c r="AB13" t="s">
        <v>2499</v>
      </c>
      <c r="AC13" t="s">
        <v>1745</v>
      </c>
      <c r="AD13" t="s">
        <v>2574</v>
      </c>
      <c r="AG13">
        <v>25</v>
      </c>
      <c r="AH13">
        <v>28</v>
      </c>
      <c r="AJ13">
        <v>28</v>
      </c>
    </row>
    <row r="14" spans="1:76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2611</v>
      </c>
      <c r="M14" t="s">
        <v>2641</v>
      </c>
      <c r="N14" t="s">
        <v>2686</v>
      </c>
      <c r="O14" t="s">
        <v>2762</v>
      </c>
      <c r="P14" t="s">
        <v>2777</v>
      </c>
      <c r="Q14" t="s">
        <v>2833</v>
      </c>
      <c r="R14" t="s">
        <v>2058</v>
      </c>
      <c r="S14" t="s">
        <v>2180</v>
      </c>
      <c r="T14" t="s">
        <v>1846</v>
      </c>
      <c r="U14" t="s">
        <v>2099</v>
      </c>
      <c r="V14" t="s">
        <v>2862</v>
      </c>
      <c r="Y14" t="s">
        <v>2583</v>
      </c>
      <c r="Z14" t="s">
        <v>2583</v>
      </c>
      <c r="AA14" t="s">
        <v>2399</v>
      </c>
      <c r="AB14" t="s">
        <v>2500</v>
      </c>
      <c r="AC14" t="s">
        <v>1777</v>
      </c>
      <c r="AD14" t="s">
        <v>2575</v>
      </c>
      <c r="AG14">
        <v>28</v>
      </c>
      <c r="AH14">
        <v>32</v>
      </c>
      <c r="AJ14">
        <v>32</v>
      </c>
    </row>
    <row r="15" spans="1:76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2612</v>
      </c>
      <c r="M15" t="s">
        <v>2642</v>
      </c>
      <c r="N15" t="s">
        <v>2687</v>
      </c>
      <c r="O15" t="s">
        <v>2763</v>
      </c>
      <c r="P15" t="s">
        <v>2778</v>
      </c>
      <c r="Q15" t="s">
        <v>2834</v>
      </c>
      <c r="R15" t="s">
        <v>2059</v>
      </c>
      <c r="S15" t="s">
        <v>2181</v>
      </c>
      <c r="T15" t="s">
        <v>2240</v>
      </c>
      <c r="U15" t="s">
        <v>2100</v>
      </c>
      <c r="V15" t="s">
        <v>2863</v>
      </c>
      <c r="Y15" t="s">
        <v>2898</v>
      </c>
      <c r="Z15" t="s">
        <v>2898</v>
      </c>
      <c r="AA15" t="s">
        <v>2400</v>
      </c>
      <c r="AB15" t="s">
        <v>2501</v>
      </c>
      <c r="AC15" t="s">
        <v>1747</v>
      </c>
      <c r="AD15" t="s">
        <v>2576</v>
      </c>
      <c r="AG15">
        <v>32</v>
      </c>
      <c r="AH15">
        <v>36</v>
      </c>
      <c r="AJ15">
        <v>36</v>
      </c>
    </row>
    <row r="16" spans="1:76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1971</v>
      </c>
      <c r="M16" t="s">
        <v>2643</v>
      </c>
      <c r="N16" t="s">
        <v>2024</v>
      </c>
      <c r="O16" t="s">
        <v>2764</v>
      </c>
      <c r="P16" t="s">
        <v>2779</v>
      </c>
      <c r="Q16" t="s">
        <v>2835</v>
      </c>
      <c r="R16" t="s">
        <v>2060</v>
      </c>
      <c r="S16" t="s">
        <v>2182</v>
      </c>
      <c r="T16" t="s">
        <v>2241</v>
      </c>
      <c r="U16" t="s">
        <v>2351</v>
      </c>
      <c r="V16" t="s">
        <v>2864</v>
      </c>
      <c r="AA16" t="s">
        <v>2401</v>
      </c>
      <c r="AB16" t="s">
        <v>2502</v>
      </c>
      <c r="AC16" t="s">
        <v>1778</v>
      </c>
      <c r="AG16">
        <v>36</v>
      </c>
      <c r="AH16">
        <v>40</v>
      </c>
      <c r="AJ16">
        <v>40</v>
      </c>
    </row>
    <row r="17" spans="1:33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1972</v>
      </c>
      <c r="M17" t="s">
        <v>2644</v>
      </c>
      <c r="N17" t="s">
        <v>2025</v>
      </c>
      <c r="P17" t="s">
        <v>2780</v>
      </c>
      <c r="Q17" t="s">
        <v>2836</v>
      </c>
      <c r="R17" t="s">
        <v>2061</v>
      </c>
      <c r="S17" t="s">
        <v>2183</v>
      </c>
      <c r="T17" t="s">
        <v>2242</v>
      </c>
      <c r="U17" t="s">
        <v>2352</v>
      </c>
      <c r="V17" t="s">
        <v>2865</v>
      </c>
      <c r="AA17" t="s">
        <v>2402</v>
      </c>
      <c r="AB17" t="s">
        <v>2503</v>
      </c>
      <c r="AC17" t="s">
        <v>1610</v>
      </c>
      <c r="AG17">
        <v>40</v>
      </c>
    </row>
    <row r="18" spans="1:33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2613</v>
      </c>
      <c r="M18" t="s">
        <v>1994</v>
      </c>
      <c r="N18" t="s">
        <v>2026</v>
      </c>
      <c r="P18" t="s">
        <v>2781</v>
      </c>
      <c r="Q18" t="s">
        <v>2837</v>
      </c>
      <c r="R18" t="s">
        <v>2062</v>
      </c>
      <c r="S18" t="s">
        <v>2184</v>
      </c>
      <c r="T18" t="s">
        <v>2243</v>
      </c>
      <c r="U18" t="s">
        <v>2353</v>
      </c>
      <c r="V18" t="s">
        <v>2866</v>
      </c>
      <c r="AA18" t="s">
        <v>2403</v>
      </c>
      <c r="AB18" t="s">
        <v>2504</v>
      </c>
      <c r="AC18" t="s">
        <v>1756</v>
      </c>
    </row>
    <row r="19" spans="1:33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2614</v>
      </c>
      <c r="M19" t="s">
        <v>16</v>
      </c>
      <c r="N19" t="s">
        <v>2688</v>
      </c>
      <c r="P19" t="s">
        <v>2782</v>
      </c>
      <c r="Q19" t="s">
        <v>2838</v>
      </c>
      <c r="R19" t="s">
        <v>2063</v>
      </c>
      <c r="S19" t="s">
        <v>2185</v>
      </c>
      <c r="T19" t="s">
        <v>2244</v>
      </c>
      <c r="U19" t="s">
        <v>2111</v>
      </c>
      <c r="V19" t="s">
        <v>2867</v>
      </c>
      <c r="AA19" t="s">
        <v>2404</v>
      </c>
      <c r="AB19" t="s">
        <v>2505</v>
      </c>
      <c r="AC19" t="s">
        <v>1615</v>
      </c>
    </row>
    <row r="20" spans="1:33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1973</v>
      </c>
      <c r="M20" t="s">
        <v>2645</v>
      </c>
      <c r="N20" t="s">
        <v>2689</v>
      </c>
      <c r="P20" t="s">
        <v>2783</v>
      </c>
      <c r="Q20" t="s">
        <v>2839</v>
      </c>
      <c r="R20" t="s">
        <v>2064</v>
      </c>
      <c r="S20" t="s">
        <v>2186</v>
      </c>
      <c r="T20" t="s">
        <v>2245</v>
      </c>
      <c r="U20" t="s">
        <v>2354</v>
      </c>
      <c r="V20" t="s">
        <v>2868</v>
      </c>
      <c r="AA20" t="s">
        <v>2405</v>
      </c>
      <c r="AB20" t="s">
        <v>2506</v>
      </c>
      <c r="AC20" t="s">
        <v>2550</v>
      </c>
    </row>
    <row r="21" spans="1:33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1974</v>
      </c>
      <c r="M21" t="s">
        <v>2646</v>
      </c>
      <c r="N21" t="s">
        <v>2690</v>
      </c>
      <c r="P21" t="s">
        <v>2784</v>
      </c>
      <c r="Q21" t="s">
        <v>2840</v>
      </c>
      <c r="R21" t="s">
        <v>2065</v>
      </c>
      <c r="S21" t="s">
        <v>2187</v>
      </c>
      <c r="T21" t="s">
        <v>2246</v>
      </c>
      <c r="U21" t="s">
        <v>2355</v>
      </c>
      <c r="V21" t="s">
        <v>2869</v>
      </c>
      <c r="AA21" t="s">
        <v>2406</v>
      </c>
      <c r="AB21" t="s">
        <v>2507</v>
      </c>
      <c r="AC21" t="s">
        <v>10</v>
      </c>
    </row>
    <row r="22" spans="1:33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2615</v>
      </c>
      <c r="M22" t="s">
        <v>2647</v>
      </c>
      <c r="N22" t="s">
        <v>2691</v>
      </c>
      <c r="P22" t="s">
        <v>2785</v>
      </c>
      <c r="Q22" t="s">
        <v>2841</v>
      </c>
      <c r="R22" t="s">
        <v>2066</v>
      </c>
      <c r="S22" t="s">
        <v>2188</v>
      </c>
      <c r="T22" t="s">
        <v>2247</v>
      </c>
      <c r="V22" t="s">
        <v>2870</v>
      </c>
      <c r="AA22" t="s">
        <v>2407</v>
      </c>
      <c r="AB22" t="s">
        <v>2508</v>
      </c>
      <c r="AC22" t="s">
        <v>2551</v>
      </c>
    </row>
    <row r="23" spans="1:33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2616</v>
      </c>
      <c r="M23" t="s">
        <v>2648</v>
      </c>
      <c r="N23" t="s">
        <v>2692</v>
      </c>
      <c r="P23" t="s">
        <v>2786</v>
      </c>
      <c r="Q23" t="s">
        <v>2842</v>
      </c>
      <c r="R23" t="s">
        <v>2067</v>
      </c>
      <c r="S23" t="s">
        <v>2189</v>
      </c>
      <c r="T23" t="s">
        <v>1187</v>
      </c>
      <c r="V23" t="s">
        <v>2871</v>
      </c>
      <c r="AA23" t="s">
        <v>2408</v>
      </c>
      <c r="AB23" t="s">
        <v>2509</v>
      </c>
      <c r="AC23" t="s">
        <v>2552</v>
      </c>
    </row>
    <row r="24" spans="1:33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1975</v>
      </c>
      <c r="M24" t="s">
        <v>1995</v>
      </c>
      <c r="N24" t="s">
        <v>2693</v>
      </c>
      <c r="P24" t="s">
        <v>2787</v>
      </c>
      <c r="Q24" t="s">
        <v>2843</v>
      </c>
      <c r="R24" t="s">
        <v>2068</v>
      </c>
      <c r="S24" t="s">
        <v>2190</v>
      </c>
      <c r="T24" t="s">
        <v>1188</v>
      </c>
      <c r="V24" t="s">
        <v>2872</v>
      </c>
      <c r="AA24" t="s">
        <v>2409</v>
      </c>
      <c r="AB24" t="s">
        <v>2510</v>
      </c>
      <c r="AC24" t="s">
        <v>381</v>
      </c>
    </row>
    <row r="25" spans="1:33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1976</v>
      </c>
      <c r="M25" t="s">
        <v>1996</v>
      </c>
      <c r="N25" t="s">
        <v>2694</v>
      </c>
      <c r="P25" t="s">
        <v>2788</v>
      </c>
      <c r="Q25" t="s">
        <v>2844</v>
      </c>
      <c r="R25" t="s">
        <v>2069</v>
      </c>
      <c r="S25" t="s">
        <v>2191</v>
      </c>
      <c r="T25" t="s">
        <v>2248</v>
      </c>
      <c r="V25" t="s">
        <v>2873</v>
      </c>
      <c r="AA25" t="s">
        <v>2410</v>
      </c>
      <c r="AB25" t="s">
        <v>2511</v>
      </c>
      <c r="AC25" t="s">
        <v>2553</v>
      </c>
    </row>
    <row r="26" spans="1:33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2617</v>
      </c>
      <c r="M26" t="s">
        <v>2649</v>
      </c>
      <c r="N26" t="s">
        <v>2027</v>
      </c>
      <c r="P26" t="s">
        <v>2789</v>
      </c>
      <c r="Q26" t="s">
        <v>2845</v>
      </c>
      <c r="R26" t="s">
        <v>2070</v>
      </c>
      <c r="S26" t="s">
        <v>2192</v>
      </c>
      <c r="T26" t="s">
        <v>1193</v>
      </c>
      <c r="V26" t="s">
        <v>2874</v>
      </c>
      <c r="AA26" t="s">
        <v>2411</v>
      </c>
      <c r="AB26" t="s">
        <v>2512</v>
      </c>
      <c r="AC26" t="s">
        <v>1631</v>
      </c>
    </row>
    <row r="27" spans="1:33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2618</v>
      </c>
      <c r="M27" t="s">
        <v>2650</v>
      </c>
      <c r="N27" t="s">
        <v>2028</v>
      </c>
      <c r="P27" t="s">
        <v>2790</v>
      </c>
      <c r="Q27" t="s">
        <v>2846</v>
      </c>
      <c r="R27" t="s">
        <v>2071</v>
      </c>
      <c r="S27" t="s">
        <v>2193</v>
      </c>
      <c r="T27" t="s">
        <v>1194</v>
      </c>
      <c r="V27" t="s">
        <v>2875</v>
      </c>
      <c r="AA27" t="s">
        <v>2412</v>
      </c>
      <c r="AB27" t="s">
        <v>2513</v>
      </c>
      <c r="AC27" t="s">
        <v>2554</v>
      </c>
    </row>
    <row r="28" spans="1:33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1977</v>
      </c>
      <c r="M28" t="s">
        <v>2651</v>
      </c>
      <c r="N28" t="s">
        <v>2029</v>
      </c>
      <c r="P28" t="s">
        <v>2791</v>
      </c>
      <c r="Q28" t="s">
        <v>2847</v>
      </c>
      <c r="R28" t="s">
        <v>2072</v>
      </c>
      <c r="S28" t="s">
        <v>2194</v>
      </c>
      <c r="T28" t="s">
        <v>1195</v>
      </c>
      <c r="V28" t="s">
        <v>2876</v>
      </c>
      <c r="AA28" t="s">
        <v>2413</v>
      </c>
      <c r="AB28" t="s">
        <v>2514</v>
      </c>
      <c r="AC28" t="s">
        <v>1641</v>
      </c>
    </row>
    <row r="29" spans="1:33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1978</v>
      </c>
      <c r="M29" t="s">
        <v>2652</v>
      </c>
      <c r="N29" t="s">
        <v>2030</v>
      </c>
      <c r="P29" t="s">
        <v>2792</v>
      </c>
      <c r="Q29" t="s">
        <v>2848</v>
      </c>
      <c r="R29" t="s">
        <v>2073</v>
      </c>
      <c r="S29" t="s">
        <v>2195</v>
      </c>
      <c r="T29" t="s">
        <v>1197</v>
      </c>
      <c r="V29" t="s">
        <v>2877</v>
      </c>
      <c r="AA29" t="s">
        <v>2414</v>
      </c>
      <c r="AB29" t="s">
        <v>2515</v>
      </c>
      <c r="AC29" t="s">
        <v>2555</v>
      </c>
    </row>
    <row r="30" spans="1:33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2619</v>
      </c>
      <c r="M30" t="s">
        <v>2653</v>
      </c>
      <c r="N30" t="s">
        <v>2695</v>
      </c>
      <c r="P30" t="s">
        <v>2793</v>
      </c>
      <c r="Q30" t="s">
        <v>2849</v>
      </c>
      <c r="R30" t="s">
        <v>2074</v>
      </c>
      <c r="S30" t="s">
        <v>2196</v>
      </c>
      <c r="T30" t="s">
        <v>2249</v>
      </c>
      <c r="V30" t="s">
        <v>2878</v>
      </c>
      <c r="AA30" t="s">
        <v>2415</v>
      </c>
      <c r="AB30" t="s">
        <v>2516</v>
      </c>
      <c r="AC30" t="s">
        <v>1652</v>
      </c>
    </row>
    <row r="31" spans="1:33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2620</v>
      </c>
      <c r="M31" t="s">
        <v>1997</v>
      </c>
      <c r="N31" t="s">
        <v>2696</v>
      </c>
      <c r="P31" t="s">
        <v>2794</v>
      </c>
      <c r="R31" t="s">
        <v>2075</v>
      </c>
      <c r="S31" t="s">
        <v>2197</v>
      </c>
      <c r="T31" t="s">
        <v>2250</v>
      </c>
      <c r="V31" t="s">
        <v>2879</v>
      </c>
      <c r="AA31" t="s">
        <v>2416</v>
      </c>
      <c r="AB31" t="s">
        <v>2517</v>
      </c>
      <c r="AC31" t="s">
        <v>2556</v>
      </c>
    </row>
    <row r="32" spans="1:33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1979</v>
      </c>
      <c r="M32" t="s">
        <v>1998</v>
      </c>
      <c r="N32" t="s">
        <v>2697</v>
      </c>
      <c r="P32" t="s">
        <v>2795</v>
      </c>
      <c r="R32" t="s">
        <v>2076</v>
      </c>
      <c r="S32" t="s">
        <v>2198</v>
      </c>
      <c r="T32" t="s">
        <v>2251</v>
      </c>
      <c r="V32" t="s">
        <v>2880</v>
      </c>
      <c r="AA32" t="s">
        <v>2417</v>
      </c>
      <c r="AB32" t="s">
        <v>2518</v>
      </c>
      <c r="AC32" t="s">
        <v>2557</v>
      </c>
    </row>
    <row r="33" spans="1:29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1980</v>
      </c>
      <c r="M33" t="s">
        <v>2654</v>
      </c>
      <c r="N33" t="s">
        <v>2698</v>
      </c>
      <c r="P33" t="s">
        <v>2796</v>
      </c>
      <c r="R33" t="s">
        <v>2077</v>
      </c>
      <c r="S33" t="s">
        <v>2199</v>
      </c>
      <c r="T33" t="s">
        <v>2252</v>
      </c>
      <c r="V33" t="s">
        <v>2881</v>
      </c>
      <c r="AA33" t="s">
        <v>2418</v>
      </c>
      <c r="AB33" t="s">
        <v>2519</v>
      </c>
      <c r="AC33" t="s">
        <v>1662</v>
      </c>
    </row>
    <row r="34" spans="1:29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2621</v>
      </c>
      <c r="M34" t="s">
        <v>2655</v>
      </c>
      <c r="N34" t="s">
        <v>2699</v>
      </c>
      <c r="P34" t="s">
        <v>2797</v>
      </c>
      <c r="R34" t="s">
        <v>2078</v>
      </c>
      <c r="S34" t="s">
        <v>2200</v>
      </c>
      <c r="T34" t="s">
        <v>2253</v>
      </c>
      <c r="V34" t="s">
        <v>2882</v>
      </c>
      <c r="AA34" t="s">
        <v>2419</v>
      </c>
      <c r="AB34" t="s">
        <v>2520</v>
      </c>
      <c r="AC34" t="s">
        <v>2558</v>
      </c>
    </row>
    <row r="35" spans="1:29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2622</v>
      </c>
      <c r="M35" t="s">
        <v>2656</v>
      </c>
      <c r="N35" t="s">
        <v>2700</v>
      </c>
      <c r="P35" t="s">
        <v>2798</v>
      </c>
      <c r="R35" t="s">
        <v>2079</v>
      </c>
      <c r="S35" t="s">
        <v>2201</v>
      </c>
      <c r="T35" t="s">
        <v>1201</v>
      </c>
      <c r="V35" t="s">
        <v>2883</v>
      </c>
      <c r="AA35" t="s">
        <v>2420</v>
      </c>
      <c r="AB35" t="s">
        <v>2521</v>
      </c>
      <c r="AC35" t="s">
        <v>2559</v>
      </c>
    </row>
    <row r="36" spans="1:29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1981</v>
      </c>
      <c r="M36" t="s">
        <v>2657</v>
      </c>
      <c r="N36" t="s">
        <v>2701</v>
      </c>
      <c r="P36" t="s">
        <v>2799</v>
      </c>
      <c r="R36" t="s">
        <v>2080</v>
      </c>
      <c r="S36" t="s">
        <v>2202</v>
      </c>
      <c r="T36" t="s">
        <v>1202</v>
      </c>
      <c r="V36" t="s">
        <v>2884</v>
      </c>
      <c r="AA36" t="s">
        <v>2421</v>
      </c>
      <c r="AB36" t="s">
        <v>2522</v>
      </c>
      <c r="AC36" t="s">
        <v>517</v>
      </c>
    </row>
    <row r="37" spans="1:29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1982</v>
      </c>
      <c r="M37" t="s">
        <v>2658</v>
      </c>
      <c r="N37" t="s">
        <v>2702</v>
      </c>
      <c r="P37" t="s">
        <v>2800</v>
      </c>
      <c r="R37" t="s">
        <v>2081</v>
      </c>
      <c r="S37" t="s">
        <v>2203</v>
      </c>
      <c r="T37" t="s">
        <v>2254</v>
      </c>
      <c r="V37" t="s">
        <v>2885</v>
      </c>
      <c r="AA37" t="s">
        <v>2422</v>
      </c>
      <c r="AB37" t="s">
        <v>2523</v>
      </c>
      <c r="AC37" t="s">
        <v>1675</v>
      </c>
    </row>
    <row r="38" spans="1:29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1983</v>
      </c>
      <c r="M38" t="s">
        <v>2659</v>
      </c>
      <c r="N38" t="s">
        <v>2703</v>
      </c>
      <c r="P38" t="s">
        <v>2801</v>
      </c>
      <c r="R38" t="s">
        <v>2082</v>
      </c>
      <c r="S38" t="s">
        <v>2204</v>
      </c>
      <c r="T38" t="s">
        <v>2255</v>
      </c>
      <c r="V38" t="s">
        <v>2886</v>
      </c>
      <c r="AA38" t="s">
        <v>2423</v>
      </c>
      <c r="AB38" t="s">
        <v>2524</v>
      </c>
      <c r="AC38" t="s">
        <v>1684</v>
      </c>
    </row>
    <row r="39" spans="1:29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2623</v>
      </c>
      <c r="M39" t="s">
        <v>1999</v>
      </c>
      <c r="N39" t="s">
        <v>2704</v>
      </c>
      <c r="P39" t="s">
        <v>2802</v>
      </c>
      <c r="R39" t="s">
        <v>2083</v>
      </c>
      <c r="S39" t="s">
        <v>2205</v>
      </c>
      <c r="T39" t="s">
        <v>2256</v>
      </c>
      <c r="V39" t="s">
        <v>2887</v>
      </c>
      <c r="AA39" t="s">
        <v>2424</v>
      </c>
      <c r="AB39" t="s">
        <v>2525</v>
      </c>
      <c r="AC39" t="s">
        <v>2560</v>
      </c>
    </row>
    <row r="40" spans="1:29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2624</v>
      </c>
      <c r="M40" t="s">
        <v>2660</v>
      </c>
      <c r="N40" t="s">
        <v>2705</v>
      </c>
      <c r="P40" t="s">
        <v>2803</v>
      </c>
      <c r="R40" t="s">
        <v>2084</v>
      </c>
      <c r="S40" t="s">
        <v>2206</v>
      </c>
      <c r="T40" t="s">
        <v>1209</v>
      </c>
      <c r="V40" t="s">
        <v>2888</v>
      </c>
      <c r="AA40" t="s">
        <v>2425</v>
      </c>
      <c r="AB40" t="s">
        <v>2526</v>
      </c>
      <c r="AC40" t="s">
        <v>582</v>
      </c>
    </row>
    <row r="41" spans="1:29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1984</v>
      </c>
      <c r="M41" t="s">
        <v>2661</v>
      </c>
      <c r="N41" t="s">
        <v>2706</v>
      </c>
      <c r="P41" t="s">
        <v>2804</v>
      </c>
      <c r="R41" t="s">
        <v>2085</v>
      </c>
      <c r="S41" t="s">
        <v>2207</v>
      </c>
      <c r="T41" t="s">
        <v>1211</v>
      </c>
      <c r="V41" t="s">
        <v>2889</v>
      </c>
      <c r="AA41" t="s">
        <v>2426</v>
      </c>
      <c r="AB41" t="s">
        <v>2527</v>
      </c>
      <c r="AC41" t="s">
        <v>2561</v>
      </c>
    </row>
    <row r="42" spans="1:29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1985</v>
      </c>
      <c r="M42" t="s">
        <v>2662</v>
      </c>
      <c r="N42" t="s">
        <v>2707</v>
      </c>
      <c r="P42" t="s">
        <v>2805</v>
      </c>
      <c r="R42" t="s">
        <v>2086</v>
      </c>
      <c r="S42" t="s">
        <v>2208</v>
      </c>
      <c r="T42" t="s">
        <v>2257</v>
      </c>
      <c r="V42" t="s">
        <v>2890</v>
      </c>
      <c r="AA42" t="s">
        <v>2427</v>
      </c>
      <c r="AB42" t="s">
        <v>2528</v>
      </c>
      <c r="AC42" t="s">
        <v>2562</v>
      </c>
    </row>
    <row r="43" spans="1:29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2625</v>
      </c>
      <c r="M43" t="s">
        <v>2663</v>
      </c>
      <c r="N43" t="s">
        <v>2708</v>
      </c>
      <c r="P43" t="s">
        <v>2806</v>
      </c>
      <c r="R43" t="s">
        <v>2087</v>
      </c>
      <c r="S43" t="s">
        <v>2209</v>
      </c>
      <c r="T43" t="s">
        <v>2258</v>
      </c>
      <c r="V43" t="s">
        <v>2891</v>
      </c>
      <c r="AA43" t="s">
        <v>2428</v>
      </c>
      <c r="AB43" t="s">
        <v>2529</v>
      </c>
    </row>
    <row r="44" spans="1:29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2626</v>
      </c>
      <c r="M44" t="s">
        <v>2664</v>
      </c>
      <c r="N44" t="s">
        <v>2709</v>
      </c>
      <c r="P44" t="s">
        <v>2807</v>
      </c>
      <c r="R44" t="s">
        <v>2088</v>
      </c>
      <c r="S44" t="s">
        <v>2210</v>
      </c>
      <c r="T44" t="s">
        <v>2259</v>
      </c>
      <c r="AA44" t="s">
        <v>2429</v>
      </c>
      <c r="AB44" t="s">
        <v>2530</v>
      </c>
    </row>
    <row r="45" spans="1:29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1986</v>
      </c>
      <c r="M45" t="s">
        <v>2000</v>
      </c>
      <c r="N45" t="s">
        <v>2710</v>
      </c>
      <c r="P45" t="s">
        <v>2808</v>
      </c>
      <c r="R45" t="s">
        <v>2089</v>
      </c>
      <c r="S45" t="s">
        <v>2211</v>
      </c>
      <c r="T45" t="s">
        <v>2260</v>
      </c>
      <c r="AA45" t="s">
        <v>2430</v>
      </c>
      <c r="AB45" t="s">
        <v>2531</v>
      </c>
    </row>
    <row r="46" spans="1:29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1987</v>
      </c>
      <c r="M46" t="s">
        <v>2001</v>
      </c>
      <c r="N46" t="s">
        <v>2711</v>
      </c>
      <c r="P46" t="s">
        <v>2809</v>
      </c>
      <c r="R46" t="s">
        <v>2090</v>
      </c>
      <c r="S46" t="s">
        <v>2212</v>
      </c>
      <c r="T46" t="s">
        <v>2261</v>
      </c>
      <c r="AA46" t="s">
        <v>2431</v>
      </c>
      <c r="AB46" t="s">
        <v>2532</v>
      </c>
    </row>
    <row r="47" spans="1:29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2627</v>
      </c>
      <c r="M47" t="s">
        <v>2002</v>
      </c>
      <c r="N47" t="s">
        <v>2031</v>
      </c>
      <c r="P47" t="s">
        <v>2810</v>
      </c>
      <c r="R47" t="s">
        <v>2091</v>
      </c>
      <c r="S47" t="s">
        <v>2213</v>
      </c>
      <c r="T47" t="s">
        <v>2262</v>
      </c>
      <c r="AA47" t="s">
        <v>2432</v>
      </c>
      <c r="AB47" t="s">
        <v>2533</v>
      </c>
    </row>
    <row r="48" spans="1:29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2628</v>
      </c>
      <c r="M48" t="s">
        <v>2003</v>
      </c>
      <c r="N48" t="s">
        <v>2712</v>
      </c>
      <c r="P48" t="s">
        <v>2811</v>
      </c>
      <c r="R48" t="s">
        <v>2092</v>
      </c>
      <c r="S48" t="s">
        <v>2214</v>
      </c>
      <c r="T48" t="s">
        <v>2263</v>
      </c>
      <c r="AA48" t="s">
        <v>2433</v>
      </c>
      <c r="AB48" t="s">
        <v>2534</v>
      </c>
    </row>
    <row r="49" spans="1:28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1989</v>
      </c>
      <c r="M49" t="s">
        <v>2665</v>
      </c>
      <c r="N49" t="s">
        <v>2032</v>
      </c>
      <c r="P49" t="s">
        <v>2812</v>
      </c>
      <c r="R49" t="s">
        <v>2093</v>
      </c>
      <c r="S49" t="s">
        <v>2215</v>
      </c>
      <c r="T49" t="s">
        <v>2264</v>
      </c>
      <c r="AA49" t="s">
        <v>2434</v>
      </c>
      <c r="AB49" t="s">
        <v>2535</v>
      </c>
    </row>
    <row r="50" spans="1:28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1990</v>
      </c>
      <c r="M50" t="s">
        <v>2666</v>
      </c>
      <c r="N50" t="s">
        <v>2713</v>
      </c>
      <c r="P50" t="s">
        <v>2813</v>
      </c>
      <c r="R50" t="s">
        <v>2094</v>
      </c>
      <c r="S50" t="s">
        <v>2216</v>
      </c>
      <c r="T50" t="s">
        <v>2265</v>
      </c>
      <c r="AA50" t="s">
        <v>2435</v>
      </c>
      <c r="AB50" t="s">
        <v>2536</v>
      </c>
    </row>
    <row r="51" spans="1:28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2629</v>
      </c>
      <c r="M51" t="s">
        <v>2667</v>
      </c>
      <c r="N51" t="s">
        <v>2714</v>
      </c>
      <c r="P51" t="s">
        <v>2814</v>
      </c>
      <c r="R51" t="s">
        <v>2095</v>
      </c>
      <c r="S51" t="s">
        <v>2217</v>
      </c>
      <c r="T51" t="s">
        <v>1885</v>
      </c>
      <c r="AA51" t="s">
        <v>2436</v>
      </c>
      <c r="AB51" t="s">
        <v>2537</v>
      </c>
    </row>
    <row r="52" spans="1:28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2630</v>
      </c>
      <c r="M52" t="s">
        <v>2668</v>
      </c>
      <c r="N52" t="s">
        <v>2715</v>
      </c>
      <c r="P52" t="s">
        <v>2815</v>
      </c>
      <c r="R52" t="s">
        <v>2096</v>
      </c>
      <c r="S52" t="s">
        <v>2218</v>
      </c>
      <c r="T52" t="s">
        <v>1220</v>
      </c>
      <c r="AA52" t="s">
        <v>2437</v>
      </c>
      <c r="AB52" t="s">
        <v>2538</v>
      </c>
    </row>
    <row r="53" spans="1:28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M53" t="s">
        <v>2004</v>
      </c>
      <c r="N53" t="s">
        <v>2716</v>
      </c>
      <c r="P53" t="s">
        <v>2816</v>
      </c>
      <c r="R53" t="s">
        <v>2097</v>
      </c>
      <c r="S53" t="s">
        <v>2219</v>
      </c>
      <c r="T53" t="s">
        <v>1222</v>
      </c>
      <c r="AA53" t="s">
        <v>2438</v>
      </c>
    </row>
    <row r="54" spans="1:28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M54" t="s">
        <v>2005</v>
      </c>
      <c r="N54" t="s">
        <v>2717</v>
      </c>
      <c r="P54" t="s">
        <v>2817</v>
      </c>
      <c r="R54" t="s">
        <v>2098</v>
      </c>
      <c r="S54" t="s">
        <v>2220</v>
      </c>
      <c r="T54" t="s">
        <v>2266</v>
      </c>
      <c r="AA54" t="s">
        <v>2439</v>
      </c>
    </row>
    <row r="55" spans="1:28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M55" t="s">
        <v>2006</v>
      </c>
      <c r="N55" t="s">
        <v>2718</v>
      </c>
      <c r="P55" t="s">
        <v>2818</v>
      </c>
      <c r="R55" t="s">
        <v>2099</v>
      </c>
      <c r="S55" t="s">
        <v>2221</v>
      </c>
      <c r="T55" t="s">
        <v>2267</v>
      </c>
      <c r="AA55" t="s">
        <v>2440</v>
      </c>
    </row>
    <row r="56" spans="1:28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M56" t="s">
        <v>2007</v>
      </c>
      <c r="N56" t="s">
        <v>2719</v>
      </c>
      <c r="P56" t="s">
        <v>2819</v>
      </c>
      <c r="R56" t="s">
        <v>2100</v>
      </c>
      <c r="S56" t="s">
        <v>2222</v>
      </c>
      <c r="T56" t="s">
        <v>2268</v>
      </c>
      <c r="AA56" t="s">
        <v>2441</v>
      </c>
    </row>
    <row r="57" spans="1:28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M57" t="s">
        <v>2669</v>
      </c>
      <c r="N57" t="s">
        <v>2720</v>
      </c>
      <c r="P57" t="s">
        <v>2820</v>
      </c>
      <c r="R57" t="s">
        <v>2101</v>
      </c>
      <c r="S57" t="s">
        <v>2223</v>
      </c>
      <c r="T57" t="s">
        <v>2269</v>
      </c>
      <c r="AA57" t="s">
        <v>2442</v>
      </c>
    </row>
    <row r="58" spans="1:28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M58" t="s">
        <v>2670</v>
      </c>
      <c r="N58" t="s">
        <v>2721</v>
      </c>
      <c r="R58" t="s">
        <v>2102</v>
      </c>
      <c r="S58" t="s">
        <v>2224</v>
      </c>
      <c r="T58" t="s">
        <v>2270</v>
      </c>
      <c r="AA58" t="s">
        <v>2443</v>
      </c>
    </row>
    <row r="59" spans="1:28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M59" t="s">
        <v>2671</v>
      </c>
      <c r="N59" t="s">
        <v>2722</v>
      </c>
      <c r="R59" t="s">
        <v>2103</v>
      </c>
      <c r="S59" t="s">
        <v>2225</v>
      </c>
      <c r="T59" t="s">
        <v>1228</v>
      </c>
      <c r="AA59" t="s">
        <v>2444</v>
      </c>
    </row>
    <row r="60" spans="1:28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M60" t="s">
        <v>2672</v>
      </c>
      <c r="N60" t="s">
        <v>2723</v>
      </c>
      <c r="R60" t="s">
        <v>2104</v>
      </c>
      <c r="S60" t="s">
        <v>2226</v>
      </c>
      <c r="T60" t="s">
        <v>1229</v>
      </c>
      <c r="AA60" t="s">
        <v>2445</v>
      </c>
    </row>
    <row r="61" spans="1:28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M61" t="s">
        <v>2008</v>
      </c>
      <c r="N61" t="s">
        <v>2724</v>
      </c>
      <c r="R61" t="s">
        <v>2105</v>
      </c>
      <c r="S61" t="s">
        <v>2227</v>
      </c>
      <c r="T61" t="s">
        <v>1893</v>
      </c>
      <c r="AA61" t="s">
        <v>2446</v>
      </c>
    </row>
    <row r="62" spans="1:28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M62" t="s">
        <v>2009</v>
      </c>
      <c r="N62" t="s">
        <v>2725</v>
      </c>
      <c r="R62" t="s">
        <v>2106</v>
      </c>
      <c r="S62" t="s">
        <v>2228</v>
      </c>
      <c r="T62" t="s">
        <v>1238</v>
      </c>
      <c r="AA62" t="s">
        <v>2447</v>
      </c>
    </row>
    <row r="63" spans="1:28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M63" t="s">
        <v>2010</v>
      </c>
      <c r="N63" t="s">
        <v>2726</v>
      </c>
      <c r="R63" t="s">
        <v>2107</v>
      </c>
      <c r="S63" t="s">
        <v>2229</v>
      </c>
      <c r="T63" t="s">
        <v>1240</v>
      </c>
      <c r="AA63" t="s">
        <v>2448</v>
      </c>
    </row>
    <row r="64" spans="1:28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M64" t="s">
        <v>2011</v>
      </c>
      <c r="N64" t="s">
        <v>2727</v>
      </c>
      <c r="R64" t="s">
        <v>2108</v>
      </c>
      <c r="S64" t="s">
        <v>2230</v>
      </c>
      <c r="T64" t="s">
        <v>1244</v>
      </c>
      <c r="AA64" t="s">
        <v>2449</v>
      </c>
    </row>
    <row r="65" spans="1:27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M65" t="s">
        <v>2012</v>
      </c>
      <c r="N65" t="s">
        <v>2728</v>
      </c>
      <c r="R65" t="s">
        <v>2109</v>
      </c>
      <c r="T65" t="s">
        <v>2271</v>
      </c>
      <c r="AA65" t="s">
        <v>2450</v>
      </c>
    </row>
    <row r="66" spans="1:27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M66" t="s">
        <v>2673</v>
      </c>
      <c r="N66" t="s">
        <v>2729</v>
      </c>
      <c r="R66" t="s">
        <v>2110</v>
      </c>
      <c r="T66" t="s">
        <v>2272</v>
      </c>
      <c r="AA66" t="s">
        <v>2451</v>
      </c>
    </row>
    <row r="67" spans="1:27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M67" t="s">
        <v>2674</v>
      </c>
      <c r="N67" t="s">
        <v>2730</v>
      </c>
      <c r="R67" t="s">
        <v>2111</v>
      </c>
      <c r="T67" t="s">
        <v>2273</v>
      </c>
      <c r="AA67" t="s">
        <v>2452</v>
      </c>
    </row>
    <row r="68" spans="1:27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M68" t="s">
        <v>2675</v>
      </c>
      <c r="N68" t="s">
        <v>2731</v>
      </c>
      <c r="R68" t="s">
        <v>2112</v>
      </c>
      <c r="T68" t="s">
        <v>2274</v>
      </c>
      <c r="AA68" t="s">
        <v>2453</v>
      </c>
    </row>
    <row r="69" spans="1:27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N69" t="s">
        <v>2732</v>
      </c>
      <c r="R69" t="s">
        <v>2113</v>
      </c>
      <c r="T69" t="s">
        <v>2275</v>
      </c>
      <c r="AA69" t="s">
        <v>2454</v>
      </c>
    </row>
    <row r="70" spans="1:27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N70" t="s">
        <v>2733</v>
      </c>
      <c r="R70" t="s">
        <v>2114</v>
      </c>
      <c r="T70" t="s">
        <v>2276</v>
      </c>
      <c r="AA70" t="s">
        <v>2455</v>
      </c>
    </row>
    <row r="71" spans="1:27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N71" t="s">
        <v>2734</v>
      </c>
      <c r="R71" t="s">
        <v>2115</v>
      </c>
      <c r="T71" t="s">
        <v>2277</v>
      </c>
      <c r="AA71" t="s">
        <v>2456</v>
      </c>
    </row>
    <row r="72" spans="1:27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N72" t="s">
        <v>2033</v>
      </c>
      <c r="R72" t="s">
        <v>2116</v>
      </c>
      <c r="T72" t="s">
        <v>2278</v>
      </c>
      <c r="AA72" t="s">
        <v>2457</v>
      </c>
    </row>
    <row r="73" spans="1:27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N73" t="s">
        <v>2034</v>
      </c>
      <c r="R73" t="s">
        <v>2117</v>
      </c>
      <c r="T73" t="s">
        <v>1273</v>
      </c>
      <c r="AA73" t="s">
        <v>2458</v>
      </c>
    </row>
    <row r="74" spans="1:27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N74" t="s">
        <v>2035</v>
      </c>
      <c r="R74" t="s">
        <v>2118</v>
      </c>
      <c r="T74" t="s">
        <v>1282</v>
      </c>
      <c r="AA74" t="s">
        <v>2459</v>
      </c>
    </row>
    <row r="75" spans="1:27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N75" t="s">
        <v>2036</v>
      </c>
      <c r="R75" t="s">
        <v>2119</v>
      </c>
      <c r="T75" t="s">
        <v>1284</v>
      </c>
      <c r="AA75" t="s">
        <v>2460</v>
      </c>
    </row>
    <row r="76" spans="1:27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N76" t="s">
        <v>2735</v>
      </c>
      <c r="R76" t="s">
        <v>2120</v>
      </c>
      <c r="T76" t="s">
        <v>1286</v>
      </c>
      <c r="AA76" t="s">
        <v>2461</v>
      </c>
    </row>
    <row r="77" spans="1:27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N77" t="s">
        <v>2037</v>
      </c>
      <c r="R77" t="s">
        <v>2121</v>
      </c>
      <c r="T77" t="s">
        <v>1288</v>
      </c>
      <c r="AA77" t="s">
        <v>2462</v>
      </c>
    </row>
    <row r="78" spans="1:27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N78" t="s">
        <v>2736</v>
      </c>
      <c r="R78" t="s">
        <v>2122</v>
      </c>
      <c r="T78" t="s">
        <v>1291</v>
      </c>
      <c r="AA78" t="s">
        <v>2463</v>
      </c>
    </row>
    <row r="79" spans="1:27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N79" t="s">
        <v>2737</v>
      </c>
      <c r="R79" t="s">
        <v>2123</v>
      </c>
      <c r="T79" t="s">
        <v>1293</v>
      </c>
      <c r="AA79" t="s">
        <v>2464</v>
      </c>
    </row>
    <row r="80" spans="1:27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N80" t="s">
        <v>2738</v>
      </c>
      <c r="R80" t="s">
        <v>2124</v>
      </c>
      <c r="T80" t="s">
        <v>2279</v>
      </c>
      <c r="AA80" t="s">
        <v>2465</v>
      </c>
    </row>
    <row r="81" spans="1:27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N81" t="s">
        <v>2739</v>
      </c>
      <c r="R81" t="s">
        <v>2125</v>
      </c>
      <c r="T81" t="s">
        <v>2280</v>
      </c>
      <c r="AA81" t="s">
        <v>2466</v>
      </c>
    </row>
    <row r="82" spans="1:27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N82" t="s">
        <v>2740</v>
      </c>
      <c r="R82" t="s">
        <v>2126</v>
      </c>
      <c r="T82" t="s">
        <v>2281</v>
      </c>
      <c r="AA82" t="s">
        <v>2467</v>
      </c>
    </row>
    <row r="83" spans="1:27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N83" t="s">
        <v>2741</v>
      </c>
      <c r="R83" t="s">
        <v>2127</v>
      </c>
      <c r="T83" t="s">
        <v>2282</v>
      </c>
      <c r="AA83" t="s">
        <v>2468</v>
      </c>
    </row>
    <row r="84" spans="1:27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N84" t="s">
        <v>2742</v>
      </c>
      <c r="R84" t="s">
        <v>2128</v>
      </c>
      <c r="T84" t="s">
        <v>2283</v>
      </c>
      <c r="AA84" t="s">
        <v>2469</v>
      </c>
    </row>
    <row r="85" spans="1:27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N85" t="s">
        <v>2743</v>
      </c>
      <c r="R85" t="s">
        <v>2129</v>
      </c>
      <c r="T85" t="s">
        <v>2284</v>
      </c>
      <c r="AA85" t="s">
        <v>2470</v>
      </c>
    </row>
    <row r="86" spans="1:27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N86" t="s">
        <v>2744</v>
      </c>
      <c r="R86" t="s">
        <v>2130</v>
      </c>
      <c r="T86" t="s">
        <v>2285</v>
      </c>
      <c r="AA86" t="s">
        <v>2471</v>
      </c>
    </row>
    <row r="87" spans="1:27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N87" t="s">
        <v>2745</v>
      </c>
      <c r="R87" t="s">
        <v>2131</v>
      </c>
      <c r="T87" t="s">
        <v>2286</v>
      </c>
      <c r="AA87" t="s">
        <v>2472</v>
      </c>
    </row>
    <row r="88" spans="1:27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N88" t="s">
        <v>2746</v>
      </c>
      <c r="R88" t="s">
        <v>2132</v>
      </c>
      <c r="T88" t="s">
        <v>2287</v>
      </c>
      <c r="AA88" t="s">
        <v>2473</v>
      </c>
    </row>
    <row r="89" spans="1:27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N89" t="s">
        <v>2747</v>
      </c>
      <c r="R89" t="s">
        <v>2133</v>
      </c>
      <c r="T89" t="s">
        <v>2288</v>
      </c>
      <c r="AA89" t="s">
        <v>2474</v>
      </c>
    </row>
    <row r="90" spans="1:27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N90" t="s">
        <v>2748</v>
      </c>
      <c r="R90" t="s">
        <v>2134</v>
      </c>
      <c r="T90" t="s">
        <v>1907</v>
      </c>
      <c r="AA90" t="s">
        <v>2475</v>
      </c>
    </row>
    <row r="91" spans="1:27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N91" t="s">
        <v>2749</v>
      </c>
      <c r="R91" t="s">
        <v>2135</v>
      </c>
      <c r="T91" t="s">
        <v>1908</v>
      </c>
      <c r="AA91" t="s">
        <v>2476</v>
      </c>
    </row>
    <row r="92" spans="1:27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R92" t="s">
        <v>2136</v>
      </c>
      <c r="T92" t="s">
        <v>2289</v>
      </c>
      <c r="AA92" t="s">
        <v>2477</v>
      </c>
    </row>
    <row r="93" spans="1:27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R93" t="s">
        <v>2137</v>
      </c>
      <c r="T93" t="s">
        <v>2290</v>
      </c>
      <c r="AA93" t="s">
        <v>2478</v>
      </c>
    </row>
    <row r="94" spans="1:27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R94" t="s">
        <v>2138</v>
      </c>
      <c r="T94" t="s">
        <v>2291</v>
      </c>
      <c r="AA94" t="s">
        <v>2479</v>
      </c>
    </row>
    <row r="95" spans="1:27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R95" t="s">
        <v>2139</v>
      </c>
      <c r="T95" t="s">
        <v>2292</v>
      </c>
      <c r="AA95" t="s">
        <v>2480</v>
      </c>
    </row>
    <row r="96" spans="1:27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R96" t="s">
        <v>2140</v>
      </c>
      <c r="T96" t="s">
        <v>2293</v>
      </c>
      <c r="AA96" t="s">
        <v>2481</v>
      </c>
    </row>
    <row r="97" spans="1:27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R97" t="s">
        <v>2141</v>
      </c>
      <c r="T97" t="s">
        <v>1313</v>
      </c>
      <c r="AA97" t="s">
        <v>2482</v>
      </c>
    </row>
    <row r="98" spans="1:27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R98" t="s">
        <v>2142</v>
      </c>
      <c r="T98" t="s">
        <v>1315</v>
      </c>
      <c r="AA98" t="s">
        <v>2483</v>
      </c>
    </row>
    <row r="99" spans="1:27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R99" t="s">
        <v>2143</v>
      </c>
      <c r="T99" t="s">
        <v>2294</v>
      </c>
      <c r="AA99" t="s">
        <v>2484</v>
      </c>
    </row>
    <row r="100" spans="1:27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R100" t="s">
        <v>2144</v>
      </c>
      <c r="T100" t="s">
        <v>1320</v>
      </c>
      <c r="AA100" t="s">
        <v>2485</v>
      </c>
    </row>
    <row r="101" spans="1:27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R101" t="s">
        <v>2145</v>
      </c>
      <c r="T101" t="s">
        <v>1322</v>
      </c>
      <c r="AA101" t="s">
        <v>2486</v>
      </c>
    </row>
    <row r="102" spans="1:27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R102" t="s">
        <v>2146</v>
      </c>
      <c r="T102" t="s">
        <v>2295</v>
      </c>
      <c r="AA102" t="s">
        <v>2487</v>
      </c>
    </row>
    <row r="103" spans="1:27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R103" t="s">
        <v>2147</v>
      </c>
      <c r="T103" t="s">
        <v>2296</v>
      </c>
    </row>
    <row r="104" spans="1:27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R104" t="s">
        <v>2148</v>
      </c>
      <c r="T104" t="s">
        <v>1327</v>
      </c>
    </row>
    <row r="105" spans="1:27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R105" t="s">
        <v>2149</v>
      </c>
      <c r="T105" t="s">
        <v>1331</v>
      </c>
    </row>
    <row r="106" spans="1:27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R106" t="s">
        <v>2150</v>
      </c>
      <c r="T106" t="s">
        <v>1333</v>
      </c>
    </row>
    <row r="107" spans="1:27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R107" t="s">
        <v>2151</v>
      </c>
      <c r="T107" t="s">
        <v>2297</v>
      </c>
    </row>
    <row r="108" spans="1:27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R108" t="s">
        <v>2152</v>
      </c>
      <c r="T108" t="s">
        <v>2298</v>
      </c>
    </row>
    <row r="109" spans="1:27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R109" t="s">
        <v>2153</v>
      </c>
      <c r="T109" t="s">
        <v>1919</v>
      </c>
    </row>
    <row r="110" spans="1:27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R110" t="s">
        <v>2154</v>
      </c>
      <c r="T110" t="s">
        <v>2299</v>
      </c>
    </row>
    <row r="111" spans="1:27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R111" t="s">
        <v>2155</v>
      </c>
      <c r="T111" t="s">
        <v>2300</v>
      </c>
    </row>
    <row r="112" spans="1:27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R112" t="s">
        <v>2156</v>
      </c>
      <c r="T112" t="s">
        <v>2301</v>
      </c>
    </row>
    <row r="113" spans="1:20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R113" t="s">
        <v>2157</v>
      </c>
      <c r="T113" t="s">
        <v>1358</v>
      </c>
    </row>
    <row r="114" spans="1:20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R114" t="s">
        <v>2158</v>
      </c>
      <c r="T114" t="s">
        <v>1362</v>
      </c>
    </row>
    <row r="115" spans="1:20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R115" t="s">
        <v>2159</v>
      </c>
      <c r="T115" t="s">
        <v>2302</v>
      </c>
    </row>
    <row r="116" spans="1:20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R116" t="s">
        <v>2160</v>
      </c>
      <c r="T116" t="s">
        <v>2303</v>
      </c>
    </row>
    <row r="117" spans="1:20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R117" t="s">
        <v>2161</v>
      </c>
      <c r="T117" t="s">
        <v>2304</v>
      </c>
    </row>
    <row r="118" spans="1:20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R118" t="s">
        <v>2162</v>
      </c>
      <c r="T118" t="s">
        <v>2305</v>
      </c>
    </row>
    <row r="119" spans="1:20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R119" t="s">
        <v>2163</v>
      </c>
      <c r="T119" t="s">
        <v>2306</v>
      </c>
    </row>
    <row r="120" spans="1:20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R120" t="s">
        <v>2164</v>
      </c>
      <c r="T120" t="s">
        <v>2307</v>
      </c>
    </row>
    <row r="121" spans="1:20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R121" t="s">
        <v>2165</v>
      </c>
      <c r="T121" t="s">
        <v>2308</v>
      </c>
    </row>
    <row r="122" spans="1:20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R122" t="s">
        <v>2166</v>
      </c>
      <c r="T122" t="s">
        <v>2309</v>
      </c>
    </row>
    <row r="123" spans="1:20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R123" t="s">
        <v>2167</v>
      </c>
      <c r="T123" t="s">
        <v>2310</v>
      </c>
    </row>
    <row r="124" spans="1:20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T124" t="s">
        <v>2311</v>
      </c>
    </row>
    <row r="125" spans="1:20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T125" t="s">
        <v>2312</v>
      </c>
    </row>
    <row r="126" spans="1:20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T126" t="s">
        <v>2313</v>
      </c>
    </row>
    <row r="127" spans="1:20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T127" t="s">
        <v>1367</v>
      </c>
    </row>
    <row r="128" spans="1:20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T128" t="s">
        <v>1369</v>
      </c>
    </row>
    <row r="129" spans="1:20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T129" t="s">
        <v>1371</v>
      </c>
    </row>
    <row r="130" spans="1:20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T130" t="s">
        <v>2314</v>
      </c>
    </row>
    <row r="131" spans="1:20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T131" t="s">
        <v>8</v>
      </c>
    </row>
    <row r="132" spans="1:20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T132" t="s">
        <v>1384</v>
      </c>
    </row>
    <row r="133" spans="1:20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T133" t="s">
        <v>1386</v>
      </c>
    </row>
    <row r="134" spans="1:20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T134" t="s">
        <v>2315</v>
      </c>
    </row>
    <row r="135" spans="1:20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T135" t="s">
        <v>2316</v>
      </c>
    </row>
    <row r="136" spans="1:20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T136" t="s">
        <v>2317</v>
      </c>
    </row>
    <row r="137" spans="1:20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T137" t="s">
        <v>2318</v>
      </c>
    </row>
    <row r="138" spans="1:20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T138" t="s">
        <v>2319</v>
      </c>
    </row>
    <row r="139" spans="1:20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T139" t="s">
        <v>2320</v>
      </c>
    </row>
    <row r="140" spans="1:20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T140" t="s">
        <v>2321</v>
      </c>
    </row>
    <row r="141" spans="1:20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T141" t="s">
        <v>2322</v>
      </c>
    </row>
    <row r="142" spans="1:20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T142" t="s">
        <v>1407</v>
      </c>
    </row>
    <row r="143" spans="1:20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T143" t="s">
        <v>1409</v>
      </c>
    </row>
    <row r="144" spans="1:20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T144" t="s">
        <v>1411</v>
      </c>
    </row>
    <row r="145" spans="1:20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T145" t="s">
        <v>1418</v>
      </c>
    </row>
    <row r="146" spans="1:20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T146" t="s">
        <v>9</v>
      </c>
    </row>
    <row r="147" spans="1:20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T147" t="s">
        <v>2323</v>
      </c>
    </row>
    <row r="148" spans="1:20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T148" t="s">
        <v>2324</v>
      </c>
    </row>
    <row r="149" spans="1:20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T149" t="s">
        <v>2325</v>
      </c>
    </row>
    <row r="150" spans="1:20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T150" t="s">
        <v>2326</v>
      </c>
    </row>
    <row r="151" spans="1:20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T151" t="s">
        <v>1440</v>
      </c>
    </row>
    <row r="152" spans="1:20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T152" t="s">
        <v>1442</v>
      </c>
    </row>
    <row r="153" spans="1:20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T153" t="s">
        <v>1444</v>
      </c>
    </row>
    <row r="154" spans="1:20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T154" t="s">
        <v>2327</v>
      </c>
    </row>
    <row r="155" spans="1:20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T155" t="s">
        <v>1453</v>
      </c>
    </row>
    <row r="156" spans="1:20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T156" t="s">
        <v>2328</v>
      </c>
    </row>
    <row r="157" spans="1:20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T157" t="s">
        <v>2329</v>
      </c>
    </row>
    <row r="158" spans="1:20" x14ac:dyDescent="0.25">
      <c r="A158" t="s">
        <v>201</v>
      </c>
      <c r="B158" t="s">
        <v>992</v>
      </c>
      <c r="C158" t="s">
        <v>1337</v>
      </c>
      <c r="F158" t="s">
        <v>1898</v>
      </c>
      <c r="T158" t="s">
        <v>2330</v>
      </c>
    </row>
    <row r="159" spans="1:20" x14ac:dyDescent="0.25">
      <c r="A159" t="s">
        <v>202</v>
      </c>
      <c r="B159" t="s">
        <v>993</v>
      </c>
      <c r="C159" t="s">
        <v>1338</v>
      </c>
      <c r="F159" t="s">
        <v>1267</v>
      </c>
      <c r="T159" t="s">
        <v>2331</v>
      </c>
    </row>
    <row r="160" spans="1:20" x14ac:dyDescent="0.25">
      <c r="A160" t="s">
        <v>203</v>
      </c>
      <c r="B160" t="s">
        <v>994</v>
      </c>
      <c r="C160" t="s">
        <v>1339</v>
      </c>
      <c r="F160" t="s">
        <v>1269</v>
      </c>
      <c r="T160" t="s">
        <v>2332</v>
      </c>
    </row>
    <row r="161" spans="1:20" x14ac:dyDescent="0.25">
      <c r="A161" t="s">
        <v>204</v>
      </c>
      <c r="B161" t="s">
        <v>995</v>
      </c>
      <c r="C161" t="s">
        <v>1340</v>
      </c>
      <c r="F161" t="s">
        <v>1271</v>
      </c>
      <c r="T161" t="s">
        <v>2333</v>
      </c>
    </row>
    <row r="162" spans="1:20" x14ac:dyDescent="0.25">
      <c r="A162" t="s">
        <v>205</v>
      </c>
      <c r="B162" t="s">
        <v>996</v>
      </c>
      <c r="C162" t="s">
        <v>1341</v>
      </c>
      <c r="F162" t="s">
        <v>1272</v>
      </c>
      <c r="T162" t="s">
        <v>2334</v>
      </c>
    </row>
    <row r="163" spans="1:20" x14ac:dyDescent="0.25">
      <c r="A163" t="s">
        <v>206</v>
      </c>
      <c r="B163" t="s">
        <v>997</v>
      </c>
      <c r="C163" t="s">
        <v>1342</v>
      </c>
      <c r="F163" t="s">
        <v>1275</v>
      </c>
      <c r="T163" t="s">
        <v>2335</v>
      </c>
    </row>
    <row r="164" spans="1:20" x14ac:dyDescent="0.25">
      <c r="A164" t="s">
        <v>207</v>
      </c>
      <c r="B164" t="s">
        <v>998</v>
      </c>
      <c r="C164" t="s">
        <v>1343</v>
      </c>
      <c r="F164" t="s">
        <v>1277</v>
      </c>
      <c r="T164" t="s">
        <v>2336</v>
      </c>
    </row>
    <row r="165" spans="1:20" x14ac:dyDescent="0.25">
      <c r="A165" t="s">
        <v>208</v>
      </c>
      <c r="B165" t="s">
        <v>999</v>
      </c>
      <c r="C165" t="s">
        <v>1344</v>
      </c>
      <c r="F165" t="s">
        <v>1279</v>
      </c>
      <c r="T165" t="s">
        <v>2337</v>
      </c>
    </row>
    <row r="166" spans="1:20" x14ac:dyDescent="0.25">
      <c r="A166" t="s">
        <v>209</v>
      </c>
      <c r="B166" t="s">
        <v>1000</v>
      </c>
      <c r="C166" t="s">
        <v>7</v>
      </c>
      <c r="F166" t="s">
        <v>1281</v>
      </c>
      <c r="T166" t="s">
        <v>2338</v>
      </c>
    </row>
    <row r="167" spans="1:20" x14ac:dyDescent="0.25">
      <c r="A167" t="s">
        <v>210</v>
      </c>
      <c r="B167" t="s">
        <v>1001</v>
      </c>
      <c r="C167" t="s">
        <v>1345</v>
      </c>
      <c r="F167" t="s">
        <v>1284</v>
      </c>
      <c r="T167" t="s">
        <v>2339</v>
      </c>
    </row>
    <row r="168" spans="1:20" x14ac:dyDescent="0.25">
      <c r="A168" t="s">
        <v>211</v>
      </c>
      <c r="B168" t="s">
        <v>1002</v>
      </c>
      <c r="C168" t="s">
        <v>1346</v>
      </c>
      <c r="F168" t="s">
        <v>1286</v>
      </c>
      <c r="T168" t="s">
        <v>2340</v>
      </c>
    </row>
    <row r="169" spans="1:20" x14ac:dyDescent="0.25">
      <c r="A169" t="s">
        <v>212</v>
      </c>
      <c r="B169" t="s">
        <v>1003</v>
      </c>
      <c r="C169" t="s">
        <v>1347</v>
      </c>
      <c r="F169" t="s">
        <v>1288</v>
      </c>
      <c r="T169" t="s">
        <v>2341</v>
      </c>
    </row>
    <row r="170" spans="1:20" x14ac:dyDescent="0.25">
      <c r="A170" t="s">
        <v>213</v>
      </c>
      <c r="B170" t="s">
        <v>1004</v>
      </c>
      <c r="C170" t="s">
        <v>1348</v>
      </c>
      <c r="F170" t="s">
        <v>1290</v>
      </c>
      <c r="T170" t="s">
        <v>1536</v>
      </c>
    </row>
    <row r="171" spans="1:20" x14ac:dyDescent="0.25">
      <c r="A171" t="s">
        <v>214</v>
      </c>
      <c r="B171" t="s">
        <v>1005</v>
      </c>
      <c r="C171" t="s">
        <v>1349</v>
      </c>
      <c r="F171" t="s">
        <v>1899</v>
      </c>
      <c r="T171" t="s">
        <v>2342</v>
      </c>
    </row>
    <row r="172" spans="1:20" x14ac:dyDescent="0.25">
      <c r="A172" t="s">
        <v>215</v>
      </c>
      <c r="B172" t="s">
        <v>1006</v>
      </c>
      <c r="C172" t="s">
        <v>1350</v>
      </c>
      <c r="F172" t="s">
        <v>1900</v>
      </c>
      <c r="T172" t="s">
        <v>2343</v>
      </c>
    </row>
    <row r="173" spans="1:20" x14ac:dyDescent="0.25">
      <c r="A173" t="s">
        <v>216</v>
      </c>
      <c r="B173" t="s">
        <v>1007</v>
      </c>
      <c r="C173" t="s">
        <v>1351</v>
      </c>
      <c r="F173" t="s">
        <v>1901</v>
      </c>
      <c r="T173" t="s">
        <v>2344</v>
      </c>
    </row>
    <row r="174" spans="1:20" x14ac:dyDescent="0.25">
      <c r="A174" t="s">
        <v>217</v>
      </c>
      <c r="B174" t="s">
        <v>1008</v>
      </c>
      <c r="C174" t="s">
        <v>1352</v>
      </c>
      <c r="F174" t="s">
        <v>1902</v>
      </c>
      <c r="T174" t="s">
        <v>2345</v>
      </c>
    </row>
    <row r="175" spans="1:20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20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E3"/>
  <sheetViews>
    <sheetView workbookViewId="0">
      <selection activeCell="M8" sqref="M8"/>
    </sheetView>
  </sheetViews>
  <sheetFormatPr defaultRowHeight="15" x14ac:dyDescent="0.25"/>
  <cols>
    <col min="1" max="1" width="15.7109375" style="9" customWidth="1"/>
    <col min="2" max="2" width="25.7109375" style="9" customWidth="1"/>
    <col min="3" max="5" width="15.7109375" style="9" customWidth="1"/>
    <col min="6" max="16384" width="9.140625" style="9"/>
  </cols>
  <sheetData>
    <row r="1" spans="1:5" ht="47.25" x14ac:dyDescent="0.25">
      <c r="A1" s="61" t="s">
        <v>2903</v>
      </c>
      <c r="B1" s="62" t="s">
        <v>3159</v>
      </c>
      <c r="C1" s="62" t="s">
        <v>3160</v>
      </c>
      <c r="D1" s="62" t="s">
        <v>3161</v>
      </c>
      <c r="E1" s="63" t="s">
        <v>3162</v>
      </c>
    </row>
    <row r="2" spans="1:5" ht="15.75" x14ac:dyDescent="0.25">
      <c r="A2" s="64" t="s">
        <v>3091</v>
      </c>
      <c r="B2" s="65" t="s">
        <v>3163</v>
      </c>
      <c r="C2" s="65">
        <v>83</v>
      </c>
      <c r="D2" s="65">
        <v>9625</v>
      </c>
      <c r="E2" s="66">
        <v>116</v>
      </c>
    </row>
    <row r="3" spans="1:5" ht="16.5" thickBot="1" x14ac:dyDescent="0.3">
      <c r="A3" s="67" t="s">
        <v>3164</v>
      </c>
      <c r="B3" s="68" t="s">
        <v>2902</v>
      </c>
      <c r="C3" s="68">
        <v>83</v>
      </c>
      <c r="D3" s="68">
        <v>9625</v>
      </c>
      <c r="E3" s="69">
        <v>116</v>
      </c>
    </row>
  </sheetData>
  <conditionalFormatting sqref="A1:E3">
    <cfRule type="containsText" dxfId="232" priority="2" stopIfTrue="1" operator="containsText" text="С ЛИСТА">
      <formula>NOT(ISERROR(SEARCH("С ЛИСТА",A1)))</formula>
    </cfRule>
    <cfRule type="containsText" dxfId="231" priority="3" stopIfTrue="1" operator="containsText" text="ИЗ ФАЙЛА">
      <formula>NOT(ISERROR(SEARCH("ИЗ ФАЙЛА",A1)))</formula>
    </cfRule>
    <cfRule type="containsText" dxfId="230" priority="4" stopIfTrue="1" operator="containsText" text="!!!">
      <formula>NOT(ISERROR(SEARCH("!!!",A1)))</formula>
    </cfRule>
    <cfRule type="containsText" dxfId="229" priority="5" stopIfTrue="1" operator="containsText" text=" Заполнения проёмов ">
      <formula>NOT(ISERROR(SEARCH(" Заполнения проёмов ",A1)))</formula>
    </cfRule>
    <cfRule type="containsText" dxfId="228" priority="6" stopIfTrue="1" operator="containsText" text=" Сборочные единицы ">
      <formula>NOT(ISERROR(SEARCH(" Сборочные единицы ",A1)))</formula>
    </cfRule>
    <cfRule type="containsText" dxfId="227" priority="7" stopIfTrue="1" operator="containsText" text=" Заполнения проёмов ">
      <formula>NOT(ISERROR(SEARCH(" Заполнения проёмов ",A1)))</formula>
    </cfRule>
    <cfRule type="containsText" dxfId="226" priority="8" stopIfTrue="1" operator="containsText" text=" Сборочные единицы ">
      <formula>NOT(ISERROR(SEARCH(" Сборочные единицы ",A1)))</formula>
    </cfRule>
    <cfRule type="containsText" dxfId="225" priority="9" stopIfTrue="1" operator="containsText" text=" Изделия ">
      <formula>NOT(ISERROR(SEARCH(" Изделия ",A1)))</formula>
    </cfRule>
    <cfRule type="containsText" dxfId="224" priority="10" stopIfTrue="1" operator="containsText" text=" Материалы ">
      <formula>NOT(ISERROR(SEARCH(" Материалы ",A1)))</formula>
    </cfRule>
    <cfRule type="containsText" dxfId="223" priority="11" stopIfTrue="1" operator="containsText" text=" Изделия арматурные ">
      <formula>NOT(ISERROR(SEARCH(" Изделия арматурные ",A1)))</formula>
    </cfRule>
    <cfRule type="containsText" dxfId="222" priority="12" stopIfTrue="1" operator="containsText" text=" Прокат ">
      <formula>NOT(ISERROR(SEARCH(" Прокат ",A1)))</formula>
    </cfRule>
    <cfRule type="containsText" dxfId="221" priority="13" stopIfTrue="1" operator="containsText" text="Элементы на отм.">
      <formula>NOT(ISERROR(SEARCH("Элементы на отм.",A1)))</formula>
    </cfRule>
    <cfRule type="containsText" dxfId="220" priority="14" stopIfTrue="1" operator="containsText" text=", на ">
      <formula>NOT(ISERROR(SEARCH(", на ",A1)))</formula>
    </cfRule>
    <cfRule type="containsText" dxfId="219" priority="15" stopIfTrue="1" operator="containsText" text="шт.)">
      <formula>NOT(ISERROR(SEARCH("шт.)",A1)))</formula>
    </cfRule>
  </conditionalFormatting>
  <conditionalFormatting sqref="E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theme="7" tint="0.39997558519241921"/>
  </sheetPr>
  <dimension ref="A1:U68"/>
  <sheetViews>
    <sheetView topLeftCell="A16" zoomScaleNormal="100" workbookViewId="0">
      <selection activeCell="D27" sqref="D27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02" t="s">
        <v>3019</v>
      </c>
      <c r="B1" s="96" t="s">
        <v>2903</v>
      </c>
      <c r="C1" s="96" t="s">
        <v>2904</v>
      </c>
      <c r="D1" s="96" t="s">
        <v>2905</v>
      </c>
      <c r="E1" s="96" t="s">
        <v>3018</v>
      </c>
      <c r="F1" s="96" t="s">
        <v>3017</v>
      </c>
      <c r="G1" s="96" t="s">
        <v>3016</v>
      </c>
      <c r="H1" s="98" t="s">
        <v>3015</v>
      </c>
      <c r="I1" s="99"/>
      <c r="J1" s="100"/>
      <c r="K1" s="98" t="s">
        <v>2913</v>
      </c>
      <c r="L1" s="99"/>
      <c r="M1" s="99"/>
      <c r="N1" s="99"/>
      <c r="O1" s="99"/>
      <c r="P1" s="99"/>
      <c r="Q1" s="100"/>
      <c r="R1" s="96" t="s">
        <v>3014</v>
      </c>
      <c r="S1" s="98" t="s">
        <v>3013</v>
      </c>
      <c r="T1" s="99"/>
      <c r="U1" s="101"/>
    </row>
    <row r="2" spans="1:21" ht="63" x14ac:dyDescent="0.25">
      <c r="A2" s="103"/>
      <c r="B2" s="97"/>
      <c r="C2" s="97"/>
      <c r="D2" s="97"/>
      <c r="E2" s="97"/>
      <c r="F2" s="97"/>
      <c r="G2" s="97"/>
      <c r="H2" s="80" t="s">
        <v>3012</v>
      </c>
      <c r="I2" s="80" t="s">
        <v>3011</v>
      </c>
      <c r="J2" s="80" t="s">
        <v>3010</v>
      </c>
      <c r="K2" s="80" t="s">
        <v>3009</v>
      </c>
      <c r="L2" s="80" t="s">
        <v>3008</v>
      </c>
      <c r="M2" s="80" t="s">
        <v>3007</v>
      </c>
      <c r="N2" s="80" t="s">
        <v>3006</v>
      </c>
      <c r="O2" s="80" t="s">
        <v>3005</v>
      </c>
      <c r="P2" s="80" t="s">
        <v>3004</v>
      </c>
      <c r="Q2" s="80" t="s">
        <v>3003</v>
      </c>
      <c r="R2" s="97"/>
      <c r="S2" s="80" t="s">
        <v>3002</v>
      </c>
      <c r="T2" s="80" t="s">
        <v>3001</v>
      </c>
      <c r="U2" s="82" t="s">
        <v>3000</v>
      </c>
    </row>
    <row r="3" spans="1:21" ht="15.75" x14ac:dyDescent="0.25">
      <c r="A3" s="49" t="str">
        <f t="shared" ref="A3:A10" si="0">A4</f>
        <v>Пдм1</v>
      </c>
      <c r="B3" s="48" t="s">
        <v>2979</v>
      </c>
      <c r="C3" s="48"/>
      <c r="D3" s="48" t="s">
        <v>3236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7"/>
    </row>
    <row r="4" spans="1:21" ht="15.75" x14ac:dyDescent="0.25">
      <c r="A4" s="49" t="str">
        <f t="shared" si="0"/>
        <v>Пдм1</v>
      </c>
      <c r="B4" s="48" t="s">
        <v>2979</v>
      </c>
      <c r="C4" s="48" t="s">
        <v>3098</v>
      </c>
      <c r="D4" s="48" t="s">
        <v>3235</v>
      </c>
      <c r="E4" s="48">
        <f>(E6*E7/1000)/1.15</f>
        <v>260.28260869565219</v>
      </c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7"/>
    </row>
    <row r="5" spans="1:21" ht="15.75" x14ac:dyDescent="0.25">
      <c r="A5" s="49" t="str">
        <f t="shared" si="0"/>
        <v>Пдм1</v>
      </c>
      <c r="B5" s="48" t="s">
        <v>2979</v>
      </c>
      <c r="C5" s="48"/>
      <c r="D5" s="48" t="s">
        <v>3234</v>
      </c>
      <c r="E5" s="48">
        <v>100200</v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7"/>
    </row>
    <row r="6" spans="1:21" ht="15.75" x14ac:dyDescent="0.25">
      <c r="A6" s="49" t="str">
        <f t="shared" si="0"/>
        <v>Пдм1</v>
      </c>
      <c r="B6" s="48" t="s">
        <v>2979</v>
      </c>
      <c r="C6" s="48"/>
      <c r="D6" s="48" t="s">
        <v>3233</v>
      </c>
      <c r="E6" s="48">
        <f>598.65</f>
        <v>598.65</v>
      </c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7"/>
    </row>
    <row r="7" spans="1:21" ht="15.75" x14ac:dyDescent="0.25">
      <c r="A7" s="49" t="str">
        <f t="shared" si="0"/>
        <v>Пдм1</v>
      </c>
      <c r="B7" s="48" t="s">
        <v>2979</v>
      </c>
      <c r="C7" s="48"/>
      <c r="D7" s="48" t="s">
        <v>3096</v>
      </c>
      <c r="E7" s="48">
        <v>500</v>
      </c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7"/>
    </row>
    <row r="8" spans="1:21" ht="15.75" x14ac:dyDescent="0.25">
      <c r="A8" s="49" t="str">
        <f t="shared" si="0"/>
        <v>Пдм1</v>
      </c>
      <c r="B8" s="48" t="s">
        <v>2979</v>
      </c>
      <c r="C8" s="48"/>
      <c r="D8" s="48" t="s">
        <v>3094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7"/>
    </row>
    <row r="9" spans="1:21" ht="15.75" x14ac:dyDescent="0.25">
      <c r="A9" s="49" t="str">
        <f t="shared" si="0"/>
        <v>Пдм1</v>
      </c>
      <c r="B9" s="48" t="s">
        <v>2979</v>
      </c>
      <c r="C9" s="48"/>
      <c r="D9" s="48" t="s">
        <v>3232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7"/>
    </row>
    <row r="10" spans="1:21" ht="31.5" x14ac:dyDescent="0.25">
      <c r="A10" s="49" t="str">
        <f t="shared" si="0"/>
        <v>Пдм1</v>
      </c>
      <c r="B10" s="48" t="s">
        <v>2979</v>
      </c>
      <c r="C10" s="48"/>
      <c r="D10" s="48" t="s">
        <v>3231</v>
      </c>
      <c r="E10" s="48">
        <f>((E6+(E5*E7)/(1000*1000)))/1.15</f>
        <v>564.13043478260875</v>
      </c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7"/>
    </row>
    <row r="11" spans="1:21" ht="15.75" x14ac:dyDescent="0.25">
      <c r="A11" s="46" t="str">
        <f>B11</f>
        <v>Пдм1</v>
      </c>
      <c r="B11" s="45" t="s">
        <v>3192</v>
      </c>
      <c r="C11" s="45"/>
      <c r="D11" s="45" t="s">
        <v>3230</v>
      </c>
      <c r="E11" s="45">
        <v>1</v>
      </c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4"/>
    </row>
    <row r="12" spans="1:21" ht="15.75" x14ac:dyDescent="0.25">
      <c r="A12" s="81" t="str">
        <f t="shared" ref="A12:A21" si="1">A11</f>
        <v>Пдм1</v>
      </c>
      <c r="B12" s="80"/>
      <c r="C12" s="53" t="s">
        <v>3081</v>
      </c>
      <c r="D12" s="53" t="s">
        <v>3229</v>
      </c>
      <c r="E12" s="53">
        <f>E4</f>
        <v>260.28260869565219</v>
      </c>
      <c r="F12" s="48" t="s">
        <v>4</v>
      </c>
      <c r="G12" s="80" t="s">
        <v>3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2"/>
    </row>
    <row r="13" spans="1:21" ht="15.75" x14ac:dyDescent="0.25">
      <c r="A13" s="81" t="str">
        <f t="shared" si="1"/>
        <v>Пдм1</v>
      </c>
      <c r="B13" s="80"/>
      <c r="C13" s="53" t="s">
        <v>3081</v>
      </c>
      <c r="D13" s="53" t="s">
        <v>3228</v>
      </c>
      <c r="E13" s="53">
        <f>(600.96*0.15+0.924*2+2.77)/1.15</f>
        <v>82.401739130434791</v>
      </c>
      <c r="F13" s="48" t="s">
        <v>4</v>
      </c>
      <c r="G13" s="80" t="s">
        <v>3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2"/>
    </row>
    <row r="14" spans="1:21" ht="15.75" x14ac:dyDescent="0.25">
      <c r="A14" s="81" t="str">
        <f t="shared" si="1"/>
        <v>Пдм1</v>
      </c>
      <c r="B14" s="80"/>
      <c r="C14" s="53" t="s">
        <v>3081</v>
      </c>
      <c r="D14" s="53" t="s">
        <v>3227</v>
      </c>
      <c r="E14" s="53">
        <f>(E6*0.15)/1.15</f>
        <v>78.084782608695662</v>
      </c>
      <c r="F14" s="48" t="s">
        <v>4</v>
      </c>
      <c r="G14" s="80" t="s">
        <v>3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2"/>
    </row>
    <row r="15" spans="1:21" ht="31.5" x14ac:dyDescent="0.25">
      <c r="A15" s="81" t="str">
        <f t="shared" si="1"/>
        <v>Пдм1</v>
      </c>
      <c r="B15" s="80"/>
      <c r="C15" s="80" t="s">
        <v>3226</v>
      </c>
      <c r="D15" s="80" t="s">
        <v>3225</v>
      </c>
      <c r="E15" s="80">
        <f>E10</f>
        <v>564.13043478260875</v>
      </c>
      <c r="F15" s="80"/>
      <c r="G15" s="80" t="s">
        <v>2369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2"/>
    </row>
    <row r="16" spans="1:21" ht="31.5" x14ac:dyDescent="0.25">
      <c r="A16" s="81" t="str">
        <f t="shared" si="1"/>
        <v>Пдм1</v>
      </c>
      <c r="B16" s="80"/>
      <c r="C16" s="80" t="s">
        <v>3224</v>
      </c>
      <c r="D16" s="80" t="s">
        <v>3223</v>
      </c>
      <c r="E16" s="80">
        <f>E10</f>
        <v>564.13043478260875</v>
      </c>
      <c r="F16" s="80"/>
      <c r="G16" s="80" t="s">
        <v>2369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2"/>
    </row>
    <row r="17" spans="1:21" ht="31.5" x14ac:dyDescent="0.25">
      <c r="A17" s="81" t="str">
        <f t="shared" si="1"/>
        <v>Пдм1</v>
      </c>
      <c r="B17" s="80"/>
      <c r="C17" s="80" t="s">
        <v>3079</v>
      </c>
      <c r="D17" s="80" t="s">
        <v>3222</v>
      </c>
      <c r="E17" s="80">
        <f>E10</f>
        <v>564.13043478260875</v>
      </c>
      <c r="F17" s="80"/>
      <c r="G17" s="80" t="s">
        <v>2369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2"/>
    </row>
    <row r="18" spans="1:21" ht="15.75" x14ac:dyDescent="0.25">
      <c r="A18" s="81" t="str">
        <f t="shared" si="1"/>
        <v>Пдм1</v>
      </c>
      <c r="B18" s="80">
        <v>2</v>
      </c>
      <c r="C18" s="80" t="s">
        <v>3066</v>
      </c>
      <c r="D18" s="80" t="s">
        <v>3221</v>
      </c>
      <c r="E18" s="52">
        <v>1</v>
      </c>
      <c r="F18" s="48">
        <v>1.208</v>
      </c>
      <c r="G18" s="80" t="s">
        <v>20</v>
      </c>
      <c r="H18" s="52">
        <f>Арм_ПоПлощади($E$6*1000*1000,200,T18)</f>
        <v>3231860</v>
      </c>
      <c r="I18" s="80">
        <v>14</v>
      </c>
      <c r="J18" s="80" t="s">
        <v>2</v>
      </c>
      <c r="K18" s="80"/>
      <c r="L18" s="80"/>
      <c r="M18" s="80"/>
      <c r="N18" s="80"/>
      <c r="O18" s="80"/>
      <c r="P18" s="80"/>
      <c r="Q18" s="80"/>
      <c r="R18" s="80"/>
      <c r="S18" s="80">
        <v>690</v>
      </c>
      <c r="T18" s="80">
        <v>830</v>
      </c>
      <c r="U18" s="82">
        <v>35</v>
      </c>
    </row>
    <row r="19" spans="1:21" ht="15.75" x14ac:dyDescent="0.25">
      <c r="A19" s="81" t="str">
        <f t="shared" si="1"/>
        <v>Пдм1</v>
      </c>
      <c r="B19" s="80">
        <v>2</v>
      </c>
      <c r="C19" s="80" t="s">
        <v>3066</v>
      </c>
      <c r="D19" s="80" t="s">
        <v>3220</v>
      </c>
      <c r="E19" s="52">
        <v>1</v>
      </c>
      <c r="F19" s="48">
        <v>1.208</v>
      </c>
      <c r="G19" s="80" t="s">
        <v>20</v>
      </c>
      <c r="H19" s="52">
        <f>Арм_ПоПлощади($E$6*1000*1000,200,T19)</f>
        <v>3231860</v>
      </c>
      <c r="I19" s="80">
        <v>14</v>
      </c>
      <c r="J19" s="80" t="s">
        <v>2</v>
      </c>
      <c r="K19" s="80"/>
      <c r="L19" s="80"/>
      <c r="M19" s="80"/>
      <c r="N19" s="80"/>
      <c r="O19" s="80"/>
      <c r="P19" s="80"/>
      <c r="Q19" s="80"/>
      <c r="R19" s="80"/>
      <c r="S19" s="80">
        <v>690</v>
      </c>
      <c r="T19" s="80">
        <v>830</v>
      </c>
      <c r="U19" s="82">
        <v>35</v>
      </c>
    </row>
    <row r="20" spans="1:21" ht="15.75" x14ac:dyDescent="0.25">
      <c r="A20" s="81" t="str">
        <f t="shared" si="1"/>
        <v>Пдм1</v>
      </c>
      <c r="B20" s="80">
        <v>1</v>
      </c>
      <c r="C20" s="80" t="s">
        <v>3066</v>
      </c>
      <c r="D20" s="80" t="s">
        <v>3220</v>
      </c>
      <c r="E20" s="52">
        <v>1</v>
      </c>
      <c r="F20" s="48">
        <v>1.5780000000000001</v>
      </c>
      <c r="G20" s="80" t="s">
        <v>20</v>
      </c>
      <c r="H20" s="52">
        <f>Арм_ПоПлощади($E$6*1000*1000,200,T20)</f>
        <v>3261530</v>
      </c>
      <c r="I20" s="80">
        <v>16</v>
      </c>
      <c r="J20" s="80" t="s">
        <v>2</v>
      </c>
      <c r="K20" s="80"/>
      <c r="L20" s="80"/>
      <c r="M20" s="80"/>
      <c r="N20" s="80"/>
      <c r="O20" s="80"/>
      <c r="P20" s="80"/>
      <c r="Q20" s="80"/>
      <c r="R20" s="80"/>
      <c r="S20" s="80">
        <v>790</v>
      </c>
      <c r="T20" s="80">
        <v>945</v>
      </c>
      <c r="U20" s="82">
        <v>40</v>
      </c>
    </row>
    <row r="21" spans="1:21" ht="15.75" x14ac:dyDescent="0.25">
      <c r="A21" s="81" t="str">
        <f t="shared" si="1"/>
        <v>Пдм1</v>
      </c>
      <c r="B21" s="80">
        <v>1</v>
      </c>
      <c r="C21" s="80" t="s">
        <v>3066</v>
      </c>
      <c r="D21" s="80" t="s">
        <v>3220</v>
      </c>
      <c r="E21" s="52">
        <v>1</v>
      </c>
      <c r="F21" s="48">
        <v>1.5780000000000001</v>
      </c>
      <c r="G21" s="80" t="s">
        <v>20</v>
      </c>
      <c r="H21" s="52">
        <f>Арм_ПоПлощади($E$6*1000*1000,200,T21)</f>
        <v>3261530</v>
      </c>
      <c r="I21" s="80">
        <v>16</v>
      </c>
      <c r="J21" s="80" t="s">
        <v>2</v>
      </c>
      <c r="K21" s="80"/>
      <c r="L21" s="80"/>
      <c r="M21" s="80"/>
      <c r="N21" s="80"/>
      <c r="O21" s="80"/>
      <c r="P21" s="80"/>
      <c r="Q21" s="80"/>
      <c r="R21" s="80"/>
      <c r="S21" s="80">
        <v>790</v>
      </c>
      <c r="T21" s="80">
        <v>945</v>
      </c>
      <c r="U21" s="82">
        <v>40</v>
      </c>
    </row>
    <row r="22" spans="1:21" ht="15.75" x14ac:dyDescent="0.25">
      <c r="A22" s="81" t="str">
        <f>A19</f>
        <v>Пдм1</v>
      </c>
      <c r="B22" s="80">
        <v>22</v>
      </c>
      <c r="C22" s="80" t="s">
        <v>3066</v>
      </c>
      <c r="D22" s="80" t="s">
        <v>3219</v>
      </c>
      <c r="E22" s="80">
        <f>ROUNDUP(E5/200,0)+50</f>
        <v>551</v>
      </c>
      <c r="F22" s="48">
        <v>1.208</v>
      </c>
      <c r="G22" s="80" t="s">
        <v>0</v>
      </c>
      <c r="H22" s="80">
        <f>Арм_Элемент_П(S22,E7,I22,J22)</f>
        <v>1850</v>
      </c>
      <c r="I22" s="80">
        <v>14</v>
      </c>
      <c r="J22" s="80" t="s">
        <v>2</v>
      </c>
      <c r="K22" s="80"/>
      <c r="L22" s="80"/>
      <c r="M22" s="80"/>
      <c r="N22" s="80"/>
      <c r="O22" s="80"/>
      <c r="P22" s="80"/>
      <c r="Q22" s="80"/>
      <c r="R22" s="80"/>
      <c r="S22" s="80">
        <v>690</v>
      </c>
      <c r="T22" s="80">
        <v>830</v>
      </c>
      <c r="U22" s="82">
        <v>35</v>
      </c>
    </row>
    <row r="23" spans="1:21" ht="15.75" x14ac:dyDescent="0.25">
      <c r="A23" s="81" t="str">
        <f t="shared" ref="A23:A47" si="2">A22</f>
        <v>Пдм1</v>
      </c>
      <c r="B23" s="80">
        <v>18</v>
      </c>
      <c r="C23" s="80" t="s">
        <v>3066</v>
      </c>
      <c r="D23" s="80" t="s">
        <v>3218</v>
      </c>
      <c r="E23" s="80">
        <v>8</v>
      </c>
      <c r="F23" s="48">
        <v>1.998</v>
      </c>
      <c r="G23" s="80" t="s">
        <v>0</v>
      </c>
      <c r="H23" s="80">
        <f>1200+S23</f>
        <v>2085</v>
      </c>
      <c r="I23" s="80">
        <v>18</v>
      </c>
      <c r="J23" s="80" t="s">
        <v>2</v>
      </c>
      <c r="K23" s="80"/>
      <c r="L23" s="80"/>
      <c r="M23" s="80"/>
      <c r="N23" s="80"/>
      <c r="O23" s="80"/>
      <c r="P23" s="80"/>
      <c r="Q23" s="80"/>
      <c r="R23" s="80"/>
      <c r="S23" s="80">
        <v>885</v>
      </c>
      <c r="T23" s="80">
        <v>1065</v>
      </c>
      <c r="U23" s="82">
        <v>45</v>
      </c>
    </row>
    <row r="24" spans="1:21" ht="15.75" x14ac:dyDescent="0.25">
      <c r="A24" s="81" t="str">
        <f t="shared" si="2"/>
        <v>Пдм1</v>
      </c>
      <c r="B24" s="80">
        <v>19</v>
      </c>
      <c r="C24" s="80" t="s">
        <v>3066</v>
      </c>
      <c r="D24" s="80" t="s">
        <v>3217</v>
      </c>
      <c r="E24" s="80">
        <v>8</v>
      </c>
      <c r="F24" s="48">
        <v>1.998</v>
      </c>
      <c r="G24" s="80" t="s">
        <v>0</v>
      </c>
      <c r="H24" s="80">
        <f>900+S24</f>
        <v>1785</v>
      </c>
      <c r="I24" s="80">
        <v>18</v>
      </c>
      <c r="J24" s="80" t="s">
        <v>2</v>
      </c>
      <c r="K24" s="80"/>
      <c r="L24" s="80"/>
      <c r="M24" s="80"/>
      <c r="N24" s="80"/>
      <c r="O24" s="80"/>
      <c r="P24" s="80"/>
      <c r="Q24" s="80"/>
      <c r="R24" s="80"/>
      <c r="S24" s="80">
        <v>885</v>
      </c>
      <c r="T24" s="80">
        <v>1065</v>
      </c>
      <c r="U24" s="82">
        <v>45</v>
      </c>
    </row>
    <row r="25" spans="1:21" ht="15.75" x14ac:dyDescent="0.25">
      <c r="A25" s="81" t="str">
        <f t="shared" si="2"/>
        <v>Пдм1</v>
      </c>
      <c r="B25" s="80" t="str">
        <f>[1]Изделия_спец.И!A5</f>
        <v>Кр1</v>
      </c>
      <c r="C25" s="80" t="str">
        <f>[1]Изделия_спец.И!C5</f>
        <v xml:space="preserve"> </v>
      </c>
      <c r="D25" s="80" t="str">
        <f>[1]Изделия_спец.И!D5</f>
        <v>Каркас Кр1</v>
      </c>
      <c r="E25" s="80">
        <v>24</v>
      </c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2"/>
    </row>
    <row r="26" spans="1:21" ht="15.75" x14ac:dyDescent="0.25">
      <c r="A26" s="81" t="str">
        <f t="shared" si="2"/>
        <v>Пдм1</v>
      </c>
      <c r="B26" s="80" t="str">
        <f>[1]Изделия_спец.И!A9</f>
        <v>Кр2</v>
      </c>
      <c r="C26" s="80" t="str">
        <f>[1]Изделия_спец.И!C9</f>
        <v xml:space="preserve"> </v>
      </c>
      <c r="D26" s="80" t="str">
        <f>[1]Изделия_спец.И!D9</f>
        <v>Каркас Кр2</v>
      </c>
      <c r="E26" s="80">
        <v>24</v>
      </c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2"/>
    </row>
    <row r="27" spans="1:21" ht="15.75" x14ac:dyDescent="0.25">
      <c r="A27" s="81" t="str">
        <f t="shared" si="2"/>
        <v>Пдм1</v>
      </c>
      <c r="B27" s="80" t="str">
        <f>[1]Изделия_спец.И!A13</f>
        <v>Кр3</v>
      </c>
      <c r="C27" s="80" t="str">
        <f>[1]Изделия_спец.И!C13</f>
        <v xml:space="preserve"> </v>
      </c>
      <c r="D27" s="80" t="str">
        <f>[1]Изделия_спец.И!D13</f>
        <v>Каркас Кр3</v>
      </c>
      <c r="E27" s="80">
        <v>620</v>
      </c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2"/>
    </row>
    <row r="28" spans="1:21" ht="15.75" x14ac:dyDescent="0.25">
      <c r="A28" s="81" t="str">
        <f t="shared" si="2"/>
        <v>Пдм1</v>
      </c>
      <c r="B28" s="80">
        <v>7</v>
      </c>
      <c r="C28" s="80" t="s">
        <v>3066</v>
      </c>
      <c r="D28" s="80" t="s">
        <v>3215</v>
      </c>
      <c r="E28" s="80">
        <f>(32*2)+(48*2)</f>
        <v>160</v>
      </c>
      <c r="F28" s="48">
        <v>2.984</v>
      </c>
      <c r="G28" s="80"/>
      <c r="H28" s="80">
        <f>1200</f>
        <v>1200</v>
      </c>
      <c r="I28" s="80">
        <v>22</v>
      </c>
      <c r="J28" s="80" t="s">
        <v>2</v>
      </c>
      <c r="K28" s="80"/>
      <c r="L28" s="80"/>
      <c r="M28" s="80"/>
      <c r="N28" s="80"/>
      <c r="O28" s="80"/>
      <c r="P28" s="80"/>
      <c r="Q28" s="80"/>
      <c r="R28" s="80"/>
      <c r="S28" s="80">
        <v>1085</v>
      </c>
      <c r="T28" s="80">
        <v>1300</v>
      </c>
      <c r="U28" s="82">
        <v>88</v>
      </c>
    </row>
    <row r="29" spans="1:21" ht="15.75" x14ac:dyDescent="0.25">
      <c r="A29" s="81" t="str">
        <f t="shared" si="2"/>
        <v>Пдм1</v>
      </c>
      <c r="B29" s="80">
        <v>6</v>
      </c>
      <c r="C29" s="80" t="s">
        <v>3066</v>
      </c>
      <c r="D29" s="80" t="s">
        <v>3216</v>
      </c>
      <c r="E29" s="80">
        <f>14*2</f>
        <v>28</v>
      </c>
      <c r="F29" s="48">
        <v>2.984</v>
      </c>
      <c r="G29" s="80"/>
      <c r="H29" s="80">
        <f>4000</f>
        <v>4000</v>
      </c>
      <c r="I29" s="80">
        <v>22</v>
      </c>
      <c r="J29" s="80" t="s">
        <v>2</v>
      </c>
      <c r="K29" s="80"/>
      <c r="L29" s="80"/>
      <c r="M29" s="80"/>
      <c r="N29" s="80"/>
      <c r="O29" s="80"/>
      <c r="P29" s="80"/>
      <c r="Q29" s="80"/>
      <c r="R29" s="80"/>
      <c r="S29" s="80">
        <v>1085</v>
      </c>
      <c r="T29" s="80">
        <v>1300</v>
      </c>
      <c r="U29" s="82">
        <v>88</v>
      </c>
    </row>
    <row r="30" spans="1:21" ht="15.75" x14ac:dyDescent="0.25">
      <c r="A30" s="81" t="str">
        <f t="shared" si="2"/>
        <v>Пдм1</v>
      </c>
      <c r="B30" s="80">
        <v>14</v>
      </c>
      <c r="C30" s="80" t="s">
        <v>3066</v>
      </c>
      <c r="D30" s="80" t="s">
        <v>3215</v>
      </c>
      <c r="E30" s="80">
        <v>57</v>
      </c>
      <c r="F30" s="48">
        <v>1.5780000000000001</v>
      </c>
      <c r="G30" s="80"/>
      <c r="H30" s="80">
        <v>1000</v>
      </c>
      <c r="I30" s="80">
        <v>16</v>
      </c>
      <c r="J30" s="80" t="s">
        <v>2</v>
      </c>
      <c r="K30" s="80"/>
      <c r="L30" s="80"/>
      <c r="M30" s="80"/>
      <c r="N30" s="80"/>
      <c r="O30" s="80"/>
      <c r="P30" s="80"/>
      <c r="Q30" s="80"/>
      <c r="R30" s="80"/>
      <c r="S30" s="80">
        <v>790</v>
      </c>
      <c r="T30" s="80">
        <v>945</v>
      </c>
      <c r="U30" s="82">
        <v>40</v>
      </c>
    </row>
    <row r="31" spans="1:21" ht="15.75" x14ac:dyDescent="0.25">
      <c r="A31" s="81" t="str">
        <f>A30</f>
        <v>Пдм1</v>
      </c>
      <c r="B31" s="80">
        <v>13</v>
      </c>
      <c r="C31" s="80" t="s">
        <v>3066</v>
      </c>
      <c r="D31" s="80" t="s">
        <v>3215</v>
      </c>
      <c r="E31" s="80">
        <v>22</v>
      </c>
      <c r="F31" s="48">
        <v>1.5780000000000001</v>
      </c>
      <c r="G31" s="80"/>
      <c r="H31" s="80">
        <v>2100</v>
      </c>
      <c r="I31" s="80">
        <v>16</v>
      </c>
      <c r="J31" s="80" t="s">
        <v>2</v>
      </c>
      <c r="K31" s="80"/>
      <c r="L31" s="80"/>
      <c r="M31" s="80"/>
      <c r="N31" s="80"/>
      <c r="O31" s="80"/>
      <c r="P31" s="80"/>
      <c r="Q31" s="80"/>
      <c r="R31" s="80"/>
      <c r="S31" s="80">
        <v>790</v>
      </c>
      <c r="T31" s="80">
        <v>945</v>
      </c>
      <c r="U31" s="82">
        <v>40</v>
      </c>
    </row>
    <row r="32" spans="1:21" ht="15.75" x14ac:dyDescent="0.25">
      <c r="A32" s="81" t="str">
        <f t="shared" si="2"/>
        <v>Пдм1</v>
      </c>
      <c r="B32" s="80">
        <v>12</v>
      </c>
      <c r="C32" s="80" t="s">
        <v>3066</v>
      </c>
      <c r="D32" s="80" t="s">
        <v>3215</v>
      </c>
      <c r="E32" s="80">
        <v>22</v>
      </c>
      <c r="F32" s="48">
        <v>1.5780000000000001</v>
      </c>
      <c r="G32" s="80"/>
      <c r="H32" s="80">
        <f>4000</f>
        <v>4000</v>
      </c>
      <c r="I32" s="80">
        <v>16</v>
      </c>
      <c r="J32" s="80" t="s">
        <v>2</v>
      </c>
      <c r="K32" s="80"/>
      <c r="L32" s="80"/>
      <c r="M32" s="80"/>
      <c r="N32" s="80"/>
      <c r="O32" s="80"/>
      <c r="P32" s="80"/>
      <c r="Q32" s="80"/>
      <c r="R32" s="80"/>
      <c r="S32" s="80">
        <v>790</v>
      </c>
      <c r="T32" s="80">
        <v>945</v>
      </c>
      <c r="U32" s="82">
        <v>40</v>
      </c>
    </row>
    <row r="33" spans="1:21" ht="15.75" x14ac:dyDescent="0.25">
      <c r="A33" s="81" t="str">
        <f t="shared" si="2"/>
        <v>Пдм1</v>
      </c>
      <c r="B33" s="80">
        <v>10</v>
      </c>
      <c r="C33" s="80" t="s">
        <v>3066</v>
      </c>
      <c r="D33" s="80" t="s">
        <v>3214</v>
      </c>
      <c r="E33" s="80">
        <v>24</v>
      </c>
      <c r="F33" s="48">
        <v>1.998</v>
      </c>
      <c r="G33" s="80"/>
      <c r="H33" s="80">
        <v>4000</v>
      </c>
      <c r="I33" s="80">
        <v>18</v>
      </c>
      <c r="J33" s="80" t="s">
        <v>2</v>
      </c>
      <c r="K33" s="80"/>
      <c r="L33" s="80"/>
      <c r="M33" s="80"/>
      <c r="N33" s="80"/>
      <c r="O33" s="80"/>
      <c r="P33" s="80"/>
      <c r="Q33" s="80"/>
      <c r="R33" s="80"/>
      <c r="S33" s="80">
        <v>885</v>
      </c>
      <c r="T33" s="80">
        <v>1065</v>
      </c>
      <c r="U33" s="82">
        <v>45</v>
      </c>
    </row>
    <row r="34" spans="1:21" ht="15.75" x14ac:dyDescent="0.25">
      <c r="A34" s="81" t="str">
        <f t="shared" si="2"/>
        <v>Пдм1</v>
      </c>
      <c r="B34" s="80">
        <v>11</v>
      </c>
      <c r="C34" s="80" t="s">
        <v>3066</v>
      </c>
      <c r="D34" s="80" t="s">
        <v>3214</v>
      </c>
      <c r="E34" s="80">
        <v>114</v>
      </c>
      <c r="F34" s="48">
        <v>1.998</v>
      </c>
      <c r="G34" s="80"/>
      <c r="H34" s="80">
        <f>1200</f>
        <v>1200</v>
      </c>
      <c r="I34" s="80">
        <v>18</v>
      </c>
      <c r="J34" s="80" t="s">
        <v>2</v>
      </c>
      <c r="K34" s="80"/>
      <c r="L34" s="80"/>
      <c r="M34" s="80"/>
      <c r="N34" s="80"/>
      <c r="O34" s="80"/>
      <c r="P34" s="80"/>
      <c r="Q34" s="80"/>
      <c r="R34" s="80"/>
      <c r="S34" s="80">
        <v>885</v>
      </c>
      <c r="T34" s="80">
        <v>1065</v>
      </c>
      <c r="U34" s="82">
        <v>45</v>
      </c>
    </row>
    <row r="35" spans="1:21" ht="15.75" x14ac:dyDescent="0.25">
      <c r="A35" s="81" t="str">
        <f>A33</f>
        <v>Пдм1</v>
      </c>
      <c r="B35" s="51" t="str">
        <f>Изделия_спец.И!$B$23</f>
        <v>Му5</v>
      </c>
      <c r="C35" s="51" t="str">
        <f>Изделия_спец.И!$C$23</f>
        <v>данный лист</v>
      </c>
      <c r="D35" s="51" t="str">
        <f>Изделия_спец.И!$D$23</f>
        <v>Закладная деталь Му2</v>
      </c>
      <c r="E35" s="51"/>
      <c r="F35" s="48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2"/>
    </row>
    <row r="36" spans="1:21" ht="15.75" x14ac:dyDescent="0.25">
      <c r="A36" s="81" t="str">
        <f>A34</f>
        <v>Пдм1</v>
      </c>
      <c r="B36" s="80">
        <v>9</v>
      </c>
      <c r="C36" s="80" t="s">
        <v>3066</v>
      </c>
      <c r="D36" s="80" t="s">
        <v>3214</v>
      </c>
      <c r="E36" s="80">
        <v>28</v>
      </c>
      <c r="F36" s="48">
        <v>1.998</v>
      </c>
      <c r="G36" s="80"/>
      <c r="H36" s="80">
        <f>5000</f>
        <v>5000</v>
      </c>
      <c r="I36" s="80">
        <v>18</v>
      </c>
      <c r="J36" s="80" t="s">
        <v>2</v>
      </c>
      <c r="K36" s="80"/>
      <c r="L36" s="80"/>
      <c r="M36" s="80"/>
      <c r="N36" s="80"/>
      <c r="O36" s="80"/>
      <c r="P36" s="80"/>
      <c r="Q36" s="80"/>
      <c r="R36" s="80"/>
      <c r="S36" s="80">
        <v>885</v>
      </c>
      <c r="T36" s="80">
        <v>1065</v>
      </c>
      <c r="U36" s="82">
        <v>45</v>
      </c>
    </row>
    <row r="37" spans="1:21" ht="15.75" x14ac:dyDescent="0.25">
      <c r="A37" s="81" t="str">
        <f t="shared" si="2"/>
        <v>Пдм1</v>
      </c>
      <c r="B37" s="80">
        <v>8</v>
      </c>
      <c r="C37" s="80" t="s">
        <v>3066</v>
      </c>
      <c r="D37" s="80" t="s">
        <v>3214</v>
      </c>
      <c r="E37" s="80">
        <v>15</v>
      </c>
      <c r="F37" s="48">
        <v>1.998</v>
      </c>
      <c r="G37" s="79"/>
      <c r="H37" s="80">
        <v>9900</v>
      </c>
      <c r="I37" s="80">
        <v>18</v>
      </c>
      <c r="J37" s="80" t="s">
        <v>2</v>
      </c>
      <c r="K37" s="80"/>
      <c r="L37" s="80"/>
      <c r="M37" s="80"/>
      <c r="N37" s="80"/>
      <c r="O37" s="80"/>
      <c r="P37" s="80"/>
      <c r="Q37" s="80"/>
      <c r="R37" s="80"/>
      <c r="S37" s="80">
        <v>885</v>
      </c>
      <c r="T37" s="80">
        <v>1065</v>
      </c>
      <c r="U37" s="82">
        <v>45</v>
      </c>
    </row>
    <row r="38" spans="1:21" ht="15.75" x14ac:dyDescent="0.25">
      <c r="A38" s="81" t="str">
        <f t="shared" si="2"/>
        <v>Пдм1</v>
      </c>
      <c r="B38" s="80">
        <v>3</v>
      </c>
      <c r="C38" s="80" t="s">
        <v>3066</v>
      </c>
      <c r="D38" s="80" t="s">
        <v>3214</v>
      </c>
      <c r="E38" s="80">
        <v>7</v>
      </c>
      <c r="F38" s="48">
        <v>3.8530000000000002</v>
      </c>
      <c r="G38" s="79"/>
      <c r="H38" s="80">
        <v>9900</v>
      </c>
      <c r="I38" s="80">
        <v>25</v>
      </c>
      <c r="J38" s="80" t="s">
        <v>2</v>
      </c>
      <c r="K38" s="80"/>
      <c r="L38" s="80"/>
      <c r="M38" s="80"/>
      <c r="N38" s="80"/>
      <c r="O38" s="80"/>
      <c r="P38" s="80"/>
      <c r="Q38" s="80"/>
      <c r="R38" s="80"/>
      <c r="S38" s="80">
        <v>1230</v>
      </c>
      <c r="T38" s="80">
        <v>1475</v>
      </c>
      <c r="U38" s="82">
        <v>100</v>
      </c>
    </row>
    <row r="39" spans="1:21" ht="15.75" x14ac:dyDescent="0.25">
      <c r="A39" s="81" t="str">
        <f t="shared" si="2"/>
        <v>Пдм1</v>
      </c>
      <c r="B39" s="80">
        <v>4</v>
      </c>
      <c r="C39" s="80" t="s">
        <v>3066</v>
      </c>
      <c r="D39" s="80" t="s">
        <v>3214</v>
      </c>
      <c r="E39" s="80">
        <v>22</v>
      </c>
      <c r="F39" s="48">
        <v>3.8530000000000002</v>
      </c>
      <c r="G39" s="80"/>
      <c r="H39" s="80">
        <f>4000</f>
        <v>4000</v>
      </c>
      <c r="I39" s="80">
        <v>25</v>
      </c>
      <c r="J39" s="80" t="s">
        <v>2</v>
      </c>
      <c r="K39" s="80"/>
      <c r="L39" s="80"/>
      <c r="M39" s="80"/>
      <c r="N39" s="80"/>
      <c r="O39" s="80"/>
      <c r="P39" s="80"/>
      <c r="Q39" s="80"/>
      <c r="R39" s="80"/>
      <c r="S39" s="80">
        <v>1230</v>
      </c>
      <c r="T39" s="80">
        <v>1475</v>
      </c>
      <c r="U39" s="82">
        <v>100</v>
      </c>
    </row>
    <row r="40" spans="1:21" ht="15.75" x14ac:dyDescent="0.25">
      <c r="A40" s="81" t="str">
        <f t="shared" si="2"/>
        <v>Пдм1</v>
      </c>
      <c r="B40" s="80">
        <v>15</v>
      </c>
      <c r="C40" s="80" t="s">
        <v>3066</v>
      </c>
      <c r="D40" s="80" t="s">
        <v>3213</v>
      </c>
      <c r="E40" s="80">
        <v>14</v>
      </c>
      <c r="F40" s="48">
        <v>1.208</v>
      </c>
      <c r="G40" s="80"/>
      <c r="H40" s="80">
        <f>2600</f>
        <v>2600</v>
      </c>
      <c r="I40" s="80">
        <v>14</v>
      </c>
      <c r="J40" s="80" t="s">
        <v>2</v>
      </c>
      <c r="K40" s="80"/>
      <c r="L40" s="80"/>
      <c r="M40" s="80"/>
      <c r="N40" s="80"/>
      <c r="O40" s="80"/>
      <c r="P40" s="80"/>
      <c r="Q40" s="80"/>
      <c r="R40" s="80"/>
      <c r="S40" s="80">
        <v>690</v>
      </c>
      <c r="T40" s="80">
        <v>830</v>
      </c>
      <c r="U40" s="82">
        <v>35</v>
      </c>
    </row>
    <row r="41" spans="1:21" ht="15.75" x14ac:dyDescent="0.25">
      <c r="A41" s="81" t="str">
        <f t="shared" si="2"/>
        <v>Пдм1</v>
      </c>
      <c r="B41" s="80">
        <v>5</v>
      </c>
      <c r="C41" s="80" t="s">
        <v>3066</v>
      </c>
      <c r="D41" s="80" t="s">
        <v>3212</v>
      </c>
      <c r="E41" s="80">
        <v>15</v>
      </c>
      <c r="F41" s="48">
        <v>2.984</v>
      </c>
      <c r="G41" s="79"/>
      <c r="H41" s="80">
        <v>9900</v>
      </c>
      <c r="I41" s="80">
        <v>22</v>
      </c>
      <c r="J41" s="80" t="s">
        <v>2</v>
      </c>
      <c r="K41" s="80"/>
      <c r="L41" s="80"/>
      <c r="M41" s="80"/>
      <c r="N41" s="80"/>
      <c r="O41" s="80"/>
      <c r="P41" s="80"/>
      <c r="Q41" s="80"/>
      <c r="R41" s="80"/>
      <c r="S41" s="80">
        <v>1085</v>
      </c>
      <c r="T41" s="80">
        <v>1300</v>
      </c>
      <c r="U41" s="82">
        <v>88</v>
      </c>
    </row>
    <row r="42" spans="1:21" ht="15.75" x14ac:dyDescent="0.25">
      <c r="A42" s="81" t="str">
        <f t="shared" si="2"/>
        <v>Пдм1</v>
      </c>
      <c r="B42" s="80">
        <v>16</v>
      </c>
      <c r="C42" s="80" t="s">
        <v>3066</v>
      </c>
      <c r="D42" s="80" t="s">
        <v>3212</v>
      </c>
      <c r="E42" s="80">
        <v>46</v>
      </c>
      <c r="F42" s="48">
        <v>0.88800000000000001</v>
      </c>
      <c r="G42" s="80"/>
      <c r="H42" s="80">
        <v>2000</v>
      </c>
      <c r="I42" s="80">
        <v>12</v>
      </c>
      <c r="J42" s="80" t="s">
        <v>2</v>
      </c>
      <c r="K42" s="80"/>
      <c r="L42" s="80"/>
      <c r="M42" s="80"/>
      <c r="N42" s="80"/>
      <c r="O42" s="80"/>
      <c r="P42" s="80"/>
      <c r="Q42" s="80"/>
      <c r="R42" s="80"/>
      <c r="S42" s="80">
        <v>590</v>
      </c>
      <c r="T42" s="80">
        <v>710</v>
      </c>
      <c r="U42" s="82">
        <v>30</v>
      </c>
    </row>
    <row r="43" spans="1:21" ht="31.5" x14ac:dyDescent="0.25">
      <c r="A43" s="81" t="str">
        <f t="shared" si="2"/>
        <v>Пдм1</v>
      </c>
      <c r="B43" s="80">
        <v>17</v>
      </c>
      <c r="C43" s="80" t="s">
        <v>3066</v>
      </c>
      <c r="D43" s="80" t="s">
        <v>3211</v>
      </c>
      <c r="E43" s="80">
        <f>48*2+38</f>
        <v>134</v>
      </c>
      <c r="F43" s="48">
        <v>2.984</v>
      </c>
      <c r="G43" s="80" t="s">
        <v>0</v>
      </c>
      <c r="H43" s="80">
        <v>4100</v>
      </c>
      <c r="I43" s="80">
        <v>22</v>
      </c>
      <c r="J43" s="80" t="s">
        <v>2</v>
      </c>
      <c r="K43" s="80"/>
      <c r="L43" s="80"/>
      <c r="M43" s="80"/>
      <c r="N43" s="80"/>
      <c r="O43" s="80"/>
      <c r="P43" s="80"/>
      <c r="Q43" s="80"/>
      <c r="R43" s="80"/>
      <c r="S43" s="80">
        <v>1085</v>
      </c>
      <c r="T43" s="80">
        <v>1300</v>
      </c>
      <c r="U43" s="82">
        <v>88</v>
      </c>
    </row>
    <row r="44" spans="1:21" ht="15.75" x14ac:dyDescent="0.25">
      <c r="A44" s="81" t="str">
        <f t="shared" si="2"/>
        <v>Пдм1</v>
      </c>
      <c r="B44" s="80">
        <v>20</v>
      </c>
      <c r="C44" s="80" t="s">
        <v>3066</v>
      </c>
      <c r="D44" s="80" t="s">
        <v>3210</v>
      </c>
      <c r="E44" s="80">
        <f>3585</f>
        <v>3585</v>
      </c>
      <c r="F44" s="48">
        <v>1.208</v>
      </c>
      <c r="G44" s="80" t="s">
        <v>0</v>
      </c>
      <c r="H44" s="80">
        <v>3640</v>
      </c>
      <c r="I44" s="80">
        <v>14</v>
      </c>
      <c r="J44" s="80" t="s">
        <v>2</v>
      </c>
      <c r="K44" s="80"/>
      <c r="L44" s="80"/>
      <c r="M44" s="80"/>
      <c r="N44" s="80"/>
      <c r="O44" s="80"/>
      <c r="P44" s="80"/>
      <c r="Q44" s="80"/>
      <c r="R44" s="80"/>
      <c r="S44" s="80">
        <v>690</v>
      </c>
      <c r="T44" s="80">
        <v>830</v>
      </c>
      <c r="U44" s="82">
        <v>35</v>
      </c>
    </row>
    <row r="45" spans="1:21" ht="15.75" x14ac:dyDescent="0.25">
      <c r="A45" s="81" t="str">
        <f t="shared" si="2"/>
        <v>Пдм1</v>
      </c>
      <c r="B45" s="80">
        <v>22</v>
      </c>
      <c r="C45" s="80" t="s">
        <v>3066</v>
      </c>
      <c r="D45" s="80" t="s">
        <v>3209</v>
      </c>
      <c r="E45" s="80">
        <f>8</f>
        <v>8</v>
      </c>
      <c r="F45" s="48">
        <v>1.208</v>
      </c>
      <c r="G45" s="80" t="s">
        <v>0</v>
      </c>
      <c r="H45" s="80">
        <f>Арм_Элемент_П(S45,E7,I45,J45)</f>
        <v>1850</v>
      </c>
      <c r="I45" s="80">
        <v>14</v>
      </c>
      <c r="J45" s="80" t="s">
        <v>2</v>
      </c>
      <c r="K45" s="80"/>
      <c r="L45" s="80"/>
      <c r="M45" s="80"/>
      <c r="N45" s="80"/>
      <c r="O45" s="80"/>
      <c r="P45" s="80"/>
      <c r="Q45" s="80"/>
      <c r="R45" s="80"/>
      <c r="S45" s="80">
        <v>690</v>
      </c>
      <c r="T45" s="80">
        <v>830</v>
      </c>
      <c r="U45" s="82">
        <v>35</v>
      </c>
    </row>
    <row r="46" spans="1:21" ht="15.75" x14ac:dyDescent="0.25">
      <c r="A46" s="81" t="str">
        <f t="shared" si="2"/>
        <v>Пдм1</v>
      </c>
      <c r="B46" s="80">
        <v>21</v>
      </c>
      <c r="C46" s="80" t="s">
        <v>3066</v>
      </c>
      <c r="D46" s="80" t="s">
        <v>3208</v>
      </c>
      <c r="E46" s="80">
        <v>150</v>
      </c>
      <c r="F46" s="48">
        <v>1.208</v>
      </c>
      <c r="G46" s="80" t="s">
        <v>0</v>
      </c>
      <c r="H46" s="80">
        <f>1910</f>
        <v>1910</v>
      </c>
      <c r="I46" s="80">
        <v>14</v>
      </c>
      <c r="J46" s="80" t="s">
        <v>2</v>
      </c>
      <c r="K46" s="80"/>
      <c r="L46" s="80"/>
      <c r="M46" s="80"/>
      <c r="N46" s="80"/>
      <c r="O46" s="80"/>
      <c r="P46" s="80"/>
      <c r="Q46" s="80"/>
      <c r="R46" s="80"/>
      <c r="S46" s="80">
        <v>690</v>
      </c>
      <c r="T46" s="80">
        <v>830</v>
      </c>
      <c r="U46" s="82">
        <v>35</v>
      </c>
    </row>
    <row r="47" spans="1:21" ht="31.5" x14ac:dyDescent="0.25">
      <c r="A47" s="81" t="str">
        <f t="shared" si="2"/>
        <v>Пдм1</v>
      </c>
      <c r="B47" s="80"/>
      <c r="C47" s="80" t="s">
        <v>3207</v>
      </c>
      <c r="D47" s="80" t="s">
        <v>3206</v>
      </c>
      <c r="E47" s="80">
        <f>(100.2+18)/1.15</f>
        <v>102.78260869565219</v>
      </c>
      <c r="F47" s="80">
        <v>0</v>
      </c>
      <c r="G47" s="80" t="s">
        <v>20</v>
      </c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2"/>
    </row>
    <row r="48" spans="1:21" ht="15.75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</row>
    <row r="49" spans="1:21" ht="15.75" x14ac:dyDescent="0.25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</row>
    <row r="50" spans="1:21" ht="15.75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</row>
    <row r="51" spans="1:21" ht="31.5" x14ac:dyDescent="0.25">
      <c r="A51" s="49" t="s">
        <v>2979</v>
      </c>
      <c r="B51" s="48" t="s">
        <v>2979</v>
      </c>
      <c r="C51" s="48" t="s">
        <v>3190</v>
      </c>
      <c r="D51" s="48" t="s">
        <v>3189</v>
      </c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7"/>
    </row>
    <row r="52" spans="1:21" ht="15.75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</row>
    <row r="53" spans="1:21" ht="15.75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</row>
    <row r="54" spans="1:21" ht="15.75" x14ac:dyDescent="0.25">
      <c r="A54" s="49" t="s">
        <v>3192</v>
      </c>
      <c r="B54" s="48" t="s">
        <v>2979</v>
      </c>
      <c r="C54" s="48" t="s">
        <v>3238</v>
      </c>
      <c r="D54" s="48" t="s">
        <v>3205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7"/>
    </row>
    <row r="55" spans="1:21" ht="15.75" x14ac:dyDescent="0.25">
      <c r="A55" s="78" t="s">
        <v>3192</v>
      </c>
      <c r="B55" s="77">
        <v>7</v>
      </c>
      <c r="C55" s="77" t="s">
        <v>3066</v>
      </c>
      <c r="D55" s="77" t="s">
        <v>3204</v>
      </c>
      <c r="E55" s="77">
        <v>49</v>
      </c>
      <c r="F55" s="77">
        <v>2.984</v>
      </c>
      <c r="G55" s="77"/>
      <c r="H55" s="77">
        <v>1200</v>
      </c>
      <c r="I55" s="77">
        <v>22</v>
      </c>
      <c r="J55" s="77" t="s">
        <v>2</v>
      </c>
      <c r="K55" s="77"/>
      <c r="L55" s="77"/>
      <c r="M55" s="77"/>
      <c r="N55" s="77"/>
      <c r="O55" s="77"/>
      <c r="P55" s="77"/>
      <c r="Q55" s="77"/>
      <c r="R55" s="77"/>
      <c r="S55" s="77">
        <v>1085</v>
      </c>
      <c r="T55" s="77">
        <v>1300</v>
      </c>
      <c r="U55" s="76">
        <v>88</v>
      </c>
    </row>
    <row r="56" spans="1:21" ht="15.75" x14ac:dyDescent="0.25">
      <c r="A56" s="78" t="s">
        <v>3192</v>
      </c>
      <c r="B56" s="77">
        <v>6</v>
      </c>
      <c r="C56" s="77" t="s">
        <v>3066</v>
      </c>
      <c r="D56" s="77" t="s">
        <v>3203</v>
      </c>
      <c r="E56" s="77">
        <v>14</v>
      </c>
      <c r="F56" s="77">
        <v>2.984</v>
      </c>
      <c r="G56" s="77"/>
      <c r="H56" s="77">
        <v>4000</v>
      </c>
      <c r="I56" s="77">
        <v>22</v>
      </c>
      <c r="J56" s="77" t="s">
        <v>2</v>
      </c>
      <c r="K56" s="77"/>
      <c r="L56" s="77"/>
      <c r="M56" s="77"/>
      <c r="N56" s="77"/>
      <c r="O56" s="77"/>
      <c r="P56" s="77"/>
      <c r="Q56" s="77"/>
      <c r="R56" s="77"/>
      <c r="S56" s="77">
        <v>1085</v>
      </c>
      <c r="T56" s="77">
        <v>1300</v>
      </c>
      <c r="U56" s="76">
        <v>88</v>
      </c>
    </row>
    <row r="57" spans="1:21" ht="15.75" x14ac:dyDescent="0.25">
      <c r="A57" s="78" t="s">
        <v>3192</v>
      </c>
      <c r="B57" s="77">
        <v>12</v>
      </c>
      <c r="C57" s="77" t="s">
        <v>3066</v>
      </c>
      <c r="D57" s="77" t="s">
        <v>3202</v>
      </c>
      <c r="E57" s="77">
        <v>10</v>
      </c>
      <c r="F57" s="77">
        <v>1.5780000000000001</v>
      </c>
      <c r="G57" s="77"/>
      <c r="H57" s="77">
        <v>4000</v>
      </c>
      <c r="I57" s="77">
        <v>16</v>
      </c>
      <c r="J57" s="77" t="s">
        <v>2</v>
      </c>
      <c r="K57" s="77"/>
      <c r="L57" s="77"/>
      <c r="M57" s="77"/>
      <c r="N57" s="77"/>
      <c r="O57" s="77"/>
      <c r="P57" s="77"/>
      <c r="Q57" s="77"/>
      <c r="R57" s="77"/>
      <c r="S57" s="77">
        <v>790</v>
      </c>
      <c r="T57" s="77">
        <v>945</v>
      </c>
      <c r="U57" s="76">
        <v>40</v>
      </c>
    </row>
    <row r="58" spans="1:21" ht="15.75" x14ac:dyDescent="0.25">
      <c r="A58" s="78" t="s">
        <v>3192</v>
      </c>
      <c r="B58" s="77">
        <v>12</v>
      </c>
      <c r="C58" s="77" t="s">
        <v>3066</v>
      </c>
      <c r="D58" s="77" t="s">
        <v>3201</v>
      </c>
      <c r="E58" s="77">
        <v>11</v>
      </c>
      <c r="F58" s="77">
        <v>1.5780000000000001</v>
      </c>
      <c r="G58" s="77"/>
      <c r="H58" s="77">
        <v>4000</v>
      </c>
      <c r="I58" s="77">
        <v>16</v>
      </c>
      <c r="J58" s="77" t="s">
        <v>2</v>
      </c>
      <c r="K58" s="77"/>
      <c r="L58" s="77"/>
      <c r="M58" s="77"/>
      <c r="N58" s="77"/>
      <c r="O58" s="77"/>
      <c r="P58" s="77"/>
      <c r="Q58" s="77"/>
      <c r="R58" s="77"/>
      <c r="S58" s="77">
        <v>790</v>
      </c>
      <c r="T58" s="77">
        <v>945</v>
      </c>
      <c r="U58" s="76">
        <v>40</v>
      </c>
    </row>
    <row r="59" spans="1:21" ht="15.75" x14ac:dyDescent="0.25">
      <c r="A59" s="78" t="s">
        <v>3192</v>
      </c>
      <c r="B59" s="77">
        <v>6</v>
      </c>
      <c r="C59" s="77" t="s">
        <v>3066</v>
      </c>
      <c r="D59" s="77" t="s">
        <v>3200</v>
      </c>
      <c r="E59" s="77">
        <v>14</v>
      </c>
      <c r="F59" s="77">
        <v>2.984</v>
      </c>
      <c r="G59" s="77"/>
      <c r="H59" s="77">
        <v>4000</v>
      </c>
      <c r="I59" s="77">
        <v>22</v>
      </c>
      <c r="J59" s="77" t="s">
        <v>2</v>
      </c>
      <c r="K59" s="77"/>
      <c r="L59" s="77"/>
      <c r="M59" s="77"/>
      <c r="N59" s="77"/>
      <c r="O59" s="77"/>
      <c r="P59" s="77"/>
      <c r="Q59" s="77"/>
      <c r="R59" s="77"/>
      <c r="S59" s="77">
        <v>1085</v>
      </c>
      <c r="T59" s="77">
        <v>1300</v>
      </c>
      <c r="U59" s="76">
        <v>88</v>
      </c>
    </row>
    <row r="60" spans="1:21" ht="15.75" x14ac:dyDescent="0.25">
      <c r="A60" s="78" t="s">
        <v>3192</v>
      </c>
      <c r="B60" s="77">
        <v>12</v>
      </c>
      <c r="C60" s="77" t="s">
        <v>3066</v>
      </c>
      <c r="D60" s="77" t="s">
        <v>3199</v>
      </c>
      <c r="E60" s="77">
        <v>10</v>
      </c>
      <c r="F60" s="77">
        <v>1.5780000000000001</v>
      </c>
      <c r="G60" s="77"/>
      <c r="H60" s="77">
        <v>4000</v>
      </c>
      <c r="I60" s="77">
        <v>16</v>
      </c>
      <c r="J60" s="77" t="s">
        <v>2</v>
      </c>
      <c r="K60" s="77"/>
      <c r="L60" s="77"/>
      <c r="M60" s="77"/>
      <c r="N60" s="77"/>
      <c r="O60" s="77"/>
      <c r="P60" s="77"/>
      <c r="Q60" s="77"/>
      <c r="R60" s="77"/>
      <c r="S60" s="77">
        <v>790</v>
      </c>
      <c r="T60" s="77">
        <v>945</v>
      </c>
      <c r="U60" s="76">
        <v>40</v>
      </c>
    </row>
    <row r="61" spans="1:21" ht="15.75" x14ac:dyDescent="0.25">
      <c r="A61" s="78" t="s">
        <v>3192</v>
      </c>
      <c r="B61" s="77">
        <v>12</v>
      </c>
      <c r="C61" s="77" t="s">
        <v>3066</v>
      </c>
      <c r="D61" s="77" t="s">
        <v>3198</v>
      </c>
      <c r="E61" s="77">
        <v>11</v>
      </c>
      <c r="F61" s="77">
        <v>1.5780000000000001</v>
      </c>
      <c r="G61" s="77"/>
      <c r="H61" s="77">
        <v>4000</v>
      </c>
      <c r="I61" s="77">
        <v>16</v>
      </c>
      <c r="J61" s="77" t="s">
        <v>2</v>
      </c>
      <c r="K61" s="77"/>
      <c r="L61" s="77"/>
      <c r="M61" s="77"/>
      <c r="N61" s="77"/>
      <c r="O61" s="77"/>
      <c r="P61" s="77"/>
      <c r="Q61" s="77"/>
      <c r="R61" s="77"/>
      <c r="S61" s="77">
        <v>790</v>
      </c>
      <c r="T61" s="77">
        <v>945</v>
      </c>
      <c r="U61" s="76">
        <v>40</v>
      </c>
    </row>
    <row r="62" spans="1:21" ht="15.75" x14ac:dyDescent="0.25">
      <c r="A62" s="78" t="s">
        <v>3192</v>
      </c>
      <c r="B62" s="77">
        <v>7</v>
      </c>
      <c r="C62" s="77" t="s">
        <v>3066</v>
      </c>
      <c r="D62" s="77" t="s">
        <v>3197</v>
      </c>
      <c r="E62" s="77">
        <v>32</v>
      </c>
      <c r="F62" s="77">
        <v>2.984</v>
      </c>
      <c r="G62" s="77"/>
      <c r="H62" s="77">
        <v>1200</v>
      </c>
      <c r="I62" s="77">
        <v>22</v>
      </c>
      <c r="J62" s="77" t="s">
        <v>2</v>
      </c>
      <c r="K62" s="77"/>
      <c r="L62" s="77"/>
      <c r="M62" s="77"/>
      <c r="N62" s="77"/>
      <c r="O62" s="77"/>
      <c r="P62" s="77"/>
      <c r="Q62" s="77"/>
      <c r="R62" s="77"/>
      <c r="S62" s="77">
        <v>1085</v>
      </c>
      <c r="T62" s="77">
        <v>1300</v>
      </c>
      <c r="U62" s="76">
        <v>88</v>
      </c>
    </row>
    <row r="63" spans="1:21" ht="15.75" x14ac:dyDescent="0.25">
      <c r="A63" s="78" t="s">
        <v>3192</v>
      </c>
      <c r="B63" s="77">
        <v>7</v>
      </c>
      <c r="C63" s="77" t="s">
        <v>3066</v>
      </c>
      <c r="D63" s="77" t="s">
        <v>3196</v>
      </c>
      <c r="E63" s="77">
        <v>32</v>
      </c>
      <c r="F63" s="77">
        <v>2.984</v>
      </c>
      <c r="G63" s="77"/>
      <c r="H63" s="77">
        <v>1200</v>
      </c>
      <c r="I63" s="77">
        <v>22</v>
      </c>
      <c r="J63" s="77" t="s">
        <v>2</v>
      </c>
      <c r="K63" s="77"/>
      <c r="L63" s="77"/>
      <c r="M63" s="77"/>
      <c r="N63" s="77"/>
      <c r="O63" s="77"/>
      <c r="P63" s="77"/>
      <c r="Q63" s="77"/>
      <c r="R63" s="77"/>
      <c r="S63" s="77">
        <v>1085</v>
      </c>
      <c r="T63" s="77">
        <v>1300</v>
      </c>
      <c r="U63" s="76">
        <v>88</v>
      </c>
    </row>
    <row r="64" spans="1:21" ht="15.75" x14ac:dyDescent="0.25">
      <c r="A64" s="78" t="s">
        <v>3192</v>
      </c>
      <c r="B64" s="77">
        <v>13</v>
      </c>
      <c r="C64" s="77" t="s">
        <v>3066</v>
      </c>
      <c r="D64" s="77" t="s">
        <v>3195</v>
      </c>
      <c r="E64" s="77">
        <v>11</v>
      </c>
      <c r="F64" s="77">
        <v>1.5780000000000001</v>
      </c>
      <c r="G64" s="77"/>
      <c r="H64" s="77">
        <v>2100</v>
      </c>
      <c r="I64" s="77">
        <v>16</v>
      </c>
      <c r="J64" s="77" t="s">
        <v>2</v>
      </c>
      <c r="K64" s="77"/>
      <c r="L64" s="77"/>
      <c r="M64" s="77"/>
      <c r="N64" s="77"/>
      <c r="O64" s="77"/>
      <c r="P64" s="77"/>
      <c r="Q64" s="77"/>
      <c r="R64" s="77"/>
      <c r="S64" s="77">
        <v>790</v>
      </c>
      <c r="T64" s="77">
        <v>945</v>
      </c>
      <c r="U64" s="76">
        <v>40</v>
      </c>
    </row>
    <row r="65" spans="1:21" ht="15.75" x14ac:dyDescent="0.25">
      <c r="A65" s="78" t="s">
        <v>3192</v>
      </c>
      <c r="B65" s="77">
        <v>13</v>
      </c>
      <c r="C65" s="77" t="s">
        <v>3066</v>
      </c>
      <c r="D65" s="77" t="s">
        <v>3194</v>
      </c>
      <c r="E65" s="77">
        <v>11</v>
      </c>
      <c r="F65" s="77">
        <v>1.5780000000000001</v>
      </c>
      <c r="G65" s="77"/>
      <c r="H65" s="77">
        <v>2100</v>
      </c>
      <c r="I65" s="77">
        <v>16</v>
      </c>
      <c r="J65" s="77" t="s">
        <v>2</v>
      </c>
      <c r="K65" s="77"/>
      <c r="L65" s="77"/>
      <c r="M65" s="77"/>
      <c r="N65" s="77"/>
      <c r="O65" s="77"/>
      <c r="P65" s="77"/>
      <c r="Q65" s="77"/>
      <c r="R65" s="77"/>
      <c r="S65" s="77">
        <v>790</v>
      </c>
      <c r="T65" s="77">
        <v>945</v>
      </c>
      <c r="U65" s="76">
        <v>40</v>
      </c>
    </row>
    <row r="66" spans="1:21" ht="15.75" x14ac:dyDescent="0.25">
      <c r="A66" s="78" t="s">
        <v>3192</v>
      </c>
      <c r="B66" s="77">
        <v>14</v>
      </c>
      <c r="C66" s="77" t="s">
        <v>3066</v>
      </c>
      <c r="D66" s="77" t="s">
        <v>3193</v>
      </c>
      <c r="E66" s="77">
        <v>57</v>
      </c>
      <c r="F66" s="77">
        <v>1.5780000000000001</v>
      </c>
      <c r="G66" s="77"/>
      <c r="H66" s="77">
        <v>1000</v>
      </c>
      <c r="I66" s="77">
        <v>16</v>
      </c>
      <c r="J66" s="77" t="s">
        <v>2</v>
      </c>
      <c r="K66" s="77"/>
      <c r="L66" s="77"/>
      <c r="M66" s="77"/>
      <c r="N66" s="77"/>
      <c r="O66" s="77"/>
      <c r="P66" s="77"/>
      <c r="Q66" s="77"/>
      <c r="R66" s="77"/>
      <c r="S66" s="77">
        <v>790</v>
      </c>
      <c r="T66" s="77">
        <v>945</v>
      </c>
      <c r="U66" s="76">
        <v>40</v>
      </c>
    </row>
    <row r="67" spans="1:21" ht="15.75" x14ac:dyDescent="0.25">
      <c r="A67" s="78" t="s">
        <v>3192</v>
      </c>
      <c r="B67" s="77">
        <v>7</v>
      </c>
      <c r="C67" s="77" t="s">
        <v>3066</v>
      </c>
      <c r="D67" s="77" t="s">
        <v>3191</v>
      </c>
      <c r="E67" s="77">
        <v>49</v>
      </c>
      <c r="F67" s="77">
        <v>2.984</v>
      </c>
      <c r="G67" s="77"/>
      <c r="H67" s="77">
        <v>1200</v>
      </c>
      <c r="I67" s="77">
        <v>22</v>
      </c>
      <c r="J67" s="77" t="s">
        <v>2</v>
      </c>
      <c r="K67" s="77"/>
      <c r="L67" s="77"/>
      <c r="M67" s="77"/>
      <c r="N67" s="77"/>
      <c r="O67" s="77"/>
      <c r="P67" s="77"/>
      <c r="Q67" s="77"/>
      <c r="R67" s="77"/>
      <c r="S67" s="77">
        <v>1085</v>
      </c>
      <c r="T67" s="77">
        <v>1300</v>
      </c>
      <c r="U67" s="76">
        <v>88</v>
      </c>
    </row>
    <row r="68" spans="1:21" ht="32.25" thickBot="1" x14ac:dyDescent="0.3">
      <c r="A68" s="75" t="s">
        <v>2979</v>
      </c>
      <c r="B68" s="50" t="s">
        <v>2979</v>
      </c>
      <c r="C68" s="50" t="s">
        <v>3190</v>
      </c>
      <c r="D68" s="50" t="s">
        <v>3189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74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H2:Q2 K1 R1:S1 S2:U2 A3:U68">
    <cfRule type="containsText" dxfId="218" priority="2" stopIfTrue="1" operator="containsText" text="С ЛИСТА">
      <formula>NOT(ISERROR(SEARCH("С ЛИСТА",A1)))</formula>
    </cfRule>
    <cfRule type="containsText" dxfId="217" priority="3" stopIfTrue="1" operator="containsText" text="ИЗ ФАЙЛА">
      <formula>NOT(ISERROR(SEARCH("ИЗ ФАЙЛА",A1)))</formula>
    </cfRule>
    <cfRule type="containsText" dxfId="216" priority="4" stopIfTrue="1" operator="containsText" text="!!!">
      <formula>NOT(ISERROR(SEARCH("!!!",A1)))</formula>
    </cfRule>
    <cfRule type="containsText" dxfId="215" priority="5" stopIfTrue="1" operator="containsText" text=" Заполнения проёмов ">
      <formula>NOT(ISERROR(SEARCH(" Заполнения проёмов ",A1)))</formula>
    </cfRule>
    <cfRule type="containsText" dxfId="214" priority="6" stopIfTrue="1" operator="containsText" text=" Сборочные единицы ">
      <formula>NOT(ISERROR(SEARCH(" Сборочные единицы ",A1)))</formula>
    </cfRule>
    <cfRule type="containsText" dxfId="213" priority="7" stopIfTrue="1" operator="containsText" text=" Заполнения проёмов ">
      <formula>NOT(ISERROR(SEARCH(" Заполнения проёмов ",A1)))</formula>
    </cfRule>
    <cfRule type="containsText" dxfId="212" priority="8" stopIfTrue="1" operator="containsText" text=" Сборочные единицы ">
      <formula>NOT(ISERROR(SEARCH(" Сборочные единицы ",A1)))</formula>
    </cfRule>
    <cfRule type="containsText" dxfId="211" priority="9" stopIfTrue="1" operator="containsText" text=" Изделия ">
      <formula>NOT(ISERROR(SEARCH(" Изделия ",A1)))</formula>
    </cfRule>
    <cfRule type="containsText" dxfId="210" priority="10" stopIfTrue="1" operator="containsText" text=" Материалы ">
      <formula>NOT(ISERROR(SEARCH(" Материалы ",A1)))</formula>
    </cfRule>
    <cfRule type="containsText" dxfId="209" priority="11" stopIfTrue="1" operator="containsText" text=" Изделия арматурные ">
      <formula>NOT(ISERROR(SEARCH(" Изделия арматурные ",A1)))</formula>
    </cfRule>
    <cfRule type="containsText" dxfId="208" priority="12" stopIfTrue="1" operator="containsText" text=" Прокат ">
      <formula>NOT(ISERROR(SEARCH(" Прокат ",A1)))</formula>
    </cfRule>
    <cfRule type="containsText" dxfId="207" priority="13" stopIfTrue="1" operator="containsText" text="Элементы на отм.">
      <formula>NOT(ISERROR(SEARCH("Элементы на отм.",A1)))</formula>
    </cfRule>
    <cfRule type="containsText" dxfId="206" priority="14" stopIfTrue="1" operator="containsText" text=", на ">
      <formula>NOT(ISERROR(SEARCH(", на ",A1)))</formula>
    </cfRule>
    <cfRule type="containsText" dxfId="205" priority="15" stopIfTrue="1" operator="containsText" text="шт.)">
      <formula>NOT(ISERROR(SEARCH("шт.)",A1)))</formula>
    </cfRule>
  </conditionalFormatting>
  <conditionalFormatting sqref="A1:U1048576">
    <cfRule type="expression" dxfId="204" priority="1">
      <formula>ISERROR(A1)</formula>
    </cfRule>
  </conditionalFormatting>
  <dataValidations count="6">
    <dataValidation type="list" allowBlank="1" showInputMessage="1" showErrorMessage="1" sqref="I55:I67 I36:I46 I28:I34 I18:I24">
      <formula1>#REF!</formula1>
    </dataValidation>
    <dataValidation type="list" errorStyle="warning" allowBlank="1" showInputMessage="1" showErrorMessage="1" sqref="G3:G68">
      <formula1>#REF!</formula1>
    </dataValidation>
    <dataValidation type="list" allowBlank="1" showInputMessage="1" showErrorMessage="1" sqref="J3:J68">
      <formula1>#REF!</formula1>
    </dataValidation>
    <dataValidation type="list" allowBlank="1" showInputMessage="1" showErrorMessage="1" sqref="L3:L68">
      <formula1>#REF!</formula1>
    </dataValidation>
    <dataValidation type="list" allowBlank="1" showInputMessage="1" showErrorMessage="1" sqref="O3:O68">
      <formula1>#REF!</formula1>
    </dataValidation>
    <dataValidation type="list" allowBlank="1" showInputMessage="1" showErrorMessage="1" sqref="P3:P68">
      <formula1>#REF!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D2"/>
  <sheetViews>
    <sheetView workbookViewId="0">
      <selection activeCell="L37" sqref="K37:L37"/>
    </sheetView>
  </sheetViews>
  <sheetFormatPr defaultRowHeight="15" x14ac:dyDescent="0.25"/>
  <cols>
    <col min="1" max="16384" width="9.140625" style="9"/>
  </cols>
  <sheetData>
    <row r="1" spans="1:4" x14ac:dyDescent="0.25">
      <c r="A1" s="9">
        <v>1</v>
      </c>
      <c r="B1" s="9" t="s">
        <v>2916</v>
      </c>
      <c r="C1" s="9">
        <v>86.899999999999991</v>
      </c>
      <c r="D1" s="9">
        <v>90.8</v>
      </c>
    </row>
    <row r="2" spans="1:4" x14ac:dyDescent="0.25">
      <c r="A2" s="9">
        <v>2</v>
      </c>
      <c r="B2" s="9" t="s">
        <v>2915</v>
      </c>
      <c r="C2" s="9">
        <v>18.8</v>
      </c>
      <c r="D2" s="9">
        <v>34.700000000000003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0.39997558519241921"/>
  </sheetPr>
  <dimension ref="A1:C13"/>
  <sheetViews>
    <sheetView workbookViewId="0">
      <selection activeCell="L33" sqref="L33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29" t="s">
        <v>2947</v>
      </c>
      <c r="B1" s="28" t="s">
        <v>2946</v>
      </c>
      <c r="C1" s="27" t="s">
        <v>2945</v>
      </c>
    </row>
    <row r="2" spans="1:3" ht="30" x14ac:dyDescent="0.25">
      <c r="A2" s="26" t="s">
        <v>2944</v>
      </c>
      <c r="B2" s="25" t="s">
        <v>2943</v>
      </c>
      <c r="C2" s="24" t="s">
        <v>2942</v>
      </c>
    </row>
    <row r="3" spans="1:3" ht="30" x14ac:dyDescent="0.25">
      <c r="A3" s="26" t="s">
        <v>2940</v>
      </c>
      <c r="B3" s="25" t="s">
        <v>2941</v>
      </c>
      <c r="C3" s="24" t="s">
        <v>2938</v>
      </c>
    </row>
    <row r="4" spans="1:3" ht="30" x14ac:dyDescent="0.25">
      <c r="A4" s="26" t="s">
        <v>2940</v>
      </c>
      <c r="B4" s="25" t="s">
        <v>2939</v>
      </c>
      <c r="C4" s="24" t="s">
        <v>2938</v>
      </c>
    </row>
    <row r="5" spans="1:3" x14ac:dyDescent="0.25">
      <c r="A5" s="26" t="s">
        <v>2937</v>
      </c>
      <c r="B5" s="25" t="s">
        <v>2936</v>
      </c>
      <c r="C5" s="24" t="s">
        <v>2935</v>
      </c>
    </row>
    <row r="6" spans="1:3" x14ac:dyDescent="0.25">
      <c r="A6" s="26" t="s">
        <v>2934</v>
      </c>
      <c r="B6" s="25" t="s">
        <v>2933</v>
      </c>
      <c r="C6" s="24" t="s">
        <v>2932</v>
      </c>
    </row>
    <row r="7" spans="1:3" x14ac:dyDescent="0.25">
      <c r="A7" s="26" t="s">
        <v>2931</v>
      </c>
      <c r="B7" s="25" t="s">
        <v>2918</v>
      </c>
      <c r="C7" s="24" t="s">
        <v>2930</v>
      </c>
    </row>
    <row r="8" spans="1:3" x14ac:dyDescent="0.25">
      <c r="A8" s="26" t="s">
        <v>2929</v>
      </c>
      <c r="B8" s="25" t="s">
        <v>2926</v>
      </c>
      <c r="C8" s="24" t="s">
        <v>2925</v>
      </c>
    </row>
    <row r="9" spans="1:3" x14ac:dyDescent="0.25">
      <c r="A9" s="26" t="s">
        <v>2928</v>
      </c>
      <c r="B9" s="25" t="s">
        <v>2926</v>
      </c>
      <c r="C9" s="24" t="s">
        <v>2925</v>
      </c>
    </row>
    <row r="10" spans="1:3" x14ac:dyDescent="0.25">
      <c r="A10" s="26" t="s">
        <v>2927</v>
      </c>
      <c r="B10" s="25" t="s">
        <v>2926</v>
      </c>
      <c r="C10" s="24" t="s">
        <v>2925</v>
      </c>
    </row>
    <row r="11" spans="1:3" x14ac:dyDescent="0.25">
      <c r="A11" s="26" t="s">
        <v>2924</v>
      </c>
      <c r="B11" s="25" t="s">
        <v>2923</v>
      </c>
      <c r="C11" s="24" t="s">
        <v>2922</v>
      </c>
    </row>
    <row r="12" spans="1:3" x14ac:dyDescent="0.25">
      <c r="A12" s="26" t="s">
        <v>2921</v>
      </c>
      <c r="B12" s="25" t="s">
        <v>2918</v>
      </c>
      <c r="C12" s="24" t="s">
        <v>2920</v>
      </c>
    </row>
    <row r="13" spans="1:3" ht="15.75" thickBot="1" x14ac:dyDescent="0.3">
      <c r="A13" s="23" t="s">
        <v>2919</v>
      </c>
      <c r="B13" s="22" t="s">
        <v>2918</v>
      </c>
      <c r="C13" s="21" t="s">
        <v>2917</v>
      </c>
    </row>
  </sheetData>
  <conditionalFormatting sqref="A1:C13">
    <cfRule type="containsText" dxfId="203" priority="1" operator="containsText" text="Стены-разделители зон">
      <formula>NOT(ISERROR(SEARCH("Стены-разделители зон",A1)))</formula>
    </cfRule>
    <cfRule type="containsText" dxfId="202" priority="2" stopIfTrue="1" operator="containsText" text="Добавить">
      <formula>NOT(ISERROR(SEARCH("Добавить",A1)))</formula>
    </cfRule>
    <cfRule type="containsText" dxfId="201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7" tint="0.39997558519241921"/>
    <pageSetUpPr fitToPage="1"/>
  </sheetPr>
  <dimension ref="A1:J52"/>
  <sheetViews>
    <sheetView workbookViewId="0">
      <selection activeCell="I12" sqref="I12:I17"/>
    </sheetView>
  </sheetViews>
  <sheetFormatPr defaultRowHeight="15" x14ac:dyDescent="0.25"/>
  <cols>
    <col min="1" max="1" width="5.42578125" style="30" customWidth="1"/>
    <col min="2" max="3" width="27" style="30" customWidth="1"/>
    <col min="4" max="4" width="8.140625" style="30" customWidth="1"/>
    <col min="5" max="5" width="27" style="30" customWidth="1"/>
    <col min="6" max="6" width="8.140625" style="30" customWidth="1"/>
    <col min="7" max="7" width="27" style="30" customWidth="1"/>
    <col min="8" max="9" width="8.140625" style="30" customWidth="1"/>
    <col min="10" max="10" width="16.28515625" style="30" customWidth="1"/>
    <col min="11" max="12" width="9.140625" style="30"/>
    <col min="13" max="13" width="16.28515625" style="30" customWidth="1"/>
    <col min="14" max="16384" width="9.140625" style="30"/>
  </cols>
  <sheetData>
    <row r="1" spans="1:10" ht="15.75" x14ac:dyDescent="0.25">
      <c r="A1" s="126" t="s">
        <v>2974</v>
      </c>
      <c r="B1" s="125" t="s">
        <v>2973</v>
      </c>
      <c r="C1" s="125" t="s">
        <v>2972</v>
      </c>
      <c r="D1" s="125"/>
      <c r="E1" s="125"/>
      <c r="F1" s="125"/>
      <c r="G1" s="125"/>
      <c r="H1" s="125"/>
      <c r="I1" s="125"/>
      <c r="J1" s="129" t="s">
        <v>2908</v>
      </c>
    </row>
    <row r="2" spans="1:10" ht="41.25" thickBot="1" x14ac:dyDescent="0.3">
      <c r="A2" s="127"/>
      <c r="B2" s="128"/>
      <c r="C2" s="43" t="s">
        <v>2971</v>
      </c>
      <c r="D2" s="42" t="s">
        <v>2968</v>
      </c>
      <c r="E2" s="43" t="s">
        <v>2970</v>
      </c>
      <c r="F2" s="42" t="s">
        <v>2968</v>
      </c>
      <c r="G2" s="43" t="s">
        <v>2969</v>
      </c>
      <c r="H2" s="42" t="s">
        <v>2968</v>
      </c>
      <c r="I2" s="42" t="s">
        <v>2967</v>
      </c>
      <c r="J2" s="130"/>
    </row>
    <row r="3" spans="1:10" ht="25.5" x14ac:dyDescent="0.25">
      <c r="A3" s="133" t="s">
        <v>2966</v>
      </c>
      <c r="B3" s="118" t="s">
        <v>2965</v>
      </c>
      <c r="C3" s="118" t="s">
        <v>2962</v>
      </c>
      <c r="D3" s="105">
        <v>9.1999999999999993</v>
      </c>
      <c r="E3" s="41" t="s">
        <v>2943</v>
      </c>
      <c r="F3" s="40">
        <v>47.4</v>
      </c>
      <c r="G3" s="118" t="s">
        <v>4</v>
      </c>
      <c r="H3" s="105" t="s">
        <v>4</v>
      </c>
      <c r="I3" s="105" t="s">
        <v>4</v>
      </c>
      <c r="J3" s="111" t="s">
        <v>2964</v>
      </c>
    </row>
    <row r="4" spans="1:10" ht="22.7" customHeight="1" x14ac:dyDescent="0.25">
      <c r="A4" s="114"/>
      <c r="B4" s="118"/>
      <c r="C4" s="118"/>
      <c r="D4" s="105"/>
      <c r="E4" s="35" t="s">
        <v>2949</v>
      </c>
      <c r="F4" s="34">
        <v>19.8</v>
      </c>
      <c r="G4" s="118"/>
      <c r="H4" s="105"/>
      <c r="I4" s="105"/>
      <c r="J4" s="110"/>
    </row>
    <row r="5" spans="1:10" ht="22.7" customHeight="1" x14ac:dyDescent="0.25">
      <c r="A5" s="114"/>
      <c r="B5" s="118"/>
      <c r="C5" s="118"/>
      <c r="D5" s="105"/>
      <c r="E5" s="35" t="s">
        <v>2925</v>
      </c>
      <c r="F5" s="34">
        <v>1.3</v>
      </c>
      <c r="G5" s="118"/>
      <c r="H5" s="105"/>
      <c r="I5" s="105"/>
      <c r="J5" s="110"/>
    </row>
    <row r="6" spans="1:10" ht="22.7" customHeight="1" thickBot="1" x14ac:dyDescent="0.3">
      <c r="A6" s="115"/>
      <c r="B6" s="119"/>
      <c r="C6" s="119"/>
      <c r="D6" s="106"/>
      <c r="E6" s="39" t="s">
        <v>2948</v>
      </c>
      <c r="F6" s="38">
        <v>64</v>
      </c>
      <c r="G6" s="119"/>
      <c r="H6" s="106"/>
      <c r="I6" s="106"/>
      <c r="J6" s="112"/>
    </row>
    <row r="7" spans="1:10" ht="25.5" x14ac:dyDescent="0.25">
      <c r="A7" s="113" t="s">
        <v>2963</v>
      </c>
      <c r="B7" s="37">
        <v>7</v>
      </c>
      <c r="C7" s="37" t="s">
        <v>2962</v>
      </c>
      <c r="D7" s="36">
        <v>3</v>
      </c>
      <c r="E7" s="37" t="s">
        <v>2939</v>
      </c>
      <c r="F7" s="36">
        <v>13.7</v>
      </c>
      <c r="G7" s="37" t="s">
        <v>2943</v>
      </c>
      <c r="H7" s="36">
        <v>35.6</v>
      </c>
      <c r="I7" s="104" t="s">
        <v>2961</v>
      </c>
      <c r="J7" s="116" t="s">
        <v>2960</v>
      </c>
    </row>
    <row r="8" spans="1:10" ht="22.7" customHeight="1" x14ac:dyDescent="0.25">
      <c r="A8" s="114"/>
      <c r="B8" s="120">
        <v>6</v>
      </c>
      <c r="C8" s="120" t="s">
        <v>2957</v>
      </c>
      <c r="D8" s="122">
        <v>17.100000000000001</v>
      </c>
      <c r="E8" s="35" t="s">
        <v>2938</v>
      </c>
      <c r="F8" s="34">
        <v>13.7</v>
      </c>
      <c r="G8" s="120" t="s">
        <v>2948</v>
      </c>
      <c r="H8" s="122">
        <v>12.4</v>
      </c>
      <c r="I8" s="105"/>
      <c r="J8" s="110"/>
    </row>
    <row r="9" spans="1:10" ht="22.7" customHeight="1" x14ac:dyDescent="0.25">
      <c r="A9" s="114"/>
      <c r="B9" s="118"/>
      <c r="C9" s="118"/>
      <c r="D9" s="105"/>
      <c r="E9" s="35" t="s">
        <v>2949</v>
      </c>
      <c r="F9" s="34">
        <v>14.7</v>
      </c>
      <c r="G9" s="118"/>
      <c r="H9" s="105"/>
      <c r="I9" s="105"/>
      <c r="J9" s="110"/>
    </row>
    <row r="10" spans="1:10" ht="22.7" customHeight="1" x14ac:dyDescent="0.25">
      <c r="A10" s="114"/>
      <c r="B10" s="118"/>
      <c r="C10" s="118"/>
      <c r="D10" s="105"/>
      <c r="E10" s="35" t="s">
        <v>2925</v>
      </c>
      <c r="F10" s="34">
        <v>18.5</v>
      </c>
      <c r="G10" s="118"/>
      <c r="H10" s="105"/>
      <c r="I10" s="105"/>
      <c r="J10" s="110"/>
    </row>
    <row r="11" spans="1:10" ht="22.7" customHeight="1" thickBot="1" x14ac:dyDescent="0.3">
      <c r="A11" s="115"/>
      <c r="B11" s="119"/>
      <c r="C11" s="119"/>
      <c r="D11" s="106"/>
      <c r="E11" s="39" t="s">
        <v>2948</v>
      </c>
      <c r="F11" s="38">
        <v>14.7</v>
      </c>
      <c r="G11" s="119"/>
      <c r="H11" s="106"/>
      <c r="I11" s="106"/>
      <c r="J11" s="112"/>
    </row>
    <row r="12" spans="1:10" ht="38.25" x14ac:dyDescent="0.25">
      <c r="A12" s="113" t="s">
        <v>2959</v>
      </c>
      <c r="B12" s="121" t="s">
        <v>2958</v>
      </c>
      <c r="C12" s="121" t="s">
        <v>2957</v>
      </c>
      <c r="D12" s="104">
        <v>51.1</v>
      </c>
      <c r="E12" s="37" t="s">
        <v>2941</v>
      </c>
      <c r="F12" s="36">
        <v>224.3</v>
      </c>
      <c r="G12" s="121" t="s">
        <v>4</v>
      </c>
      <c r="H12" s="104" t="s">
        <v>4</v>
      </c>
      <c r="I12" s="104" t="s">
        <v>4</v>
      </c>
      <c r="J12" s="116" t="s">
        <v>2956</v>
      </c>
    </row>
    <row r="13" spans="1:10" ht="22.7" customHeight="1" x14ac:dyDescent="0.25">
      <c r="A13" s="114"/>
      <c r="B13" s="118"/>
      <c r="C13" s="118"/>
      <c r="D13" s="105"/>
      <c r="E13" s="35" t="s">
        <v>2938</v>
      </c>
      <c r="F13" s="34">
        <v>224.3</v>
      </c>
      <c r="G13" s="118"/>
      <c r="H13" s="105"/>
      <c r="I13" s="105"/>
      <c r="J13" s="110"/>
    </row>
    <row r="14" spans="1:10" ht="22.7" customHeight="1" x14ac:dyDescent="0.25">
      <c r="A14" s="114"/>
      <c r="B14" s="118"/>
      <c r="C14" s="118"/>
      <c r="D14" s="105"/>
      <c r="E14" s="35" t="s">
        <v>2949</v>
      </c>
      <c r="F14" s="34">
        <v>29.5</v>
      </c>
      <c r="G14" s="118"/>
      <c r="H14" s="105"/>
      <c r="I14" s="105"/>
      <c r="J14" s="110"/>
    </row>
    <row r="15" spans="1:10" ht="22.7" customHeight="1" x14ac:dyDescent="0.25">
      <c r="A15" s="114"/>
      <c r="B15" s="118"/>
      <c r="C15" s="118"/>
      <c r="D15" s="105"/>
      <c r="E15" s="35" t="s">
        <v>2925</v>
      </c>
      <c r="F15" s="34">
        <v>258</v>
      </c>
      <c r="G15" s="118"/>
      <c r="H15" s="105"/>
      <c r="I15" s="105"/>
      <c r="J15" s="110"/>
    </row>
    <row r="16" spans="1:10" ht="22.7" customHeight="1" x14ac:dyDescent="0.25">
      <c r="A16" s="114"/>
      <c r="B16" s="118"/>
      <c r="C16" s="118"/>
      <c r="D16" s="105"/>
      <c r="E16" s="120" t="s">
        <v>2948</v>
      </c>
      <c r="F16" s="122">
        <v>29.5</v>
      </c>
      <c r="G16" s="118"/>
      <c r="H16" s="105"/>
      <c r="I16" s="105"/>
      <c r="J16" s="110"/>
    </row>
    <row r="17" spans="1:10" ht="22.7" customHeight="1" thickBot="1" x14ac:dyDescent="0.3">
      <c r="A17" s="115"/>
      <c r="B17" s="118"/>
      <c r="C17" s="118"/>
      <c r="D17" s="105"/>
      <c r="E17" s="119"/>
      <c r="F17" s="106"/>
      <c r="G17" s="119"/>
      <c r="H17" s="106"/>
      <c r="I17" s="106"/>
      <c r="J17" s="117"/>
    </row>
    <row r="18" spans="1:10" ht="22.7" customHeight="1" x14ac:dyDescent="0.25">
      <c r="A18" s="131" t="s">
        <v>2955</v>
      </c>
      <c r="B18" s="132"/>
      <c r="C18" s="132"/>
      <c r="D18" s="116"/>
      <c r="E18" s="107" t="s">
        <v>2902</v>
      </c>
      <c r="F18" s="107"/>
      <c r="G18" s="107"/>
      <c r="H18" s="107"/>
      <c r="I18" s="31" t="s">
        <v>2902</v>
      </c>
      <c r="J18" s="31" t="s">
        <v>2902</v>
      </c>
    </row>
    <row r="19" spans="1:10" ht="15" customHeight="1" x14ac:dyDescent="0.25">
      <c r="A19" s="108" t="s">
        <v>2954</v>
      </c>
      <c r="B19" s="109"/>
      <c r="C19" s="109"/>
      <c r="D19" s="110"/>
      <c r="E19" s="31" t="s">
        <v>2902</v>
      </c>
      <c r="F19" s="31" t="s">
        <v>2902</v>
      </c>
      <c r="G19" s="31" t="s">
        <v>2902</v>
      </c>
      <c r="H19" s="31" t="s">
        <v>2902</v>
      </c>
      <c r="I19" s="31" t="s">
        <v>2902</v>
      </c>
      <c r="J19" s="31" t="s">
        <v>2902</v>
      </c>
    </row>
    <row r="20" spans="1:10" ht="22.7" customHeight="1" x14ac:dyDescent="0.25">
      <c r="A20" s="108" t="s">
        <v>2953</v>
      </c>
      <c r="B20" s="109"/>
      <c r="C20" s="109"/>
      <c r="D20" s="33">
        <v>12.2</v>
      </c>
      <c r="E20" s="107" t="s">
        <v>2902</v>
      </c>
      <c r="F20" s="107"/>
      <c r="G20" s="107"/>
      <c r="H20" s="31" t="s">
        <v>2902</v>
      </c>
      <c r="I20" s="31" t="s">
        <v>2902</v>
      </c>
      <c r="J20" s="31" t="s">
        <v>2902</v>
      </c>
    </row>
    <row r="21" spans="1:10" ht="22.7" customHeight="1" x14ac:dyDescent="0.25">
      <c r="A21" s="108" t="s">
        <v>2952</v>
      </c>
      <c r="B21" s="109"/>
      <c r="C21" s="109"/>
      <c r="D21" s="33">
        <v>68.2</v>
      </c>
      <c r="E21" s="107" t="s">
        <v>2902</v>
      </c>
      <c r="F21" s="107"/>
      <c r="G21" s="107"/>
      <c r="H21" s="31" t="s">
        <v>2902</v>
      </c>
      <c r="I21" s="31" t="s">
        <v>2902</v>
      </c>
      <c r="J21" s="31" t="s">
        <v>2902</v>
      </c>
    </row>
    <row r="22" spans="1:10" ht="22.7" customHeight="1" x14ac:dyDescent="0.25">
      <c r="A22" s="108" t="s">
        <v>2951</v>
      </c>
      <c r="B22" s="109"/>
      <c r="C22" s="109"/>
      <c r="D22" s="110"/>
      <c r="E22" s="31" t="s">
        <v>2902</v>
      </c>
      <c r="F22" s="31" t="s">
        <v>2902</v>
      </c>
      <c r="G22" s="31" t="s">
        <v>2902</v>
      </c>
      <c r="H22" s="31" t="s">
        <v>2902</v>
      </c>
      <c r="I22" s="31" t="s">
        <v>2902</v>
      </c>
      <c r="J22" s="31" t="s">
        <v>2902</v>
      </c>
    </row>
    <row r="23" spans="1:10" ht="15" customHeight="1" x14ac:dyDescent="0.25">
      <c r="A23" s="108" t="s">
        <v>2943</v>
      </c>
      <c r="B23" s="109"/>
      <c r="C23" s="109"/>
      <c r="D23" s="33">
        <v>83</v>
      </c>
      <c r="E23" s="107" t="s">
        <v>2902</v>
      </c>
      <c r="F23" s="107"/>
      <c r="G23" s="107"/>
      <c r="H23" s="31" t="s">
        <v>2902</v>
      </c>
      <c r="I23" s="31" t="s">
        <v>2902</v>
      </c>
      <c r="J23" s="31" t="s">
        <v>2902</v>
      </c>
    </row>
    <row r="24" spans="1:10" ht="22.7" customHeight="1" x14ac:dyDescent="0.25">
      <c r="A24" s="108" t="s">
        <v>2939</v>
      </c>
      <c r="B24" s="109"/>
      <c r="C24" s="109"/>
      <c r="D24" s="33">
        <v>13.7</v>
      </c>
      <c r="E24" s="107" t="s">
        <v>2902</v>
      </c>
      <c r="F24" s="107"/>
      <c r="G24" s="107"/>
      <c r="H24" s="31" t="s">
        <v>2902</v>
      </c>
      <c r="I24" s="31" t="s">
        <v>2902</v>
      </c>
      <c r="J24" s="31" t="s">
        <v>2902</v>
      </c>
    </row>
    <row r="25" spans="1:10" ht="22.7" customHeight="1" x14ac:dyDescent="0.25">
      <c r="A25" s="108" t="s">
        <v>2941</v>
      </c>
      <c r="B25" s="109"/>
      <c r="C25" s="109"/>
      <c r="D25" s="33">
        <v>224.3</v>
      </c>
      <c r="E25" s="107" t="s">
        <v>2902</v>
      </c>
      <c r="F25" s="107"/>
      <c r="G25" s="107"/>
      <c r="H25" s="31" t="s">
        <v>2902</v>
      </c>
      <c r="I25" s="31" t="s">
        <v>2902</v>
      </c>
      <c r="J25" s="31" t="s">
        <v>2902</v>
      </c>
    </row>
    <row r="26" spans="1:10" ht="22.7" customHeight="1" x14ac:dyDescent="0.25">
      <c r="A26" s="108" t="s">
        <v>2950</v>
      </c>
      <c r="B26" s="109"/>
      <c r="C26" s="109"/>
      <c r="D26" s="110"/>
      <c r="E26" s="31" t="s">
        <v>2902</v>
      </c>
      <c r="F26" s="31" t="s">
        <v>2902</v>
      </c>
      <c r="G26" s="31" t="s">
        <v>2902</v>
      </c>
      <c r="H26" s="31" t="s">
        <v>2902</v>
      </c>
      <c r="I26" s="31" t="s">
        <v>2902</v>
      </c>
      <c r="J26" s="31" t="s">
        <v>2902</v>
      </c>
    </row>
    <row r="27" spans="1:10" ht="15" customHeight="1" x14ac:dyDescent="0.25">
      <c r="A27" s="108" t="s">
        <v>2949</v>
      </c>
      <c r="B27" s="109"/>
      <c r="C27" s="109"/>
      <c r="D27" s="33">
        <v>64</v>
      </c>
      <c r="E27" s="107" t="s">
        <v>2902</v>
      </c>
      <c r="F27" s="107"/>
      <c r="G27" s="107"/>
      <c r="H27" s="31" t="s">
        <v>2902</v>
      </c>
      <c r="I27" s="31" t="s">
        <v>2902</v>
      </c>
      <c r="J27" s="31" t="s">
        <v>2902</v>
      </c>
    </row>
    <row r="28" spans="1:10" ht="22.7" customHeight="1" x14ac:dyDescent="0.25">
      <c r="A28" s="108" t="s">
        <v>2925</v>
      </c>
      <c r="B28" s="109"/>
      <c r="C28" s="109"/>
      <c r="D28" s="33">
        <v>277.8</v>
      </c>
      <c r="E28" s="107" t="s">
        <v>2902</v>
      </c>
      <c r="F28" s="107"/>
      <c r="G28" s="107"/>
      <c r="H28" s="31" t="s">
        <v>2902</v>
      </c>
      <c r="I28" s="31" t="s">
        <v>2902</v>
      </c>
      <c r="J28" s="31" t="s">
        <v>2902</v>
      </c>
    </row>
    <row r="29" spans="1:10" ht="22.7" customHeight="1" x14ac:dyDescent="0.25">
      <c r="A29" s="108" t="s">
        <v>2948</v>
      </c>
      <c r="B29" s="109"/>
      <c r="C29" s="109"/>
      <c r="D29" s="33">
        <v>120.60000000000001</v>
      </c>
      <c r="E29" s="107" t="s">
        <v>2902</v>
      </c>
      <c r="F29" s="107"/>
      <c r="G29" s="107"/>
      <c r="H29" s="31" t="s">
        <v>2902</v>
      </c>
      <c r="I29" s="31" t="s">
        <v>2902</v>
      </c>
      <c r="J29" s="31" t="s">
        <v>2902</v>
      </c>
    </row>
    <row r="30" spans="1:10" ht="15" customHeight="1" thickBot="1" x14ac:dyDescent="0.3">
      <c r="A30" s="123" t="s">
        <v>2938</v>
      </c>
      <c r="B30" s="124"/>
      <c r="C30" s="124"/>
      <c r="D30" s="32">
        <v>238</v>
      </c>
      <c r="E30" s="107" t="s">
        <v>2902</v>
      </c>
      <c r="F30" s="107"/>
      <c r="G30" s="107"/>
      <c r="H30" s="31" t="s">
        <v>2902</v>
      </c>
      <c r="I30" s="31" t="s">
        <v>2902</v>
      </c>
      <c r="J30" s="31" t="s">
        <v>2902</v>
      </c>
    </row>
    <row r="31" spans="1:10" ht="22.7" customHeight="1" x14ac:dyDescent="0.25"/>
    <row r="32" spans="1:10" ht="22.7" customHeight="1" x14ac:dyDescent="0.25"/>
    <row r="34" ht="22.7" customHeight="1" x14ac:dyDescent="0.25"/>
    <row r="35" ht="22.7" customHeight="1" x14ac:dyDescent="0.25"/>
    <row r="36" ht="22.7" customHeight="1" x14ac:dyDescent="0.25"/>
    <row r="38" ht="22.7" customHeight="1" x14ac:dyDescent="0.25"/>
    <row r="39" ht="22.7" customHeight="1" x14ac:dyDescent="0.25"/>
    <row r="41" ht="22.7" customHeight="1" x14ac:dyDescent="0.25"/>
    <row r="42" ht="22.7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</sheetData>
  <mergeCells count="53">
    <mergeCell ref="J1:J2"/>
    <mergeCell ref="E24:G24"/>
    <mergeCell ref="A25:C25"/>
    <mergeCell ref="E25:G25"/>
    <mergeCell ref="A19:D19"/>
    <mergeCell ref="A21:C21"/>
    <mergeCell ref="E21:G21"/>
    <mergeCell ref="A22:D22"/>
    <mergeCell ref="A23:C23"/>
    <mergeCell ref="E23:G23"/>
    <mergeCell ref="A18:D18"/>
    <mergeCell ref="A20:C20"/>
    <mergeCell ref="E20:G20"/>
    <mergeCell ref="E16:E17"/>
    <mergeCell ref="F16:F17"/>
    <mergeCell ref="A3:A6"/>
    <mergeCell ref="A30:C30"/>
    <mergeCell ref="E30:G30"/>
    <mergeCell ref="C1:I1"/>
    <mergeCell ref="A28:C28"/>
    <mergeCell ref="E28:G28"/>
    <mergeCell ref="A29:C29"/>
    <mergeCell ref="E29:G29"/>
    <mergeCell ref="A24:C24"/>
    <mergeCell ref="A1:A2"/>
    <mergeCell ref="B1:B2"/>
    <mergeCell ref="H3:H6"/>
    <mergeCell ref="H8:H11"/>
    <mergeCell ref="H12:H17"/>
    <mergeCell ref="I3:I6"/>
    <mergeCell ref="A27:C27"/>
    <mergeCell ref="E27:G27"/>
    <mergeCell ref="C8:C11"/>
    <mergeCell ref="C12:C17"/>
    <mergeCell ref="D3:D6"/>
    <mergeCell ref="D8:D11"/>
    <mergeCell ref="D12:D17"/>
    <mergeCell ref="I12:I17"/>
    <mergeCell ref="I7:I11"/>
    <mergeCell ref="E18:H18"/>
    <mergeCell ref="A26:D26"/>
    <mergeCell ref="J3:J6"/>
    <mergeCell ref="A7:A11"/>
    <mergeCell ref="J7:J11"/>
    <mergeCell ref="A12:A17"/>
    <mergeCell ref="J12:J17"/>
    <mergeCell ref="B3:B6"/>
    <mergeCell ref="G3:G6"/>
    <mergeCell ref="G8:G11"/>
    <mergeCell ref="G12:G17"/>
    <mergeCell ref="B8:B11"/>
    <mergeCell ref="B12:B17"/>
    <mergeCell ref="C3:C6"/>
  </mergeCells>
  <conditionalFormatting sqref="A1:J30">
    <cfRule type="containsText" dxfId="200" priority="1" stopIfTrue="1" operator="containsText" text="НЕТ ОТДЕЛКИ">
      <formula>NOT(ISERROR(SEARCH("НЕТ ОТДЕЛКИ",A1)))</formula>
    </cfRule>
  </conditionalFormatting>
  <pageMargins left="0" right="0" top="0" bottom="0" header="0" footer="0"/>
  <pageSetup paperSize="8" scale="62" orientation="portrait" blackAndWhite="1" errors="blank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</sheetPr>
  <dimension ref="A1:U24"/>
  <sheetViews>
    <sheetView topLeftCell="A13"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102" t="s">
        <v>3019</v>
      </c>
      <c r="B1" s="96" t="s">
        <v>2903</v>
      </c>
      <c r="C1" s="96" t="s">
        <v>2904</v>
      </c>
      <c r="D1" s="96" t="s">
        <v>2905</v>
      </c>
      <c r="E1" s="96" t="s">
        <v>3018</v>
      </c>
      <c r="F1" s="96" t="s">
        <v>3017</v>
      </c>
      <c r="G1" s="96" t="s">
        <v>3016</v>
      </c>
      <c r="H1" s="98" t="s">
        <v>3015</v>
      </c>
      <c r="I1" s="99"/>
      <c r="J1" s="100"/>
      <c r="K1" s="98" t="s">
        <v>2913</v>
      </c>
      <c r="L1" s="99"/>
      <c r="M1" s="99"/>
      <c r="N1" s="99"/>
      <c r="O1" s="99"/>
      <c r="P1" s="99"/>
      <c r="Q1" s="100"/>
      <c r="R1" s="96" t="s">
        <v>3014</v>
      </c>
      <c r="S1" s="98" t="s">
        <v>3013</v>
      </c>
      <c r="T1" s="99"/>
      <c r="U1" s="101"/>
    </row>
    <row r="2" spans="1:21" ht="63" x14ac:dyDescent="0.25">
      <c r="A2" s="103"/>
      <c r="B2" s="97"/>
      <c r="C2" s="97"/>
      <c r="D2" s="97"/>
      <c r="E2" s="97"/>
      <c r="F2" s="97"/>
      <c r="G2" s="97"/>
      <c r="H2" s="80" t="s">
        <v>3012</v>
      </c>
      <c r="I2" s="80" t="s">
        <v>3011</v>
      </c>
      <c r="J2" s="80" t="s">
        <v>3010</v>
      </c>
      <c r="K2" s="80" t="s">
        <v>3009</v>
      </c>
      <c r="L2" s="80" t="s">
        <v>3008</v>
      </c>
      <c r="M2" s="80" t="s">
        <v>3007</v>
      </c>
      <c r="N2" s="80" t="s">
        <v>3006</v>
      </c>
      <c r="O2" s="80" t="s">
        <v>3005</v>
      </c>
      <c r="P2" s="80" t="s">
        <v>3004</v>
      </c>
      <c r="Q2" s="80" t="s">
        <v>3003</v>
      </c>
      <c r="R2" s="97"/>
      <c r="S2" s="80" t="s">
        <v>3002</v>
      </c>
      <c r="T2" s="80" t="s">
        <v>3001</v>
      </c>
      <c r="U2" s="82" t="s">
        <v>3000</v>
      </c>
    </row>
    <row r="3" spans="1:21" ht="15.75" x14ac:dyDescent="0.25">
      <c r="A3" s="49" t="s">
        <v>2979</v>
      </c>
      <c r="B3" s="48" t="s">
        <v>2979</v>
      </c>
      <c r="C3" s="48"/>
      <c r="D3" s="48" t="s">
        <v>2999</v>
      </c>
      <c r="E3" s="48">
        <v>4</v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7"/>
    </row>
    <row r="4" spans="1:21" ht="15.75" x14ac:dyDescent="0.25">
      <c r="A4" s="49" t="s">
        <v>2979</v>
      </c>
      <c r="B4" s="48" t="s">
        <v>2979</v>
      </c>
      <c r="C4" s="48"/>
      <c r="D4" s="48" t="s">
        <v>2998</v>
      </c>
      <c r="E4" s="48">
        <f>(3.6)*E3</f>
        <v>14.4</v>
      </c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7"/>
    </row>
    <row r="5" spans="1:21" ht="15.75" x14ac:dyDescent="0.25">
      <c r="A5" s="49" t="s">
        <v>2979</v>
      </c>
      <c r="B5" s="48" t="s">
        <v>2979</v>
      </c>
      <c r="C5" s="48"/>
      <c r="D5" s="48" t="s">
        <v>2997</v>
      </c>
      <c r="E5" s="48">
        <v>0</v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7"/>
    </row>
    <row r="6" spans="1:21" ht="15.75" x14ac:dyDescent="0.25">
      <c r="A6" s="49" t="s">
        <v>2979</v>
      </c>
      <c r="B6" s="48" t="s">
        <v>2979</v>
      </c>
      <c r="C6" s="48"/>
      <c r="D6" s="48" t="s">
        <v>2996</v>
      </c>
      <c r="E6" s="48">
        <v>0</v>
      </c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7"/>
    </row>
    <row r="7" spans="1:21" ht="47.25" x14ac:dyDescent="0.25">
      <c r="A7" s="46" t="str">
        <f>B7</f>
        <v>Водосточная система</v>
      </c>
      <c r="B7" s="45" t="str">
        <f>D7</f>
        <v>Водосточная система</v>
      </c>
      <c r="C7" s="45"/>
      <c r="D7" s="45" t="s">
        <v>2995</v>
      </c>
      <c r="E7" s="45">
        <v>1</v>
      </c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4"/>
    </row>
    <row r="8" spans="1:21" ht="47.25" x14ac:dyDescent="0.25">
      <c r="A8" s="81" t="str">
        <f>A7</f>
        <v>Водосточная система</v>
      </c>
      <c r="B8" s="80"/>
      <c r="C8" s="80" t="s">
        <v>2991</v>
      </c>
      <c r="D8" s="80" t="s">
        <v>2994</v>
      </c>
      <c r="E8" s="80">
        <f>ROUNDUP(E4/0.6,0)</f>
        <v>24</v>
      </c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2"/>
    </row>
    <row r="9" spans="1:21" ht="47.25" x14ac:dyDescent="0.25">
      <c r="A9" s="81" t="str">
        <f>A8</f>
        <v>Водосточная система</v>
      </c>
      <c r="B9" s="80"/>
      <c r="C9" s="80" t="s">
        <v>2991</v>
      </c>
      <c r="D9" s="80" t="s">
        <v>2993</v>
      </c>
      <c r="E9" s="80">
        <f>E3*4</f>
        <v>16</v>
      </c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2"/>
    </row>
    <row r="10" spans="1:21" ht="47.25" x14ac:dyDescent="0.25">
      <c r="A10" s="81" t="str">
        <f>A9</f>
        <v>Водосточная система</v>
      </c>
      <c r="B10" s="80"/>
      <c r="C10" s="80" t="s">
        <v>2991</v>
      </c>
      <c r="D10" s="80" t="s">
        <v>2992</v>
      </c>
      <c r="E10" s="80">
        <f>E3</f>
        <v>4</v>
      </c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2"/>
    </row>
    <row r="11" spans="1:21" ht="47.25" x14ac:dyDescent="0.25">
      <c r="A11" s="81" t="str">
        <f>A10</f>
        <v>Водосточная система</v>
      </c>
      <c r="B11" s="80"/>
      <c r="C11" s="80" t="s">
        <v>2991</v>
      </c>
      <c r="D11" s="80" t="s">
        <v>2990</v>
      </c>
      <c r="E11" s="80">
        <f>E4</f>
        <v>14.4</v>
      </c>
      <c r="F11" s="80"/>
      <c r="G11" s="80" t="s">
        <v>20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2"/>
    </row>
    <row r="12" spans="1:21" ht="15.75" x14ac:dyDescent="0.25">
      <c r="A12" s="49" t="s">
        <v>2979</v>
      </c>
      <c r="B12" s="48" t="s">
        <v>2979</v>
      </c>
      <c r="C12" s="48"/>
      <c r="D12" s="48" t="s">
        <v>2989</v>
      </c>
      <c r="E12" s="48">
        <f>(13.5+9)*2+0.15*8</f>
        <v>46.2</v>
      </c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7"/>
    </row>
    <row r="13" spans="1:21" ht="15.75" x14ac:dyDescent="0.25">
      <c r="A13" s="49" t="s">
        <v>2979</v>
      </c>
      <c r="B13" s="48" t="s">
        <v>2979</v>
      </c>
      <c r="C13" s="48"/>
      <c r="D13" s="48" t="s">
        <v>2988</v>
      </c>
      <c r="E13" s="48">
        <v>100</v>
      </c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7"/>
    </row>
    <row r="14" spans="1:21" ht="15.75" x14ac:dyDescent="0.25">
      <c r="A14" s="49" t="s">
        <v>2979</v>
      </c>
      <c r="B14" s="48" t="s">
        <v>2979</v>
      </c>
      <c r="C14" s="48"/>
      <c r="D14" s="48" t="s">
        <v>2987</v>
      </c>
      <c r="E14" s="48">
        <v>620</v>
      </c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7"/>
    </row>
    <row r="15" spans="1:21" ht="15.75" x14ac:dyDescent="0.25">
      <c r="A15" s="49" t="s">
        <v>2979</v>
      </c>
      <c r="B15" s="48" t="s">
        <v>2979</v>
      </c>
      <c r="C15" s="48"/>
      <c r="D15" s="48" t="s">
        <v>2986</v>
      </c>
      <c r="E15" s="48">
        <v>1330</v>
      </c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7"/>
    </row>
    <row r="16" spans="1:21" ht="78.75" x14ac:dyDescent="0.25">
      <c r="A16" s="46" t="str">
        <f>B16</f>
        <v>Утепление наружного ж/б цоколя</v>
      </c>
      <c r="B16" s="45" t="str">
        <f>D16</f>
        <v>Утепление наружного ж/б цоколя</v>
      </c>
      <c r="C16" s="45"/>
      <c r="D16" s="45" t="s">
        <v>2985</v>
      </c>
      <c r="E16" s="45">
        <v>1</v>
      </c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4"/>
    </row>
    <row r="17" spans="1:21" ht="78.75" x14ac:dyDescent="0.25">
      <c r="A17" s="81" t="str">
        <f>A16</f>
        <v>Утепление наружного ж/б цоколя</v>
      </c>
      <c r="B17" s="80"/>
      <c r="C17" s="80" t="s">
        <v>2984</v>
      </c>
      <c r="D17" s="80" t="str">
        <f>CONCATENATE("Пенополистирол Технониколь Carbon Prof 300 (с креплением тарельчатым дюбелем), t=",E13,"мм.")</f>
        <v>Пенополистирол Технониколь Carbon Prof 300 (с креплением тарельчатым дюбелем), t=100мм.</v>
      </c>
      <c r="E17" s="80">
        <f>ROUNDUP((E15+E14)*E13*E12/(1000*1000),2)</f>
        <v>9.01</v>
      </c>
      <c r="F17" s="80"/>
      <c r="G17" s="80" t="s">
        <v>3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2"/>
    </row>
    <row r="18" spans="1:21" ht="78.75" x14ac:dyDescent="0.25">
      <c r="A18" s="81" t="str">
        <f>A17</f>
        <v>Утепление наружного ж/б цоколя</v>
      </c>
      <c r="B18" s="80"/>
      <c r="C18" s="80"/>
      <c r="D18" s="80" t="s">
        <v>2983</v>
      </c>
      <c r="E18" s="80">
        <f>E19</f>
        <v>28.637070000000005</v>
      </c>
      <c r="F18" s="80"/>
      <c r="G18" s="80" t="s">
        <v>2369</v>
      </c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2"/>
    </row>
    <row r="19" spans="1:21" ht="78.75" x14ac:dyDescent="0.25">
      <c r="A19" s="81" t="str">
        <f>A18</f>
        <v>Утепление наружного ж/б цоколя</v>
      </c>
      <c r="B19" s="80"/>
      <c r="C19" s="80"/>
      <c r="D19" s="80" t="s">
        <v>2982</v>
      </c>
      <c r="E19" s="80">
        <f>(E14-0.15)*E12/1000</f>
        <v>28.637070000000005</v>
      </c>
      <c r="F19" s="80"/>
      <c r="G19" s="80" t="s">
        <v>2369</v>
      </c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2"/>
    </row>
    <row r="20" spans="1:21" ht="78.75" x14ac:dyDescent="0.25">
      <c r="A20" s="81" t="str">
        <f>A19</f>
        <v>Утепление наружного ж/б цоколя</v>
      </c>
      <c r="B20" s="80"/>
      <c r="C20" s="80"/>
      <c r="D20" s="80" t="s">
        <v>2981</v>
      </c>
      <c r="E20" s="80">
        <f>E12*0.15</f>
        <v>6.9300000000000006</v>
      </c>
      <c r="F20" s="80"/>
      <c r="G20" s="80" t="s">
        <v>2369</v>
      </c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2"/>
    </row>
    <row r="21" spans="1:21" ht="15.75" x14ac:dyDescent="0.25">
      <c r="A21" s="49" t="s">
        <v>2979</v>
      </c>
      <c r="B21" s="48" t="s">
        <v>2979</v>
      </c>
      <c r="C21" s="48"/>
      <c r="D21" s="48" t="s">
        <v>2980</v>
      </c>
      <c r="E21" s="48">
        <v>6.24</v>
      </c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7"/>
    </row>
    <row r="22" spans="1:21" ht="15.75" x14ac:dyDescent="0.25">
      <c r="A22" s="49" t="s">
        <v>2979</v>
      </c>
      <c r="B22" s="48" t="s">
        <v>2979</v>
      </c>
      <c r="C22" s="48"/>
      <c r="D22" s="48" t="s">
        <v>2978</v>
      </c>
      <c r="E22" s="48">
        <f>180-21-10</f>
        <v>149</v>
      </c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7"/>
    </row>
    <row r="23" spans="1:21" ht="78.75" x14ac:dyDescent="0.25">
      <c r="A23" s="46" t="str">
        <f>B23</f>
        <v>Устройство стен, перегородок</v>
      </c>
      <c r="B23" s="45" t="str">
        <f>D23</f>
        <v>Устройство стен, перегородок</v>
      </c>
      <c r="C23" s="45"/>
      <c r="D23" s="45" t="s">
        <v>2977</v>
      </c>
      <c r="E23" s="45">
        <v>1</v>
      </c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4"/>
    </row>
    <row r="24" spans="1:21" ht="79.5" thickBot="1" x14ac:dyDescent="0.3">
      <c r="A24" s="83" t="str">
        <f>A23</f>
        <v>Устройство стен, перегородок</v>
      </c>
      <c r="B24" s="84"/>
      <c r="C24" s="84" t="s">
        <v>2976</v>
      </c>
      <c r="D24" s="84" t="s">
        <v>2975</v>
      </c>
      <c r="E24" s="84">
        <f>E22</f>
        <v>149</v>
      </c>
      <c r="F24" s="84"/>
      <c r="G24" s="84" t="s">
        <v>2369</v>
      </c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5"/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24 H2:Q2 K1 R1:S1 S2:U2">
    <cfRule type="containsText" dxfId="199" priority="2" stopIfTrue="1" operator="containsText" text="С ЛИСТА">
      <formula>NOT(ISERROR(SEARCH("С ЛИСТА",A1)))</formula>
    </cfRule>
    <cfRule type="containsText" dxfId="198" priority="3" stopIfTrue="1" operator="containsText" text="ИЗ ФАЙЛА">
      <formula>NOT(ISERROR(SEARCH("ИЗ ФАЙЛА",A1)))</formula>
    </cfRule>
    <cfRule type="containsText" dxfId="197" priority="4" stopIfTrue="1" operator="containsText" text="!!!">
      <formula>NOT(ISERROR(SEARCH("!!!",A1)))</formula>
    </cfRule>
    <cfRule type="containsText" dxfId="196" priority="5" stopIfTrue="1" operator="containsText" text=" Заполнения проёмов ">
      <formula>NOT(ISERROR(SEARCH(" Заполнения проёмов ",A1)))</formula>
    </cfRule>
    <cfRule type="containsText" dxfId="195" priority="6" stopIfTrue="1" operator="containsText" text=" Сборочные единицы ">
      <formula>NOT(ISERROR(SEARCH(" Сборочные единицы ",A1)))</formula>
    </cfRule>
    <cfRule type="containsText" dxfId="194" priority="7" stopIfTrue="1" operator="containsText" text=" Заполнения проёмов ">
      <formula>NOT(ISERROR(SEARCH(" Заполнения проёмов ",A1)))</formula>
    </cfRule>
    <cfRule type="containsText" dxfId="193" priority="8" stopIfTrue="1" operator="containsText" text=" Сборочные единицы ">
      <formula>NOT(ISERROR(SEARCH(" Сборочные единицы ",A1)))</formula>
    </cfRule>
    <cfRule type="containsText" dxfId="192" priority="9" stopIfTrue="1" operator="containsText" text=" Изделия ">
      <formula>NOT(ISERROR(SEARCH(" Изделия ",A1)))</formula>
    </cfRule>
    <cfRule type="containsText" dxfId="191" priority="10" stopIfTrue="1" operator="containsText" text=" Материалы ">
      <formula>NOT(ISERROR(SEARCH(" Материалы ",A1)))</formula>
    </cfRule>
    <cfRule type="containsText" dxfId="190" priority="11" stopIfTrue="1" operator="containsText" text=" Изделия арматурные ">
      <formula>NOT(ISERROR(SEARCH(" Изделия арматурные ",A1)))</formula>
    </cfRule>
    <cfRule type="containsText" dxfId="189" priority="12" stopIfTrue="1" operator="containsText" text=" Прокат ">
      <formula>NOT(ISERROR(SEARCH(" Прокат ",A1)))</formula>
    </cfRule>
    <cfRule type="containsText" dxfId="188" priority="13" stopIfTrue="1" operator="containsText" text="Элементы на отм.">
      <formula>NOT(ISERROR(SEARCH("Элементы на отм.",A1)))</formula>
    </cfRule>
    <cfRule type="containsText" dxfId="187" priority="14" stopIfTrue="1" operator="containsText" text=", на ">
      <formula>NOT(ISERROR(SEARCH(", на ",A1)))</formula>
    </cfRule>
    <cfRule type="containsText" dxfId="186" priority="15" stopIfTrue="1" operator="containsText" text="шт.)">
      <formula>NOT(ISERROR(SEARCH("шт.)",A1)))</formula>
    </cfRule>
  </conditionalFormatting>
  <conditionalFormatting sqref="A1:U1048576">
    <cfRule type="expression" dxfId="185" priority="1">
      <formula>ISERROR(A1)</formula>
    </cfRule>
  </conditionalFormatting>
  <dataValidations count="5">
    <dataValidation type="list" errorStyle="warning" allowBlank="1" showInputMessage="1" showErrorMessage="1" sqref="G3:G24">
      <formula1>#REF!</formula1>
    </dataValidation>
    <dataValidation type="list" allowBlank="1" showInputMessage="1" showErrorMessage="1" sqref="J3:J24">
      <formula1>#REF!</formula1>
    </dataValidation>
    <dataValidation type="list" allowBlank="1" showInputMessage="1" showErrorMessage="1" sqref="L3:L24">
      <formula1>#REF!</formula1>
    </dataValidation>
    <dataValidation type="list" allowBlank="1" showInputMessage="1" showErrorMessage="1" sqref="O3:O24">
      <formula1>#REF!</formula1>
    </dataValidation>
    <dataValidation type="list" allowBlank="1" showInputMessage="1" showErrorMessage="1" sqref="P3:P24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25"/>
  <sheetViews>
    <sheetView zoomScale="70" zoomScaleNormal="70" workbookViewId="0">
      <selection activeCell="N45" sqref="N45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102" t="s">
        <v>3019</v>
      </c>
      <c r="B1" s="96" t="s">
        <v>2903</v>
      </c>
      <c r="C1" s="96" t="s">
        <v>2904</v>
      </c>
      <c r="D1" s="96" t="s">
        <v>2905</v>
      </c>
      <c r="E1" s="96" t="s">
        <v>3018</v>
      </c>
      <c r="F1" s="96" t="s">
        <v>3017</v>
      </c>
      <c r="G1" s="96" t="s">
        <v>3016</v>
      </c>
      <c r="H1" s="98" t="s">
        <v>3015</v>
      </c>
      <c r="I1" s="99"/>
      <c r="J1" s="100"/>
      <c r="K1" s="98" t="s">
        <v>2913</v>
      </c>
      <c r="L1" s="99"/>
      <c r="M1" s="99"/>
      <c r="N1" s="99"/>
      <c r="O1" s="99"/>
      <c r="P1" s="99"/>
      <c r="Q1" s="100"/>
      <c r="R1" s="96" t="s">
        <v>3014</v>
      </c>
      <c r="S1" s="98" t="s">
        <v>3013</v>
      </c>
      <c r="T1" s="99"/>
      <c r="U1" s="101"/>
    </row>
    <row r="2" spans="1:21" ht="63" x14ac:dyDescent="0.25">
      <c r="A2" s="103"/>
      <c r="B2" s="97"/>
      <c r="C2" s="97"/>
      <c r="D2" s="97"/>
      <c r="E2" s="97"/>
      <c r="F2" s="97"/>
      <c r="G2" s="97"/>
      <c r="H2" s="80" t="s">
        <v>3012</v>
      </c>
      <c r="I2" s="80" t="s">
        <v>3011</v>
      </c>
      <c r="J2" s="80" t="s">
        <v>3010</v>
      </c>
      <c r="K2" s="80" t="s">
        <v>3009</v>
      </c>
      <c r="L2" s="80" t="s">
        <v>3008</v>
      </c>
      <c r="M2" s="80" t="s">
        <v>3007</v>
      </c>
      <c r="N2" s="80" t="s">
        <v>3006</v>
      </c>
      <c r="O2" s="80" t="s">
        <v>3005</v>
      </c>
      <c r="P2" s="80" t="s">
        <v>3004</v>
      </c>
      <c r="Q2" s="80" t="s">
        <v>3003</v>
      </c>
      <c r="R2" s="97"/>
      <c r="S2" s="80" t="s">
        <v>3002</v>
      </c>
      <c r="T2" s="80" t="s">
        <v>3001</v>
      </c>
      <c r="U2" s="82" t="s">
        <v>3000</v>
      </c>
    </row>
    <row r="3" spans="1:21" ht="15.75" x14ac:dyDescent="0.2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</row>
    <row r="4" spans="1:21" ht="15.75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</row>
    <row r="5" spans="1:21" ht="15.75" x14ac:dyDescent="0.25">
      <c r="A5" s="58" t="s">
        <v>3115</v>
      </c>
      <c r="B5" s="57" t="str">
        <f>A5</f>
        <v>Крп20</v>
      </c>
      <c r="C5" s="57" t="s">
        <v>2902</v>
      </c>
      <c r="D5" s="57" t="s">
        <v>3114</v>
      </c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6"/>
    </row>
    <row r="6" spans="1:21" ht="31.5" x14ac:dyDescent="0.25">
      <c r="A6" s="81" t="str">
        <f>A5</f>
        <v>Крп20</v>
      </c>
      <c r="B6" s="80">
        <v>1</v>
      </c>
      <c r="C6" s="80" t="s">
        <v>3066</v>
      </c>
      <c r="D6" s="80" t="s">
        <v>3113</v>
      </c>
      <c r="E6" s="80">
        <v>9</v>
      </c>
      <c r="F6" s="48">
        <v>0.61699999999999999</v>
      </c>
      <c r="G6" s="80"/>
      <c r="H6" s="80">
        <f>165</f>
        <v>165</v>
      </c>
      <c r="I6" s="80">
        <v>10</v>
      </c>
      <c r="J6" s="80" t="s">
        <v>1</v>
      </c>
      <c r="K6" s="80"/>
      <c r="L6" s="80"/>
      <c r="M6" s="80"/>
      <c r="N6" s="80"/>
      <c r="O6" s="80"/>
      <c r="P6" s="80"/>
      <c r="Q6" s="80"/>
      <c r="R6" s="80"/>
      <c r="S6" s="80" t="s">
        <v>3108</v>
      </c>
      <c r="T6" s="80" t="s">
        <v>3108</v>
      </c>
      <c r="U6" s="82">
        <v>12.5</v>
      </c>
    </row>
    <row r="7" spans="1:21" ht="31.5" x14ac:dyDescent="0.25">
      <c r="A7" s="81" t="str">
        <f>A5</f>
        <v>Крп20</v>
      </c>
      <c r="B7" s="80">
        <v>2</v>
      </c>
      <c r="C7" s="80" t="s">
        <v>3066</v>
      </c>
      <c r="D7" s="80" t="s">
        <v>3112</v>
      </c>
      <c r="E7" s="80">
        <v>2</v>
      </c>
      <c r="F7" s="48">
        <v>0.61699999999999999</v>
      </c>
      <c r="G7" s="80"/>
      <c r="H7" s="80">
        <v>1280</v>
      </c>
      <c r="I7" s="80">
        <v>10</v>
      </c>
      <c r="J7" s="80" t="s">
        <v>1</v>
      </c>
      <c r="K7" s="80"/>
      <c r="L7" s="80"/>
      <c r="M7" s="80"/>
      <c r="N7" s="80"/>
      <c r="O7" s="80"/>
      <c r="P7" s="80"/>
      <c r="Q7" s="80"/>
      <c r="R7" s="80"/>
      <c r="S7" s="80" t="s">
        <v>3108</v>
      </c>
      <c r="T7" s="80" t="s">
        <v>3108</v>
      </c>
      <c r="U7" s="82">
        <v>12.5</v>
      </c>
    </row>
    <row r="8" spans="1:21" ht="15.75" x14ac:dyDescent="0.2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</row>
    <row r="9" spans="1:21" ht="15.75" x14ac:dyDescent="0.25">
      <c r="A9" s="58" t="s">
        <v>3107</v>
      </c>
      <c r="B9" s="57" t="str">
        <f>A9</f>
        <v>Мн1</v>
      </c>
      <c r="C9" s="57" t="s">
        <v>3102</v>
      </c>
      <c r="D9" s="57" t="s">
        <v>3111</v>
      </c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6"/>
    </row>
    <row r="10" spans="1:21" ht="15.75" x14ac:dyDescent="0.25">
      <c r="A10" s="81" t="s">
        <v>3107</v>
      </c>
      <c r="B10" s="55">
        <v>1</v>
      </c>
      <c r="C10" s="55" t="s">
        <v>3181</v>
      </c>
      <c r="D10" s="55" t="s">
        <v>3110</v>
      </c>
      <c r="E10" s="55">
        <v>1</v>
      </c>
      <c r="F10" s="48">
        <v>78.5</v>
      </c>
      <c r="G10" s="80"/>
      <c r="H10" s="80"/>
      <c r="I10" s="80"/>
      <c r="J10" s="80"/>
      <c r="K10" s="48">
        <v>48400</v>
      </c>
      <c r="L10" s="80" t="s">
        <v>2850</v>
      </c>
      <c r="M10" s="80" t="s">
        <v>2860</v>
      </c>
      <c r="N10" s="80"/>
      <c r="O10" s="80" t="s">
        <v>5</v>
      </c>
      <c r="P10" s="80"/>
      <c r="Q10" s="80"/>
      <c r="R10" s="80"/>
      <c r="S10" s="80"/>
      <c r="T10" s="80"/>
      <c r="U10" s="82"/>
    </row>
    <row r="11" spans="1:21" ht="31.5" x14ac:dyDescent="0.25">
      <c r="A11" s="81" t="s">
        <v>3107</v>
      </c>
      <c r="B11" s="80">
        <v>2</v>
      </c>
      <c r="C11" s="80" t="s">
        <v>3066</v>
      </c>
      <c r="D11" s="80" t="s">
        <v>3109</v>
      </c>
      <c r="E11" s="80">
        <v>4</v>
      </c>
      <c r="F11" s="48">
        <v>1.208</v>
      </c>
      <c r="G11" s="80"/>
      <c r="H11" s="80">
        <v>170</v>
      </c>
      <c r="I11" s="80">
        <v>14</v>
      </c>
      <c r="J11" s="80" t="s">
        <v>2</v>
      </c>
      <c r="K11" s="80"/>
      <c r="L11" s="80"/>
      <c r="M11" s="80"/>
      <c r="N11" s="80"/>
      <c r="O11" s="80"/>
      <c r="P11" s="80"/>
      <c r="Q11" s="80"/>
      <c r="R11" s="80"/>
      <c r="S11" s="80" t="s">
        <v>3108</v>
      </c>
      <c r="T11" s="80" t="s">
        <v>3108</v>
      </c>
      <c r="U11" s="82">
        <v>35</v>
      </c>
    </row>
    <row r="12" spans="1:21" ht="15.75" x14ac:dyDescent="0.25">
      <c r="A12" s="81" t="s">
        <v>3107</v>
      </c>
      <c r="B12" s="55">
        <v>3</v>
      </c>
      <c r="C12" s="55" t="s">
        <v>3181</v>
      </c>
      <c r="D12" s="55" t="s">
        <v>3106</v>
      </c>
      <c r="E12" s="55">
        <v>4</v>
      </c>
      <c r="F12" s="48">
        <v>62.8</v>
      </c>
      <c r="G12" s="80"/>
      <c r="H12" s="80"/>
      <c r="I12" s="80"/>
      <c r="J12" s="80"/>
      <c r="K12" s="48">
        <v>1600</v>
      </c>
      <c r="L12" s="80" t="s">
        <v>2850</v>
      </c>
      <c r="M12" s="80" t="s">
        <v>2858</v>
      </c>
      <c r="N12" s="80"/>
      <c r="O12" s="80" t="s">
        <v>5</v>
      </c>
      <c r="P12" s="80"/>
      <c r="Q12" s="80"/>
      <c r="R12" s="80"/>
      <c r="S12" s="80"/>
      <c r="T12" s="80"/>
      <c r="U12" s="82"/>
    </row>
    <row r="13" spans="1:21" ht="15.75" x14ac:dyDescent="0.2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</row>
    <row r="14" spans="1:21" ht="15.75" x14ac:dyDescent="0.25">
      <c r="A14" s="58" t="s">
        <v>3105</v>
      </c>
      <c r="B14" s="57" t="str">
        <f>A14</f>
        <v>Му1</v>
      </c>
      <c r="C14" s="57" t="s">
        <v>3102</v>
      </c>
      <c r="D14" s="57" t="s">
        <v>3104</v>
      </c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6"/>
    </row>
    <row r="15" spans="1:21" ht="15.75" x14ac:dyDescent="0.25">
      <c r="A15" s="81" t="str">
        <f>A14</f>
        <v>Му1</v>
      </c>
      <c r="B15" s="55">
        <v>1</v>
      </c>
      <c r="C15" s="55" t="s">
        <v>2911</v>
      </c>
      <c r="D15" s="55" t="s">
        <v>3100</v>
      </c>
      <c r="E15" s="55">
        <v>1</v>
      </c>
      <c r="F15" s="48">
        <v>104.5</v>
      </c>
      <c r="G15" s="80"/>
      <c r="H15" s="80"/>
      <c r="I15" s="80"/>
      <c r="J15" s="80"/>
      <c r="K15" s="80">
        <v>100</v>
      </c>
      <c r="L15" s="80" t="s">
        <v>2046</v>
      </c>
      <c r="M15" s="80" t="s">
        <v>2165</v>
      </c>
      <c r="N15" s="80"/>
      <c r="O15" s="80" t="s">
        <v>5</v>
      </c>
      <c r="P15" s="80"/>
      <c r="Q15" s="80"/>
      <c r="R15" s="80"/>
      <c r="S15" s="80"/>
      <c r="T15" s="80"/>
      <c r="U15" s="82"/>
    </row>
    <row r="16" spans="1:21" ht="15.75" x14ac:dyDescent="0.25">
      <c r="A16" s="81" t="str">
        <f>A15</f>
        <v>Му1</v>
      </c>
      <c r="B16" s="55">
        <v>3</v>
      </c>
      <c r="C16" s="55" t="s">
        <v>3181</v>
      </c>
      <c r="D16" s="55" t="s">
        <v>3099</v>
      </c>
      <c r="E16" s="55">
        <v>1</v>
      </c>
      <c r="F16" s="48">
        <v>62.8</v>
      </c>
      <c r="G16" s="80"/>
      <c r="H16" s="80"/>
      <c r="I16" s="80"/>
      <c r="J16" s="80"/>
      <c r="K16" s="48">
        <v>9025</v>
      </c>
      <c r="L16" s="80" t="s">
        <v>2850</v>
      </c>
      <c r="M16" s="80" t="s">
        <v>2858</v>
      </c>
      <c r="N16" s="80"/>
      <c r="O16" s="80" t="s">
        <v>5</v>
      </c>
      <c r="P16" s="80"/>
      <c r="Q16" s="80"/>
      <c r="R16" s="80"/>
      <c r="S16" s="80"/>
      <c r="T16" s="80"/>
      <c r="U16" s="82"/>
    </row>
    <row r="17" spans="1:21" ht="15.75" x14ac:dyDescent="0.25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</row>
    <row r="18" spans="1:21" ht="15.75" x14ac:dyDescent="0.25">
      <c r="A18" s="58" t="s">
        <v>3103</v>
      </c>
      <c r="B18" s="57" t="str">
        <f>A18</f>
        <v>Му2</v>
      </c>
      <c r="C18" s="57" t="s">
        <v>3102</v>
      </c>
      <c r="D18" s="57" t="s">
        <v>3101</v>
      </c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6"/>
    </row>
    <row r="19" spans="1:21" ht="15.75" x14ac:dyDescent="0.25">
      <c r="A19" s="81" t="str">
        <f>A18</f>
        <v>Му2</v>
      </c>
      <c r="B19" s="55">
        <v>1</v>
      </c>
      <c r="C19" s="55" t="s">
        <v>2911</v>
      </c>
      <c r="D19" s="55" t="s">
        <v>3100</v>
      </c>
      <c r="E19" s="55">
        <v>1</v>
      </c>
      <c r="F19" s="48">
        <v>54.4</v>
      </c>
      <c r="G19" s="80"/>
      <c r="H19" s="80"/>
      <c r="I19" s="80"/>
      <c r="J19" s="80"/>
      <c r="K19" s="80">
        <v>200</v>
      </c>
      <c r="L19" s="80" t="s">
        <v>2046</v>
      </c>
      <c r="M19" s="80" t="s">
        <v>2153</v>
      </c>
      <c r="N19" s="80"/>
      <c r="O19" s="80" t="s">
        <v>5</v>
      </c>
      <c r="P19" s="80"/>
      <c r="Q19" s="80"/>
      <c r="R19" s="80"/>
      <c r="S19" s="80"/>
      <c r="T19" s="80"/>
      <c r="U19" s="82"/>
    </row>
    <row r="20" spans="1:21" ht="16.5" thickBot="1" x14ac:dyDescent="0.3">
      <c r="A20" s="83" t="str">
        <f>A19</f>
        <v>Му2</v>
      </c>
      <c r="B20" s="54">
        <v>3</v>
      </c>
      <c r="C20" s="54" t="s">
        <v>3181</v>
      </c>
      <c r="D20" s="54" t="s">
        <v>3099</v>
      </c>
      <c r="E20" s="54">
        <v>1</v>
      </c>
      <c r="F20" s="50">
        <v>62.8</v>
      </c>
      <c r="G20" s="84"/>
      <c r="H20" s="84"/>
      <c r="I20" s="84"/>
      <c r="J20" s="84"/>
      <c r="K20" s="50">
        <v>9025</v>
      </c>
      <c r="L20" s="84" t="s">
        <v>2850</v>
      </c>
      <c r="M20" s="84" t="s">
        <v>2858</v>
      </c>
      <c r="N20" s="84"/>
      <c r="O20" s="84" t="s">
        <v>5</v>
      </c>
      <c r="P20" s="84"/>
      <c r="Q20" s="84"/>
      <c r="R20" s="84"/>
      <c r="S20" s="84"/>
      <c r="T20" s="84"/>
      <c r="U20" s="85"/>
    </row>
    <row r="23" spans="1:21" ht="15.75" x14ac:dyDescent="0.25">
      <c r="A23" s="58" t="s">
        <v>3272</v>
      </c>
      <c r="B23" s="57" t="str">
        <f>A23</f>
        <v>Му5</v>
      </c>
      <c r="C23" s="57" t="s">
        <v>3102</v>
      </c>
      <c r="D23" s="57" t="s">
        <v>3101</v>
      </c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6"/>
    </row>
    <row r="24" spans="1:21" ht="15.75" x14ac:dyDescent="0.25">
      <c r="A24" s="81" t="str">
        <f>A23</f>
        <v>Му5</v>
      </c>
      <c r="B24" s="55">
        <v>1</v>
      </c>
      <c r="C24" s="55" t="s">
        <v>2911</v>
      </c>
      <c r="D24" s="55" t="s">
        <v>3100</v>
      </c>
      <c r="E24" s="55">
        <v>1</v>
      </c>
      <c r="F24" s="48">
        <v>54.4</v>
      </c>
      <c r="G24" s="80"/>
      <c r="H24" s="80"/>
      <c r="I24" s="80"/>
      <c r="J24" s="80"/>
      <c r="K24" s="80">
        <v>200</v>
      </c>
      <c r="L24" s="80" t="s">
        <v>2046</v>
      </c>
      <c r="M24" s="80" t="s">
        <v>2153</v>
      </c>
      <c r="N24" s="80"/>
      <c r="O24" s="80" t="s">
        <v>5</v>
      </c>
      <c r="P24" s="80"/>
      <c r="Q24" s="80"/>
      <c r="R24" s="80"/>
      <c r="S24" s="80"/>
      <c r="T24" s="80"/>
      <c r="U24" s="82"/>
    </row>
    <row r="25" spans="1:21" ht="16.5" thickBot="1" x14ac:dyDescent="0.3">
      <c r="A25" s="83" t="str">
        <f>A24</f>
        <v>Му5</v>
      </c>
      <c r="B25" s="54">
        <v>3</v>
      </c>
      <c r="C25" s="54" t="s">
        <v>3181</v>
      </c>
      <c r="D25" s="54" t="s">
        <v>3099</v>
      </c>
      <c r="E25" s="54">
        <v>1</v>
      </c>
      <c r="F25" s="50">
        <v>62.8</v>
      </c>
      <c r="G25" s="84"/>
      <c r="H25" s="84"/>
      <c r="I25" s="84"/>
      <c r="J25" s="84"/>
      <c r="K25" s="50">
        <v>9025</v>
      </c>
      <c r="L25" s="84" t="s">
        <v>2850</v>
      </c>
      <c r="M25" s="84" t="s">
        <v>2858</v>
      </c>
      <c r="N25" s="84"/>
      <c r="O25" s="84" t="s">
        <v>5</v>
      </c>
      <c r="P25" s="84"/>
      <c r="Q25" s="84"/>
      <c r="R25" s="84"/>
      <c r="S25" s="84"/>
      <c r="T25" s="84"/>
      <c r="U25" s="85"/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20 H2:Q2 K1 R1:S1 S2:U2">
    <cfRule type="containsText" dxfId="184" priority="16" stopIfTrue="1" operator="containsText" text="С ЛИСТА">
      <formula>NOT(ISERROR(SEARCH("С ЛИСТА",A1)))</formula>
    </cfRule>
    <cfRule type="containsText" dxfId="183" priority="17" stopIfTrue="1" operator="containsText" text="ИЗ ФАЙЛА">
      <formula>NOT(ISERROR(SEARCH("ИЗ ФАЙЛА",A1)))</formula>
    </cfRule>
    <cfRule type="containsText" dxfId="182" priority="18" stopIfTrue="1" operator="containsText" text="!!!">
      <formula>NOT(ISERROR(SEARCH("!!!",A1)))</formula>
    </cfRule>
    <cfRule type="containsText" dxfId="181" priority="19" stopIfTrue="1" operator="containsText" text=" Заполнения проёмов ">
      <formula>NOT(ISERROR(SEARCH(" Заполнения проёмов ",A1)))</formula>
    </cfRule>
    <cfRule type="containsText" dxfId="180" priority="20" stopIfTrue="1" operator="containsText" text=" Сборочные единицы ">
      <formula>NOT(ISERROR(SEARCH(" Сборочные единицы ",A1)))</formula>
    </cfRule>
    <cfRule type="containsText" dxfId="179" priority="21" stopIfTrue="1" operator="containsText" text=" Заполнения проёмов ">
      <formula>NOT(ISERROR(SEARCH(" Заполнения проёмов ",A1)))</formula>
    </cfRule>
    <cfRule type="containsText" dxfId="178" priority="22" stopIfTrue="1" operator="containsText" text=" Сборочные единицы ">
      <formula>NOT(ISERROR(SEARCH(" Сборочные единицы ",A1)))</formula>
    </cfRule>
    <cfRule type="containsText" dxfId="177" priority="23" stopIfTrue="1" operator="containsText" text=" Изделия ">
      <formula>NOT(ISERROR(SEARCH(" Изделия ",A1)))</formula>
    </cfRule>
    <cfRule type="containsText" dxfId="176" priority="24" stopIfTrue="1" operator="containsText" text=" Материалы ">
      <formula>NOT(ISERROR(SEARCH(" Материалы ",A1)))</formula>
    </cfRule>
    <cfRule type="containsText" dxfId="175" priority="25" stopIfTrue="1" operator="containsText" text=" Изделия арматурные ">
      <formula>NOT(ISERROR(SEARCH(" Изделия арматурные ",A1)))</formula>
    </cfRule>
    <cfRule type="containsText" dxfId="174" priority="26" stopIfTrue="1" operator="containsText" text=" Прокат ">
      <formula>NOT(ISERROR(SEARCH(" Прокат ",A1)))</formula>
    </cfRule>
    <cfRule type="containsText" dxfId="173" priority="27" stopIfTrue="1" operator="containsText" text="Элементы на отм.">
      <formula>NOT(ISERROR(SEARCH("Элементы на отм.",A1)))</formula>
    </cfRule>
    <cfRule type="containsText" dxfId="172" priority="28" stopIfTrue="1" operator="containsText" text=", на ">
      <formula>NOT(ISERROR(SEARCH(", на ",A1)))</formula>
    </cfRule>
    <cfRule type="containsText" dxfId="171" priority="29" stopIfTrue="1" operator="containsText" text="шт.)">
      <formula>NOT(ISERROR(SEARCH("шт.)",A1)))</formula>
    </cfRule>
  </conditionalFormatting>
  <conditionalFormatting sqref="A1:U1048576">
    <cfRule type="expression" dxfId="170" priority="15">
      <formula>ISERROR(A1)</formula>
    </cfRule>
  </conditionalFormatting>
  <conditionalFormatting sqref="A23:U25">
    <cfRule type="containsText" dxfId="169" priority="1" stopIfTrue="1" operator="containsText" text="С ЛИСТА">
      <formula>NOT(ISERROR(SEARCH("С ЛИСТА",A23)))</formula>
    </cfRule>
    <cfRule type="containsText" dxfId="168" priority="2" stopIfTrue="1" operator="containsText" text="ИЗ ФАЙЛА">
      <formula>NOT(ISERROR(SEARCH("ИЗ ФАЙЛА",A23)))</formula>
    </cfRule>
    <cfRule type="containsText" dxfId="167" priority="3" stopIfTrue="1" operator="containsText" text="!!!">
      <formula>NOT(ISERROR(SEARCH("!!!",A23)))</formula>
    </cfRule>
    <cfRule type="containsText" dxfId="166" priority="4" stopIfTrue="1" operator="containsText" text=" Заполнения проёмов ">
      <formula>NOT(ISERROR(SEARCH(" Заполнения проёмов ",A23)))</formula>
    </cfRule>
    <cfRule type="containsText" dxfId="165" priority="5" stopIfTrue="1" operator="containsText" text=" Сборочные единицы ">
      <formula>NOT(ISERROR(SEARCH(" Сборочные единицы ",A23)))</formula>
    </cfRule>
    <cfRule type="containsText" dxfId="164" priority="6" stopIfTrue="1" operator="containsText" text=" Заполнения проёмов ">
      <formula>NOT(ISERROR(SEARCH(" Заполнения проёмов ",A23)))</formula>
    </cfRule>
    <cfRule type="containsText" dxfId="163" priority="7" stopIfTrue="1" operator="containsText" text=" Сборочные единицы ">
      <formula>NOT(ISERROR(SEARCH(" Сборочные единицы ",A23)))</formula>
    </cfRule>
    <cfRule type="containsText" dxfId="162" priority="8" stopIfTrue="1" operator="containsText" text=" Изделия ">
      <formula>NOT(ISERROR(SEARCH(" Изделия ",A23)))</formula>
    </cfRule>
    <cfRule type="containsText" dxfId="161" priority="9" stopIfTrue="1" operator="containsText" text=" Материалы ">
      <formula>NOT(ISERROR(SEARCH(" Материалы ",A23)))</formula>
    </cfRule>
    <cfRule type="containsText" dxfId="160" priority="10" stopIfTrue="1" operator="containsText" text=" Изделия арматурные ">
      <formula>NOT(ISERROR(SEARCH(" Изделия арматурные ",A23)))</formula>
    </cfRule>
    <cfRule type="containsText" dxfId="159" priority="11" stopIfTrue="1" operator="containsText" text=" Прокат ">
      <formula>NOT(ISERROR(SEARCH(" Прокат ",A23)))</formula>
    </cfRule>
    <cfRule type="containsText" dxfId="158" priority="12" stopIfTrue="1" operator="containsText" text="Элементы на отм.">
      <formula>NOT(ISERROR(SEARCH("Элементы на отм.",A23)))</formula>
    </cfRule>
    <cfRule type="containsText" dxfId="157" priority="13" stopIfTrue="1" operator="containsText" text=", на ">
      <formula>NOT(ISERROR(SEARCH(", на ",A23)))</formula>
    </cfRule>
    <cfRule type="containsText" dxfId="156" priority="14" stopIfTrue="1" operator="containsText" text="шт.)">
      <formula>NOT(ISERROR(SEARCH("шт.)",A23)))</formula>
    </cfRule>
  </conditionalFormatting>
  <dataValidations count="14">
    <dataValidation type="list" errorStyle="warning" allowBlank="1" showInputMessage="1" showErrorMessage="1" sqref="G3:G20 G23:G25">
      <formula1>#REF!</formula1>
    </dataValidation>
    <dataValidation type="list" allowBlank="1" showInputMessage="1" showErrorMessage="1" sqref="J3:J20 J23:J25">
      <formula1>#REF!</formula1>
    </dataValidation>
    <dataValidation type="list" allowBlank="1" showInputMessage="1" showErrorMessage="1" sqref="L3:L20 L23:L25">
      <formula1>#REF!</formula1>
    </dataValidation>
    <dataValidation type="list" allowBlank="1" showInputMessage="1" showErrorMessage="1" sqref="O3:O20 O23:O25">
      <formula1>#REF!</formula1>
    </dataValidation>
    <dataValidation type="list" allowBlank="1" showInputMessage="1" showErrorMessage="1" sqref="P3:P20 P23:P25">
      <formula1>#REF!</formula1>
    </dataValidation>
    <dataValidation type="list" allowBlank="1" showInputMessage="1" showErrorMessage="1" sqref="I6">
      <formula1>#REF!</formula1>
    </dataValidation>
    <dataValidation type="list" allowBlank="1" showInputMessage="1" showErrorMessage="1" sqref="I7">
      <formula1>#REF!</formula1>
    </dataValidation>
    <dataValidation type="list" allowBlank="1" showInputMessage="1" showErrorMessage="1" sqref="M10">
      <formula1>#REF!</formula1>
    </dataValidation>
    <dataValidation type="list" allowBlank="1" showInputMessage="1" showErrorMessage="1" sqref="I11">
      <formula1>#REF!</formula1>
    </dataValidation>
    <dataValidation type="list" allowBlank="1" showInputMessage="1" showErrorMessage="1" sqref="M12">
      <formula1>#REF!</formula1>
    </dataValidation>
    <dataValidation type="list" allowBlank="1" showInputMessage="1" showErrorMessage="1" sqref="M15">
      <formula1>#REF!</formula1>
    </dataValidation>
    <dataValidation type="list" allowBlank="1" showInputMessage="1" showErrorMessage="1" sqref="M16">
      <formula1>#REF!</formula1>
    </dataValidation>
    <dataValidation type="list" allowBlank="1" showInputMessage="1" showErrorMessage="1" sqref="M19 M24">
      <formula1>#REF!</formula1>
    </dataValidation>
    <dataValidation type="list" allowBlank="1" showInputMessage="1" showErrorMessage="1" sqref="M20 M2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7" tint="0.39997558519241921"/>
    <pageSetUpPr fitToPage="1"/>
  </sheetPr>
  <dimension ref="A1:E7"/>
  <sheetViews>
    <sheetView workbookViewId="0">
      <selection activeCell="K15" sqref="K15"/>
    </sheetView>
  </sheetViews>
  <sheetFormatPr defaultRowHeight="15" x14ac:dyDescent="0.25"/>
  <cols>
    <col min="1" max="1" width="10.28515625" style="9" customWidth="1"/>
    <col min="2" max="2" width="22.42578125" style="9" customWidth="1"/>
    <col min="3" max="3" width="32" style="9" customWidth="1"/>
    <col min="4" max="4" width="15.140625" style="9" customWidth="1"/>
    <col min="5" max="5" width="12.7109375" style="9" customWidth="1"/>
    <col min="6" max="16384" width="9.140625" style="9"/>
  </cols>
  <sheetData>
    <row r="1" spans="1:5" ht="78.75" x14ac:dyDescent="0.25">
      <c r="A1" s="19" t="s">
        <v>3035</v>
      </c>
      <c r="B1" s="16" t="s">
        <v>3034</v>
      </c>
      <c r="C1" s="16" t="s">
        <v>3033</v>
      </c>
      <c r="D1" s="16" t="s">
        <v>3032</v>
      </c>
      <c r="E1" s="17" t="s">
        <v>2908</v>
      </c>
    </row>
    <row r="2" spans="1:5" ht="31.5" x14ac:dyDescent="0.25">
      <c r="A2" s="14"/>
      <c r="B2" s="15" t="s">
        <v>3031</v>
      </c>
      <c r="C2" s="15" t="s">
        <v>3029</v>
      </c>
      <c r="D2" s="15" t="s">
        <v>3023</v>
      </c>
      <c r="E2" s="18"/>
    </row>
    <row r="3" spans="1:5" ht="31.5" x14ac:dyDescent="0.25">
      <c r="A3" s="14"/>
      <c r="B3" s="15" t="s">
        <v>3030</v>
      </c>
      <c r="C3" s="15" t="s">
        <v>3029</v>
      </c>
      <c r="D3" s="15" t="s">
        <v>3023</v>
      </c>
      <c r="E3" s="18"/>
    </row>
    <row r="4" spans="1:5" ht="31.5" x14ac:dyDescent="0.25">
      <c r="A4" s="14"/>
      <c r="B4" s="15" t="s">
        <v>3028</v>
      </c>
      <c r="C4" s="15" t="s">
        <v>3024</v>
      </c>
      <c r="D4" s="15" t="s">
        <v>3023</v>
      </c>
      <c r="E4" s="18"/>
    </row>
    <row r="5" spans="1:5" ht="15.75" x14ac:dyDescent="0.25">
      <c r="A5" s="14"/>
      <c r="B5" s="15" t="s">
        <v>3027</v>
      </c>
      <c r="C5" s="15" t="s">
        <v>3026</v>
      </c>
      <c r="D5" s="15" t="s">
        <v>3023</v>
      </c>
      <c r="E5" s="18"/>
    </row>
    <row r="6" spans="1:5" ht="31.5" x14ac:dyDescent="0.25">
      <c r="A6" s="14"/>
      <c r="B6" s="15" t="s">
        <v>3025</v>
      </c>
      <c r="C6" s="15" t="s">
        <v>3024</v>
      </c>
      <c r="D6" s="15" t="s">
        <v>3023</v>
      </c>
      <c r="E6" s="18"/>
    </row>
    <row r="7" spans="1:5" ht="48" thickBot="1" x14ac:dyDescent="0.3">
      <c r="A7" s="12"/>
      <c r="B7" s="13" t="s">
        <v>3022</v>
      </c>
      <c r="C7" s="13" t="s">
        <v>3021</v>
      </c>
      <c r="D7" s="13" t="s">
        <v>3020</v>
      </c>
      <c r="E7" s="20"/>
    </row>
  </sheetData>
  <conditionalFormatting sqref="A1:E7">
    <cfRule type="containsText" dxfId="155" priority="1" stopIfTrue="1" operator="containsText" text="С ЛИСТА">
      <formula>NOT(ISERROR(SEARCH("С ЛИСТА",A1)))</formula>
    </cfRule>
    <cfRule type="containsText" dxfId="154" priority="2" stopIfTrue="1" operator="containsText" text="ИЗ ФАЙЛА">
      <formula>NOT(ISERROR(SEARCH("ИЗ ФАЙЛА",A1)))</formula>
    </cfRule>
    <cfRule type="containsText" dxfId="153" priority="3" stopIfTrue="1" operator="containsText" text="!!!">
      <formula>NOT(ISERROR(SEARCH("!!!",A1)))</formula>
    </cfRule>
    <cfRule type="containsText" dxfId="152" priority="4" stopIfTrue="1" operator="containsText" text=" Заполнения проёмов ">
      <formula>NOT(ISERROR(SEARCH(" Заполнения проёмов ",A1)))</formula>
    </cfRule>
    <cfRule type="containsText" dxfId="151" priority="5" stopIfTrue="1" operator="containsText" text=" Сборочные единицы ">
      <formula>NOT(ISERROR(SEARCH(" Сборочные единицы ",A1)))</formula>
    </cfRule>
    <cfRule type="containsText" dxfId="150" priority="6" stopIfTrue="1" operator="containsText" text=" Заполнения проёмов ">
      <formula>NOT(ISERROR(SEARCH(" Заполнения проёмов ",A1)))</formula>
    </cfRule>
    <cfRule type="containsText" dxfId="149" priority="7" stopIfTrue="1" operator="containsText" text=" Сборочные единицы ">
      <formula>NOT(ISERROR(SEARCH(" Сборочные единицы ",A1)))</formula>
    </cfRule>
    <cfRule type="containsText" dxfId="148" priority="8" stopIfTrue="1" operator="containsText" text=" Изделия ">
      <formula>NOT(ISERROR(SEARCH(" Изделия ",A1)))</formula>
    </cfRule>
    <cfRule type="containsText" dxfId="147" priority="9" stopIfTrue="1" operator="containsText" text=" Материалы ">
      <formula>NOT(ISERROR(SEARCH(" Материалы ",A1)))</formula>
    </cfRule>
    <cfRule type="containsText" dxfId="146" priority="10" stopIfTrue="1" operator="containsText" text=" Изделия арматурные ">
      <formula>NOT(ISERROR(SEARCH(" Изделия арматурные ",A1)))</formula>
    </cfRule>
    <cfRule type="containsText" dxfId="145" priority="11" stopIfTrue="1" operator="containsText" text=" Прокат ">
      <formula>NOT(ISERROR(SEARCH(" Прокат ",A1)))</formula>
    </cfRule>
    <cfRule type="containsText" dxfId="144" priority="12" stopIfTrue="1" operator="containsText" text="Элементы на отм.">
      <formula>NOT(ISERROR(SEARCH("Элементы на отм.",A1)))</formula>
    </cfRule>
    <cfRule type="containsText" dxfId="143" priority="13" stopIfTrue="1" operator="containsText" text=", на ">
      <formula>NOT(ISERROR(SEARCH(", на ",A1)))</formula>
    </cfRule>
    <cfRule type="containsText" dxfId="142" priority="14" stopIfTrue="1" operator="containsText" text="шт.)">
      <formula>NOT(ISERROR(SEARCH("шт.)",A1)))</formula>
    </cfRule>
  </conditionalFormatting>
  <pageMargins left="0" right="0" top="0" bottom="0" header="0" footer="0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>
    <tabColor theme="7" tint="0.39997558519241921"/>
  </sheetPr>
  <dimension ref="A1:U43"/>
  <sheetViews>
    <sheetView topLeftCell="A16" zoomScale="85" zoomScaleNormal="85" workbookViewId="0">
      <selection sqref="A1:A2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5.75" x14ac:dyDescent="0.25">
      <c r="A1" s="102" t="s">
        <v>3019</v>
      </c>
      <c r="B1" s="96" t="s">
        <v>2903</v>
      </c>
      <c r="C1" s="96" t="s">
        <v>2904</v>
      </c>
      <c r="D1" s="96" t="s">
        <v>2905</v>
      </c>
      <c r="E1" s="96" t="s">
        <v>3018</v>
      </c>
      <c r="F1" s="96" t="s">
        <v>3017</v>
      </c>
      <c r="G1" s="96" t="s">
        <v>3016</v>
      </c>
      <c r="H1" s="98" t="s">
        <v>3015</v>
      </c>
      <c r="I1" s="99"/>
      <c r="J1" s="100"/>
      <c r="K1" s="98" t="s">
        <v>2913</v>
      </c>
      <c r="L1" s="99"/>
      <c r="M1" s="99"/>
      <c r="N1" s="99"/>
      <c r="O1" s="99"/>
      <c r="P1" s="99"/>
      <c r="Q1" s="100"/>
      <c r="R1" s="96" t="s">
        <v>3014</v>
      </c>
      <c r="S1" s="98" t="s">
        <v>3013</v>
      </c>
      <c r="T1" s="99"/>
      <c r="U1" s="101"/>
    </row>
    <row r="2" spans="1:21" ht="63" x14ac:dyDescent="0.25">
      <c r="A2" s="103"/>
      <c r="B2" s="97"/>
      <c r="C2" s="97"/>
      <c r="D2" s="97"/>
      <c r="E2" s="97"/>
      <c r="F2" s="97"/>
      <c r="G2" s="97"/>
      <c r="H2" s="80" t="s">
        <v>3012</v>
      </c>
      <c r="I2" s="80" t="s">
        <v>3011</v>
      </c>
      <c r="J2" s="80" t="s">
        <v>3010</v>
      </c>
      <c r="K2" s="80" t="s">
        <v>3009</v>
      </c>
      <c r="L2" s="80" t="s">
        <v>3008</v>
      </c>
      <c r="M2" s="80" t="s">
        <v>3007</v>
      </c>
      <c r="N2" s="80" t="s">
        <v>3006</v>
      </c>
      <c r="O2" s="80" t="s">
        <v>3005</v>
      </c>
      <c r="P2" s="80" t="s">
        <v>3004</v>
      </c>
      <c r="Q2" s="80" t="s">
        <v>3003</v>
      </c>
      <c r="R2" s="97"/>
      <c r="S2" s="80" t="s">
        <v>3002</v>
      </c>
      <c r="T2" s="80" t="s">
        <v>3001</v>
      </c>
      <c r="U2" s="82" t="s">
        <v>3000</v>
      </c>
    </row>
    <row r="3" spans="1:21" ht="15.75" x14ac:dyDescent="0.25">
      <c r="A3" s="49" t="str">
        <f t="shared" ref="A3:A13" si="0">A4</f>
        <v>Бм1</v>
      </c>
      <c r="B3" s="48" t="s">
        <v>2979</v>
      </c>
      <c r="C3" s="48"/>
      <c r="D3" s="48" t="s">
        <v>3236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7"/>
    </row>
    <row r="4" spans="1:21" ht="31.5" x14ac:dyDescent="0.25">
      <c r="A4" s="49" t="str">
        <f t="shared" si="0"/>
        <v>Бм1</v>
      </c>
      <c r="B4" s="48" t="s">
        <v>2979</v>
      </c>
      <c r="C4" s="48"/>
      <c r="D4" s="48" t="s">
        <v>3266</v>
      </c>
      <c r="E4" s="48">
        <v>105</v>
      </c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7"/>
    </row>
    <row r="5" spans="1:21" ht="31.5" x14ac:dyDescent="0.25">
      <c r="A5" s="49" t="str">
        <f t="shared" si="0"/>
        <v>Бм1</v>
      </c>
      <c r="B5" s="48" t="s">
        <v>2979</v>
      </c>
      <c r="C5" s="48"/>
      <c r="D5" s="48" t="s">
        <v>3265</v>
      </c>
      <c r="E5" s="48">
        <v>50</v>
      </c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7"/>
    </row>
    <row r="6" spans="1:21" ht="31.5" x14ac:dyDescent="0.25">
      <c r="A6" s="49" t="str">
        <f t="shared" si="0"/>
        <v>Бм1</v>
      </c>
      <c r="B6" s="48" t="s">
        <v>2979</v>
      </c>
      <c r="C6" s="48"/>
      <c r="D6" s="48" t="s">
        <v>3264</v>
      </c>
      <c r="E6" s="48">
        <v>60</v>
      </c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7"/>
    </row>
    <row r="7" spans="1:21" ht="15.75" x14ac:dyDescent="0.25">
      <c r="A7" s="49" t="str">
        <f t="shared" si="0"/>
        <v>Бм1</v>
      </c>
      <c r="B7" s="48" t="s">
        <v>2979</v>
      </c>
      <c r="C7" s="48" t="s">
        <v>3098</v>
      </c>
      <c r="D7" s="48" t="s">
        <v>3235</v>
      </c>
      <c r="E7" s="48">
        <f>E8*E9*E10/(1000*1000*1000)</f>
        <v>6.02</v>
      </c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7"/>
    </row>
    <row r="8" spans="1:21" ht="15.75" x14ac:dyDescent="0.25">
      <c r="A8" s="49" t="str">
        <f t="shared" si="0"/>
        <v>Бм1</v>
      </c>
      <c r="B8" s="48" t="s">
        <v>2979</v>
      </c>
      <c r="C8" s="48"/>
      <c r="D8" s="48" t="s">
        <v>3012</v>
      </c>
      <c r="E8" s="48">
        <v>30100</v>
      </c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7"/>
    </row>
    <row r="9" spans="1:21" ht="15.75" x14ac:dyDescent="0.25">
      <c r="A9" s="49" t="str">
        <f t="shared" si="0"/>
        <v>Бм1</v>
      </c>
      <c r="B9" s="48" t="s">
        <v>2979</v>
      </c>
      <c r="C9" s="48"/>
      <c r="D9" s="48" t="s">
        <v>3263</v>
      </c>
      <c r="E9" s="48">
        <v>500</v>
      </c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7"/>
    </row>
    <row r="10" spans="1:21" ht="15.75" x14ac:dyDescent="0.25">
      <c r="A10" s="49" t="str">
        <f t="shared" si="0"/>
        <v>Бм1</v>
      </c>
      <c r="B10" s="48" t="s">
        <v>2979</v>
      </c>
      <c r="C10" s="48"/>
      <c r="D10" s="48" t="s">
        <v>3262</v>
      </c>
      <c r="E10" s="48">
        <v>400</v>
      </c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7"/>
    </row>
    <row r="11" spans="1:21" ht="15.75" x14ac:dyDescent="0.25">
      <c r="A11" s="49" t="str">
        <f t="shared" si="0"/>
        <v>Бм1</v>
      </c>
      <c r="B11" s="48" t="s">
        <v>2979</v>
      </c>
      <c r="C11" s="48" t="s">
        <v>3261</v>
      </c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7"/>
    </row>
    <row r="12" spans="1:21" ht="15.75" x14ac:dyDescent="0.25">
      <c r="A12" s="49" t="str">
        <f t="shared" si="0"/>
        <v>Бм1</v>
      </c>
      <c r="B12" s="48" t="s">
        <v>2979</v>
      </c>
      <c r="C12" s="48" t="s">
        <v>3260</v>
      </c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7"/>
    </row>
    <row r="13" spans="1:21" ht="15.75" x14ac:dyDescent="0.25">
      <c r="A13" s="49" t="str">
        <f t="shared" si="0"/>
        <v>Бм1</v>
      </c>
      <c r="B13" s="48" t="s">
        <v>2979</v>
      </c>
      <c r="C13" s="48" t="s">
        <v>3259</v>
      </c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7"/>
    </row>
    <row r="14" spans="1:21" ht="15.75" x14ac:dyDescent="0.25">
      <c r="A14" s="46" t="str">
        <f>B14</f>
        <v>Бм1</v>
      </c>
      <c r="B14" s="45" t="s">
        <v>3270</v>
      </c>
      <c r="C14" s="45"/>
      <c r="D14" s="45" t="s">
        <v>3269</v>
      </c>
      <c r="E14" s="45">
        <v>1</v>
      </c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4"/>
    </row>
    <row r="15" spans="1:21" ht="15.75" x14ac:dyDescent="0.25">
      <c r="A15" s="81" t="str">
        <f t="shared" ref="A15:A20" si="1">A14</f>
        <v>Бм1</v>
      </c>
      <c r="B15" s="80"/>
      <c r="C15" s="53" t="s">
        <v>3081</v>
      </c>
      <c r="D15" s="53" t="s">
        <v>3229</v>
      </c>
      <c r="E15" s="53">
        <f>E7/1.15</f>
        <v>5.2347826086956522</v>
      </c>
      <c r="F15" s="48" t="s">
        <v>4</v>
      </c>
      <c r="G15" s="80" t="s">
        <v>3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2"/>
    </row>
    <row r="16" spans="1:21" ht="31.5" x14ac:dyDescent="0.25">
      <c r="A16" s="81" t="str">
        <f t="shared" si="1"/>
        <v>Бм1</v>
      </c>
      <c r="B16" s="80">
        <v>1</v>
      </c>
      <c r="C16" s="80" t="s">
        <v>3066</v>
      </c>
      <c r="D16" s="80" t="s">
        <v>3256</v>
      </c>
      <c r="E16" s="80">
        <v>4</v>
      </c>
      <c r="F16" s="48">
        <v>1.5780000000000001</v>
      </c>
      <c r="G16" s="80" t="s">
        <v>20</v>
      </c>
      <c r="H16" s="80">
        <f>34020</f>
        <v>34020</v>
      </c>
      <c r="I16" s="80">
        <v>16</v>
      </c>
      <c r="J16" s="80" t="s">
        <v>2</v>
      </c>
      <c r="K16" s="80"/>
      <c r="L16" s="80"/>
      <c r="M16" s="80"/>
      <c r="N16" s="80"/>
      <c r="O16" s="80"/>
      <c r="P16" s="80"/>
      <c r="Q16" s="80"/>
      <c r="R16" s="80"/>
      <c r="S16" s="80">
        <v>790</v>
      </c>
      <c r="T16" s="80">
        <v>945</v>
      </c>
      <c r="U16" s="82">
        <v>40</v>
      </c>
    </row>
    <row r="17" spans="1:21" ht="31.5" x14ac:dyDescent="0.25">
      <c r="A17" s="81" t="str">
        <f t="shared" si="1"/>
        <v>Бм1</v>
      </c>
      <c r="B17" s="80">
        <v>2</v>
      </c>
      <c r="C17" s="80" t="s">
        <v>3066</v>
      </c>
      <c r="D17" s="80" t="s">
        <v>3255</v>
      </c>
      <c r="E17" s="80">
        <v>4</v>
      </c>
      <c r="F17" s="48">
        <v>2.4660000000000002</v>
      </c>
      <c r="G17" s="80" t="s">
        <v>20</v>
      </c>
      <c r="H17" s="80">
        <f>30100</f>
        <v>30100</v>
      </c>
      <c r="I17" s="80">
        <v>20</v>
      </c>
      <c r="J17" s="80" t="s">
        <v>2</v>
      </c>
      <c r="K17" s="80"/>
      <c r="L17" s="80"/>
      <c r="M17" s="80"/>
      <c r="N17" s="80"/>
      <c r="O17" s="80"/>
      <c r="P17" s="80"/>
      <c r="Q17" s="80"/>
      <c r="R17" s="80"/>
      <c r="S17" s="80">
        <v>985</v>
      </c>
      <c r="T17" s="80">
        <v>1180</v>
      </c>
      <c r="U17" s="82">
        <v>80</v>
      </c>
    </row>
    <row r="18" spans="1:21" ht="31.5" x14ac:dyDescent="0.25">
      <c r="A18" s="81" t="str">
        <f t="shared" si="1"/>
        <v>Бм1</v>
      </c>
      <c r="B18" s="80">
        <v>3</v>
      </c>
      <c r="C18" s="80" t="s">
        <v>3066</v>
      </c>
      <c r="D18" s="80" t="s">
        <v>3254</v>
      </c>
      <c r="E18" s="80">
        <v>4</v>
      </c>
      <c r="F18" s="48">
        <v>2.984</v>
      </c>
      <c r="G18" s="80" t="s">
        <v>20</v>
      </c>
      <c r="H18" s="80">
        <f>30930</f>
        <v>30930</v>
      </c>
      <c r="I18" s="80">
        <v>22</v>
      </c>
      <c r="J18" s="80" t="s">
        <v>2</v>
      </c>
      <c r="K18" s="80"/>
      <c r="L18" s="80"/>
      <c r="M18" s="80"/>
      <c r="N18" s="80"/>
      <c r="O18" s="80"/>
      <c r="P18" s="80"/>
      <c r="Q18" s="80"/>
      <c r="R18" s="80"/>
      <c r="S18" s="80">
        <v>1085</v>
      </c>
      <c r="T18" s="80">
        <v>1300</v>
      </c>
      <c r="U18" s="82">
        <v>88</v>
      </c>
    </row>
    <row r="19" spans="1:21" ht="31.5" x14ac:dyDescent="0.25">
      <c r="A19" s="81" t="str">
        <f t="shared" si="1"/>
        <v>Бм1</v>
      </c>
      <c r="B19" s="80">
        <v>4</v>
      </c>
      <c r="C19" s="80" t="s">
        <v>3066</v>
      </c>
      <c r="D19" s="80" t="s">
        <v>3251</v>
      </c>
      <c r="E19" s="80">
        <v>2</v>
      </c>
      <c r="F19" s="48">
        <v>1.5780000000000001</v>
      </c>
      <c r="G19" s="80"/>
      <c r="H19" s="80">
        <f>5300</f>
        <v>5300</v>
      </c>
      <c r="I19" s="80">
        <v>16</v>
      </c>
      <c r="J19" s="80" t="s">
        <v>2</v>
      </c>
      <c r="K19" s="80"/>
      <c r="L19" s="80"/>
      <c r="M19" s="80"/>
      <c r="N19" s="80"/>
      <c r="O19" s="80"/>
      <c r="P19" s="80"/>
      <c r="Q19" s="80"/>
      <c r="R19" s="80"/>
      <c r="S19" s="80">
        <v>790</v>
      </c>
      <c r="T19" s="80">
        <v>945</v>
      </c>
      <c r="U19" s="82">
        <v>40</v>
      </c>
    </row>
    <row r="20" spans="1:21" ht="31.5" x14ac:dyDescent="0.25">
      <c r="A20" s="81" t="str">
        <f t="shared" si="1"/>
        <v>Бм1</v>
      </c>
      <c r="B20" s="80">
        <v>5</v>
      </c>
      <c r="C20" s="80" t="s">
        <v>3066</v>
      </c>
      <c r="D20" s="80" t="s">
        <v>3268</v>
      </c>
      <c r="E20" s="80">
        <v>2</v>
      </c>
      <c r="F20" s="48">
        <v>0.61599999999999999</v>
      </c>
      <c r="G20" s="80" t="s">
        <v>20</v>
      </c>
      <c r="H20" s="80">
        <f>Арм_Длина_ПМ(31100,T18)</f>
        <v>35000</v>
      </c>
      <c r="I20" s="80">
        <v>10</v>
      </c>
      <c r="J20" s="80" t="s">
        <v>2</v>
      </c>
      <c r="K20" s="80"/>
      <c r="L20" s="80"/>
      <c r="M20" s="80"/>
      <c r="N20" s="80"/>
      <c r="O20" s="80"/>
      <c r="P20" s="80"/>
      <c r="Q20" s="80"/>
      <c r="R20" s="80"/>
      <c r="S20" s="80">
        <v>495</v>
      </c>
      <c r="T20" s="80">
        <v>590</v>
      </c>
      <c r="U20" s="82">
        <v>25</v>
      </c>
    </row>
    <row r="21" spans="1:21" ht="15.75" x14ac:dyDescent="0.25">
      <c r="A21" s="81" t="str">
        <f>A19</f>
        <v>Бм1</v>
      </c>
      <c r="B21" s="80">
        <v>6</v>
      </c>
      <c r="C21" s="80" t="s">
        <v>3066</v>
      </c>
      <c r="D21" s="80" t="s">
        <v>3267</v>
      </c>
      <c r="E21" s="80">
        <v>72</v>
      </c>
      <c r="F21" s="48">
        <v>0.222</v>
      </c>
      <c r="G21" s="80" t="s">
        <v>0</v>
      </c>
      <c r="H21" s="80">
        <f>625</f>
        <v>625</v>
      </c>
      <c r="I21" s="80">
        <v>6</v>
      </c>
      <c r="J21" s="80" t="s">
        <v>1</v>
      </c>
      <c r="K21" s="80"/>
      <c r="L21" s="80"/>
      <c r="M21" s="80"/>
      <c r="N21" s="80"/>
      <c r="O21" s="80"/>
      <c r="P21" s="80"/>
      <c r="Q21" s="80"/>
      <c r="R21" s="80"/>
      <c r="S21" s="80">
        <v>200</v>
      </c>
      <c r="T21" s="80">
        <v>250</v>
      </c>
      <c r="U21" s="82">
        <v>7.5</v>
      </c>
    </row>
    <row r="22" spans="1:21" ht="15.75" x14ac:dyDescent="0.25">
      <c r="A22" s="81" t="str">
        <f>A21</f>
        <v>Бм1</v>
      </c>
      <c r="B22" s="80">
        <v>7</v>
      </c>
      <c r="C22" s="80" t="s">
        <v>3066</v>
      </c>
      <c r="D22" s="80" t="s">
        <v>3253</v>
      </c>
      <c r="E22" s="80">
        <v>440</v>
      </c>
      <c r="F22" s="48">
        <v>0.39500000000000002</v>
      </c>
      <c r="G22" s="80" t="s">
        <v>0</v>
      </c>
      <c r="H22" s="80">
        <f>1910</f>
        <v>1910</v>
      </c>
      <c r="I22" s="80">
        <v>8</v>
      </c>
      <c r="J22" s="80" t="s">
        <v>1</v>
      </c>
      <c r="K22" s="80"/>
      <c r="L22" s="80"/>
      <c r="M22" s="80"/>
      <c r="N22" s="80"/>
      <c r="O22" s="80"/>
      <c r="P22" s="80"/>
      <c r="Q22" s="80"/>
      <c r="R22" s="80"/>
      <c r="S22" s="80">
        <v>200</v>
      </c>
      <c r="T22" s="80">
        <v>250</v>
      </c>
      <c r="U22" s="82">
        <v>10</v>
      </c>
    </row>
    <row r="23" spans="1:21" ht="15.75" x14ac:dyDescent="0.25">
      <c r="A23" s="81" t="str">
        <f>A22</f>
        <v>Бм1</v>
      </c>
      <c r="B23" s="80">
        <v>5</v>
      </c>
      <c r="C23" s="80" t="s">
        <v>3066</v>
      </c>
      <c r="D23" s="80" t="s">
        <v>3252</v>
      </c>
      <c r="E23" s="80">
        <v>8</v>
      </c>
      <c r="F23" s="48">
        <v>0.39500000000000002</v>
      </c>
      <c r="G23" s="80" t="s">
        <v>0</v>
      </c>
      <c r="H23" s="80">
        <f>1840</f>
        <v>1840</v>
      </c>
      <c r="I23" s="80">
        <v>8</v>
      </c>
      <c r="J23" s="80" t="s">
        <v>1</v>
      </c>
      <c r="K23" s="80"/>
      <c r="L23" s="80"/>
      <c r="M23" s="80"/>
      <c r="N23" s="80"/>
      <c r="O23" s="80"/>
      <c r="P23" s="80"/>
      <c r="Q23" s="80"/>
      <c r="R23" s="80"/>
      <c r="S23" s="80">
        <v>200</v>
      </c>
      <c r="T23" s="80">
        <v>250</v>
      </c>
      <c r="U23" s="82">
        <v>10</v>
      </c>
    </row>
    <row r="24" spans="1:21" ht="15.75" x14ac:dyDescent="0.25">
      <c r="A24" s="81" t="str">
        <f>A22</f>
        <v>Бм1</v>
      </c>
      <c r="B24" s="55"/>
      <c r="C24" s="55" t="s">
        <v>3181</v>
      </c>
      <c r="D24" s="55" t="s">
        <v>3250</v>
      </c>
      <c r="E24" s="55">
        <v>16</v>
      </c>
      <c r="F24" s="48">
        <v>157</v>
      </c>
      <c r="G24" s="80"/>
      <c r="H24" s="80"/>
      <c r="I24" s="80"/>
      <c r="J24" s="80"/>
      <c r="K24" s="48">
        <v>10000</v>
      </c>
      <c r="L24" s="80" t="s">
        <v>2850</v>
      </c>
      <c r="M24" s="80" t="s">
        <v>2870</v>
      </c>
      <c r="N24" s="80"/>
      <c r="O24" s="80" t="s">
        <v>5</v>
      </c>
      <c r="P24" s="80"/>
      <c r="Q24" s="80"/>
      <c r="R24" s="80"/>
      <c r="S24" s="80"/>
      <c r="T24" s="80"/>
      <c r="U24" s="82"/>
    </row>
    <row r="25" spans="1:21" ht="31.5" x14ac:dyDescent="0.25">
      <c r="A25" s="49" t="str">
        <f t="shared" ref="A25:A34" si="2">A26</f>
        <v>Бм2</v>
      </c>
      <c r="B25" s="48" t="s">
        <v>2979</v>
      </c>
      <c r="C25" s="48"/>
      <c r="D25" s="48" t="s">
        <v>3266</v>
      </c>
      <c r="E25" s="48">
        <v>90</v>
      </c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7"/>
    </row>
    <row r="26" spans="1:21" ht="31.5" x14ac:dyDescent="0.25">
      <c r="A26" s="49" t="str">
        <f t="shared" si="2"/>
        <v>Бм2</v>
      </c>
      <c r="B26" s="48" t="s">
        <v>2979</v>
      </c>
      <c r="C26" s="48"/>
      <c r="D26" s="48" t="s">
        <v>3265</v>
      </c>
      <c r="E26" s="48">
        <v>50</v>
      </c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7"/>
    </row>
    <row r="27" spans="1:21" ht="31.5" x14ac:dyDescent="0.25">
      <c r="A27" s="49" t="str">
        <f t="shared" si="2"/>
        <v>Бм2</v>
      </c>
      <c r="B27" s="48" t="s">
        <v>2979</v>
      </c>
      <c r="C27" s="48"/>
      <c r="D27" s="48" t="s">
        <v>3264</v>
      </c>
      <c r="E27" s="48">
        <v>60</v>
      </c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7"/>
    </row>
    <row r="28" spans="1:21" ht="15.75" x14ac:dyDescent="0.25">
      <c r="A28" s="49" t="str">
        <f t="shared" si="2"/>
        <v>Бм2</v>
      </c>
      <c r="B28" s="48" t="s">
        <v>2979</v>
      </c>
      <c r="C28" s="48" t="s">
        <v>3098</v>
      </c>
      <c r="D28" s="48" t="s">
        <v>3235</v>
      </c>
      <c r="E28" s="48">
        <f>E29*E30*E31/(1000*1000*1000)</f>
        <v>1.75</v>
      </c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7"/>
    </row>
    <row r="29" spans="1:21" ht="15.75" x14ac:dyDescent="0.25">
      <c r="A29" s="49" t="str">
        <f t="shared" si="2"/>
        <v>Бм2</v>
      </c>
      <c r="B29" s="48" t="s">
        <v>2979</v>
      </c>
      <c r="C29" s="48"/>
      <c r="D29" s="48" t="s">
        <v>3012</v>
      </c>
      <c r="E29" s="48">
        <f>8750*2</f>
        <v>17500</v>
      </c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7"/>
    </row>
    <row r="30" spans="1:21" ht="15.75" x14ac:dyDescent="0.25">
      <c r="A30" s="49" t="str">
        <f t="shared" si="2"/>
        <v>Бм2</v>
      </c>
      <c r="B30" s="48" t="s">
        <v>2979</v>
      </c>
      <c r="C30" s="48"/>
      <c r="D30" s="48" t="s">
        <v>3263</v>
      </c>
      <c r="E30" s="48">
        <v>500</v>
      </c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7"/>
    </row>
    <row r="31" spans="1:21" ht="15.75" x14ac:dyDescent="0.25">
      <c r="A31" s="49" t="str">
        <f t="shared" si="2"/>
        <v>Бм2</v>
      </c>
      <c r="B31" s="48" t="s">
        <v>2979</v>
      </c>
      <c r="C31" s="48"/>
      <c r="D31" s="48" t="s">
        <v>3262</v>
      </c>
      <c r="E31" s="48">
        <v>200</v>
      </c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7"/>
    </row>
    <row r="32" spans="1:21" ht="15.75" x14ac:dyDescent="0.25">
      <c r="A32" s="49" t="str">
        <f t="shared" si="2"/>
        <v>Бм2</v>
      </c>
      <c r="B32" s="48" t="s">
        <v>2979</v>
      </c>
      <c r="C32" s="48" t="s">
        <v>3261</v>
      </c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7"/>
    </row>
    <row r="33" spans="1:21" ht="15.75" x14ac:dyDescent="0.25">
      <c r="A33" s="49" t="str">
        <f t="shared" si="2"/>
        <v>Бм2</v>
      </c>
      <c r="B33" s="48" t="s">
        <v>2979</v>
      </c>
      <c r="C33" s="48" t="s">
        <v>3260</v>
      </c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7"/>
    </row>
    <row r="34" spans="1:21" ht="15.75" x14ac:dyDescent="0.25">
      <c r="A34" s="49" t="str">
        <f t="shared" si="2"/>
        <v>Бм2</v>
      </c>
      <c r="B34" s="48" t="s">
        <v>2979</v>
      </c>
      <c r="C34" s="48" t="s">
        <v>3259</v>
      </c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7"/>
    </row>
    <row r="35" spans="1:21" ht="15.75" x14ac:dyDescent="0.25">
      <c r="A35" s="46" t="str">
        <f>B35</f>
        <v>Бм2</v>
      </c>
      <c r="B35" s="45" t="s">
        <v>3258</v>
      </c>
      <c r="C35" s="45"/>
      <c r="D35" s="45" t="s">
        <v>3257</v>
      </c>
      <c r="E35" s="45">
        <v>2</v>
      </c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4"/>
    </row>
    <row r="36" spans="1:21" ht="15.75" x14ac:dyDescent="0.25">
      <c r="A36" s="81" t="str">
        <f t="shared" ref="A36:A41" si="3">A35</f>
        <v>Бм2</v>
      </c>
      <c r="B36" s="80"/>
      <c r="C36" s="53" t="s">
        <v>3081</v>
      </c>
      <c r="D36" s="53" t="s">
        <v>3229</v>
      </c>
      <c r="E36" s="53">
        <f>E28/1.15</f>
        <v>1.5217391304347827</v>
      </c>
      <c r="F36" s="48" t="s">
        <v>4</v>
      </c>
      <c r="G36" s="80" t="s">
        <v>3</v>
      </c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2"/>
    </row>
    <row r="37" spans="1:21" ht="31.5" x14ac:dyDescent="0.25">
      <c r="A37" s="81" t="str">
        <f t="shared" si="3"/>
        <v>Бм2</v>
      </c>
      <c r="B37" s="80">
        <v>1</v>
      </c>
      <c r="C37" s="80" t="s">
        <v>3066</v>
      </c>
      <c r="D37" s="80" t="s">
        <v>3256</v>
      </c>
      <c r="E37" s="80">
        <v>4</v>
      </c>
      <c r="F37" s="48">
        <v>1.5780000000000001</v>
      </c>
      <c r="G37" s="80" t="s">
        <v>20</v>
      </c>
      <c r="H37" s="80">
        <f>Арм_Длина_ПМ(21100,T37)</f>
        <v>22560</v>
      </c>
      <c r="I37" s="80">
        <v>16</v>
      </c>
      <c r="J37" s="80" t="s">
        <v>2</v>
      </c>
      <c r="K37" s="80"/>
      <c r="L37" s="80"/>
      <c r="M37" s="80"/>
      <c r="N37" s="80"/>
      <c r="O37" s="80"/>
      <c r="P37" s="80"/>
      <c r="Q37" s="80"/>
      <c r="R37" s="80"/>
      <c r="S37" s="80">
        <v>605</v>
      </c>
      <c r="T37" s="80">
        <v>730</v>
      </c>
      <c r="U37" s="82">
        <v>40</v>
      </c>
    </row>
    <row r="38" spans="1:21" ht="31.5" x14ac:dyDescent="0.25">
      <c r="A38" s="81" t="str">
        <f t="shared" si="3"/>
        <v>Бм2</v>
      </c>
      <c r="B38" s="80">
        <v>2</v>
      </c>
      <c r="C38" s="80" t="s">
        <v>3066</v>
      </c>
      <c r="D38" s="80" t="s">
        <v>3255</v>
      </c>
      <c r="E38" s="80">
        <v>4</v>
      </c>
      <c r="F38" s="48">
        <v>2.4660000000000002</v>
      </c>
      <c r="G38" s="80" t="s">
        <v>20</v>
      </c>
      <c r="H38" s="80">
        <f>18880</f>
        <v>18880</v>
      </c>
      <c r="I38" s="80">
        <v>20</v>
      </c>
      <c r="J38" s="80" t="s">
        <v>2</v>
      </c>
      <c r="K38" s="80"/>
      <c r="L38" s="80"/>
      <c r="M38" s="80"/>
      <c r="N38" s="80"/>
      <c r="O38" s="80"/>
      <c r="P38" s="80"/>
      <c r="Q38" s="80"/>
      <c r="R38" s="80"/>
      <c r="S38" s="80">
        <v>760</v>
      </c>
      <c r="T38" s="80">
        <v>910</v>
      </c>
      <c r="U38" s="82">
        <v>80</v>
      </c>
    </row>
    <row r="39" spans="1:21" ht="31.5" x14ac:dyDescent="0.25">
      <c r="A39" s="81" t="str">
        <f t="shared" si="3"/>
        <v>Бм2</v>
      </c>
      <c r="B39" s="80">
        <v>3</v>
      </c>
      <c r="C39" s="80" t="s">
        <v>3066</v>
      </c>
      <c r="D39" s="80" t="s">
        <v>3254</v>
      </c>
      <c r="E39" s="80">
        <v>4</v>
      </c>
      <c r="F39" s="48">
        <v>2.984</v>
      </c>
      <c r="G39" s="80" t="s">
        <v>20</v>
      </c>
      <c r="H39" s="80">
        <f>18880</f>
        <v>18880</v>
      </c>
      <c r="I39" s="80">
        <v>22</v>
      </c>
      <c r="J39" s="80" t="s">
        <v>2</v>
      </c>
      <c r="K39" s="80"/>
      <c r="L39" s="80"/>
      <c r="M39" s="80"/>
      <c r="N39" s="80"/>
      <c r="O39" s="80"/>
      <c r="P39" s="80"/>
      <c r="Q39" s="80"/>
      <c r="R39" s="80"/>
      <c r="S39" s="80">
        <v>835</v>
      </c>
      <c r="T39" s="80">
        <v>1000</v>
      </c>
      <c r="U39" s="82">
        <v>88</v>
      </c>
    </row>
    <row r="40" spans="1:21" ht="15.75" x14ac:dyDescent="0.25">
      <c r="A40" s="81" t="str">
        <f t="shared" si="3"/>
        <v>Бм2</v>
      </c>
      <c r="B40" s="80">
        <v>4</v>
      </c>
      <c r="C40" s="80" t="s">
        <v>3066</v>
      </c>
      <c r="D40" s="80" t="s">
        <v>3253</v>
      </c>
      <c r="E40" s="80">
        <v>268</v>
      </c>
      <c r="F40" s="48">
        <v>0.39500000000000002</v>
      </c>
      <c r="G40" s="80" t="s">
        <v>0</v>
      </c>
      <c r="H40" s="80">
        <f>1540</f>
        <v>1540</v>
      </c>
      <c r="I40" s="80">
        <v>8</v>
      </c>
      <c r="J40" s="80" t="s">
        <v>1</v>
      </c>
      <c r="K40" s="80"/>
      <c r="L40" s="80"/>
      <c r="M40" s="80"/>
      <c r="N40" s="80"/>
      <c r="O40" s="80"/>
      <c r="P40" s="80"/>
      <c r="Q40" s="80"/>
      <c r="R40" s="80"/>
      <c r="S40" s="80">
        <v>200</v>
      </c>
      <c r="T40" s="80">
        <v>250</v>
      </c>
      <c r="U40" s="82">
        <v>10</v>
      </c>
    </row>
    <row r="41" spans="1:21" ht="15.75" x14ac:dyDescent="0.25">
      <c r="A41" s="81" t="str">
        <f t="shared" si="3"/>
        <v>Бм2</v>
      </c>
      <c r="B41" s="80">
        <v>5</v>
      </c>
      <c r="C41" s="80" t="s">
        <v>3066</v>
      </c>
      <c r="D41" s="80" t="s">
        <v>3252</v>
      </c>
      <c r="E41" s="80">
        <v>8</v>
      </c>
      <c r="F41" s="48">
        <v>0.39500000000000002</v>
      </c>
      <c r="G41" s="80" t="s">
        <v>0</v>
      </c>
      <c r="H41" s="80">
        <f>1840</f>
        <v>1840</v>
      </c>
      <c r="I41" s="80">
        <v>8</v>
      </c>
      <c r="J41" s="80" t="s">
        <v>1</v>
      </c>
      <c r="K41" s="80"/>
      <c r="L41" s="80"/>
      <c r="M41" s="80"/>
      <c r="N41" s="80"/>
      <c r="O41" s="80"/>
      <c r="P41" s="80"/>
      <c r="Q41" s="80"/>
      <c r="R41" s="80"/>
      <c r="S41" s="80">
        <v>200</v>
      </c>
      <c r="T41" s="80">
        <v>250</v>
      </c>
      <c r="U41" s="82">
        <v>10</v>
      </c>
    </row>
    <row r="42" spans="1:21" ht="31.5" x14ac:dyDescent="0.25">
      <c r="A42" s="81" t="str">
        <f>A40</f>
        <v>Бм2</v>
      </c>
      <c r="B42" s="80">
        <v>5</v>
      </c>
      <c r="C42" s="80" t="s">
        <v>3066</v>
      </c>
      <c r="D42" s="80" t="s">
        <v>3251</v>
      </c>
      <c r="E42" s="80">
        <v>2</v>
      </c>
      <c r="F42" s="48">
        <v>1.5780000000000001</v>
      </c>
      <c r="G42" s="79"/>
      <c r="H42" s="80">
        <f>6340</f>
        <v>6340</v>
      </c>
      <c r="I42" s="80">
        <v>16</v>
      </c>
      <c r="J42" s="80" t="s">
        <v>2</v>
      </c>
      <c r="K42" s="80"/>
      <c r="L42" s="80"/>
      <c r="M42" s="80"/>
      <c r="N42" s="80"/>
      <c r="O42" s="80"/>
      <c r="P42" s="80"/>
      <c r="Q42" s="80"/>
      <c r="R42" s="80"/>
      <c r="S42" s="80">
        <v>605</v>
      </c>
      <c r="T42" s="80">
        <v>730</v>
      </c>
      <c r="U42" s="82">
        <v>40</v>
      </c>
    </row>
    <row r="43" spans="1:21" ht="16.5" thickBot="1" x14ac:dyDescent="0.3">
      <c r="A43" s="83" t="str">
        <f>A42</f>
        <v>Бм2</v>
      </c>
      <c r="B43" s="54"/>
      <c r="C43" s="54" t="s">
        <v>3181</v>
      </c>
      <c r="D43" s="54" t="s">
        <v>3250</v>
      </c>
      <c r="E43" s="54">
        <v>16</v>
      </c>
      <c r="F43" s="50">
        <v>157</v>
      </c>
      <c r="G43" s="84"/>
      <c r="H43" s="84"/>
      <c r="I43" s="84"/>
      <c r="J43" s="84"/>
      <c r="K43" s="50">
        <v>10000</v>
      </c>
      <c r="L43" s="84" t="s">
        <v>2850</v>
      </c>
      <c r="M43" s="84" t="s">
        <v>2870</v>
      </c>
      <c r="N43" s="84"/>
      <c r="O43" s="84" t="s">
        <v>5</v>
      </c>
      <c r="P43" s="84"/>
      <c r="Q43" s="84"/>
      <c r="R43" s="84"/>
      <c r="S43" s="84"/>
      <c r="T43" s="84"/>
      <c r="U43" s="85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43 H2:Q2 K1 R1:S1 S2:U2">
    <cfRule type="containsText" dxfId="141" priority="15" stopIfTrue="1" operator="containsText" text="шт.)">
      <formula>NOT(ISERROR(SEARCH("шт.)",A1)))</formula>
    </cfRule>
    <cfRule type="containsText" dxfId="140" priority="14" stopIfTrue="1" operator="containsText" text=", на ">
      <formula>NOT(ISERROR(SEARCH(", на ",A1)))</formula>
    </cfRule>
    <cfRule type="containsText" dxfId="139" priority="13" stopIfTrue="1" operator="containsText" text="Элементы на отм.">
      <formula>NOT(ISERROR(SEARCH("Элементы на отм.",A1)))</formula>
    </cfRule>
    <cfRule type="containsText" dxfId="138" priority="12" stopIfTrue="1" operator="containsText" text=" Прокат ">
      <formula>NOT(ISERROR(SEARCH(" Прокат ",A1)))</formula>
    </cfRule>
    <cfRule type="containsText" dxfId="137" priority="11" stopIfTrue="1" operator="containsText" text=" Изделия арматурные ">
      <formula>NOT(ISERROR(SEARCH(" Изделия арматурные ",A1)))</formula>
    </cfRule>
    <cfRule type="containsText" dxfId="136" priority="10" stopIfTrue="1" operator="containsText" text=" Материалы ">
      <formula>NOT(ISERROR(SEARCH(" Материалы ",A1)))</formula>
    </cfRule>
    <cfRule type="containsText" dxfId="135" priority="9" stopIfTrue="1" operator="containsText" text=" Изделия ">
      <formula>NOT(ISERROR(SEARCH(" Изделия ",A1)))</formula>
    </cfRule>
    <cfRule type="containsText" dxfId="134" priority="8" stopIfTrue="1" operator="containsText" text=" Сборочные единицы ">
      <formula>NOT(ISERROR(SEARCH(" Сборочные единицы ",A1)))</formula>
    </cfRule>
    <cfRule type="containsText" dxfId="133" priority="7" stopIfTrue="1" operator="containsText" text=" Заполнения проёмов ">
      <formula>NOT(ISERROR(SEARCH(" Заполнения проёмов ",A1)))</formula>
    </cfRule>
    <cfRule type="containsText" dxfId="132" priority="6" stopIfTrue="1" operator="containsText" text=" Сборочные единицы ">
      <formula>NOT(ISERROR(SEARCH(" Сборочные единицы ",A1)))</formula>
    </cfRule>
    <cfRule type="containsText" dxfId="131" priority="5" stopIfTrue="1" operator="containsText" text=" Заполнения проёмов ">
      <formula>NOT(ISERROR(SEARCH(" Заполнения проёмов ",A1)))</formula>
    </cfRule>
    <cfRule type="containsText" dxfId="130" priority="4" stopIfTrue="1" operator="containsText" text="!!!">
      <formula>NOT(ISERROR(SEARCH("!!!",A1)))</formula>
    </cfRule>
    <cfRule type="containsText" dxfId="129" priority="3" stopIfTrue="1" operator="containsText" text="ИЗ ФАЙЛА">
      <formula>NOT(ISERROR(SEARCH("ИЗ ФАЙЛА",A1)))</formula>
    </cfRule>
    <cfRule type="containsText" dxfId="128" priority="2" stopIfTrue="1" operator="containsText" text="С ЛИСТА">
      <formula>NOT(ISERROR(SEARCH("С ЛИСТА",A1)))</formula>
    </cfRule>
  </conditionalFormatting>
  <conditionalFormatting sqref="A1:U1048576">
    <cfRule type="expression" dxfId="127" priority="1">
      <formula>ISERROR(A1)</formula>
    </cfRule>
  </conditionalFormatting>
  <dataValidations count="21">
    <dataValidation type="list" errorStyle="warning" allowBlank="1" showInputMessage="1" showErrorMessage="1" sqref="G3:G43">
      <formula1>#REF!</formula1>
    </dataValidation>
    <dataValidation type="list" allowBlank="1" showInputMessage="1" showErrorMessage="1" sqref="J3:J43">
      <formula1>#REF!</formula1>
    </dataValidation>
    <dataValidation type="list" allowBlank="1" showInputMessage="1" showErrorMessage="1" sqref="L3:L43">
      <formula1>#REF!</formula1>
    </dataValidation>
    <dataValidation type="list" allowBlank="1" showInputMessage="1" showErrorMessage="1" sqref="O3:O43">
      <formula1>#REF!</formula1>
    </dataValidation>
    <dataValidation type="list" allowBlank="1" showInputMessage="1" showErrorMessage="1" sqref="P3:P43">
      <formula1>#REF!</formula1>
    </dataValidation>
    <dataValidation type="list" allowBlank="1" showInputMessage="1" showErrorMessage="1" sqref="I16">
      <formula1>#REF!</formula1>
    </dataValidation>
    <dataValidation type="list" allowBlank="1" showInputMessage="1" showErrorMessage="1" sqref="I17">
      <formula1>#REF!</formula1>
    </dataValidation>
    <dataValidation type="list" allowBlank="1" showInputMessage="1" showErrorMessage="1" sqref="I18">
      <formula1>#REF!</formula1>
    </dataValidation>
    <dataValidation type="list" allowBlank="1" showInputMessage="1" showErrorMessage="1" sqref="I19">
      <formula1>#REF!</formula1>
    </dataValidation>
    <dataValidation type="list" allowBlank="1" showInputMessage="1" showErrorMessage="1" sqref="I20">
      <formula1>#REF!</formula1>
    </dataValidation>
    <dataValidation type="list" allowBlank="1" showInputMessage="1" showErrorMessage="1" sqref="I21">
      <formula1>#REF!</formula1>
    </dataValidation>
    <dataValidation type="list" allowBlank="1" showInputMessage="1" showErrorMessage="1" sqref="I22">
      <formula1>#REF!</formula1>
    </dataValidation>
    <dataValidation type="list" allowBlank="1" showInputMessage="1" showErrorMessage="1" sqref="I23">
      <formula1>#REF!</formula1>
    </dataValidation>
    <dataValidation type="list" allowBlank="1" showInputMessage="1" showErrorMessage="1" sqref="M24">
      <formula1>#REF!</formula1>
    </dataValidation>
    <dataValidation type="list" allowBlank="1" showInputMessage="1" showErrorMessage="1" sqref="I37">
      <formula1>#REF!</formula1>
    </dataValidation>
    <dataValidation type="list" allowBlank="1" showInputMessage="1" showErrorMessage="1" sqref="I38">
      <formula1>#REF!</formula1>
    </dataValidation>
    <dataValidation type="list" allowBlank="1" showInputMessage="1" showErrorMessage="1" sqref="I39">
      <formula1>#REF!</formula1>
    </dataValidation>
    <dataValidation type="list" allowBlank="1" showInputMessage="1" showErrorMessage="1" sqref="I40">
      <formula1>#REF!</formula1>
    </dataValidation>
    <dataValidation type="list" allowBlank="1" showInputMessage="1" showErrorMessage="1" sqref="I41">
      <formula1>#REF!</formula1>
    </dataValidation>
    <dataValidation type="list" allowBlank="1" showInputMessage="1" showErrorMessage="1" sqref="I42">
      <formula1>#REF!</formula1>
    </dataValidation>
    <dataValidation type="list" allowBlank="1" showInputMessage="1" showErrorMessage="1" sqref="M43">
      <formula1>#REF!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  <pageSetUpPr fitToPage="1"/>
  </sheetPr>
  <dimension ref="A1:R25"/>
  <sheetViews>
    <sheetView topLeftCell="A13" workbookViewId="0">
      <selection activeCell="L33" sqref="L33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31.5" x14ac:dyDescent="0.25">
      <c r="A1" s="19" t="s">
        <v>2903</v>
      </c>
      <c r="B1" s="16" t="s">
        <v>2904</v>
      </c>
      <c r="C1" s="16" t="s">
        <v>2905</v>
      </c>
      <c r="D1" s="16" t="s">
        <v>2906</v>
      </c>
      <c r="E1" s="16" t="s">
        <v>2907</v>
      </c>
      <c r="F1" s="17" t="s">
        <v>2908</v>
      </c>
    </row>
    <row r="2" spans="1:6" ht="15.75" x14ac:dyDescent="0.25">
      <c r="A2" s="134" t="s">
        <v>2995</v>
      </c>
      <c r="B2" s="135"/>
      <c r="C2" s="135"/>
      <c r="D2" s="135"/>
      <c r="E2" s="135"/>
      <c r="F2" s="136"/>
    </row>
    <row r="3" spans="1:6" ht="31.5" x14ac:dyDescent="0.25">
      <c r="A3" s="14" t="s">
        <v>2902</v>
      </c>
      <c r="B3" s="137" t="s">
        <v>2991</v>
      </c>
      <c r="C3" s="15" t="s">
        <v>2994</v>
      </c>
      <c r="D3" s="15">
        <v>24</v>
      </c>
      <c r="E3" s="15" t="s">
        <v>4</v>
      </c>
      <c r="F3" s="18" t="s">
        <v>4</v>
      </c>
    </row>
    <row r="4" spans="1:6" ht="31.5" x14ac:dyDescent="0.25">
      <c r="A4" s="14" t="s">
        <v>2902</v>
      </c>
      <c r="B4" s="137"/>
      <c r="C4" s="15" t="s">
        <v>2993</v>
      </c>
      <c r="D4" s="15">
        <v>16</v>
      </c>
      <c r="E4" s="15" t="s">
        <v>4</v>
      </c>
      <c r="F4" s="18" t="s">
        <v>4</v>
      </c>
    </row>
    <row r="5" spans="1:6" ht="31.5" x14ac:dyDescent="0.25">
      <c r="A5" s="14" t="s">
        <v>2902</v>
      </c>
      <c r="B5" s="137"/>
      <c r="C5" s="15" t="s">
        <v>2992</v>
      </c>
      <c r="D5" s="15">
        <v>4</v>
      </c>
      <c r="E5" s="15" t="s">
        <v>4</v>
      </c>
      <c r="F5" s="18" t="s">
        <v>4</v>
      </c>
    </row>
    <row r="6" spans="1:6" ht="31.5" x14ac:dyDescent="0.25">
      <c r="A6" s="14" t="s">
        <v>2902</v>
      </c>
      <c r="B6" s="137"/>
      <c r="C6" s="15" t="s">
        <v>2990</v>
      </c>
      <c r="D6" s="15">
        <v>14.4</v>
      </c>
      <c r="E6" s="15" t="s">
        <v>4</v>
      </c>
      <c r="F6" s="18" t="s">
        <v>20</v>
      </c>
    </row>
    <row r="7" spans="1:6" ht="15.75" x14ac:dyDescent="0.25">
      <c r="A7" s="134" t="s">
        <v>3058</v>
      </c>
      <c r="B7" s="135"/>
      <c r="C7" s="135"/>
      <c r="D7" s="135"/>
      <c r="E7" s="135"/>
      <c r="F7" s="136"/>
    </row>
    <row r="8" spans="1:6" ht="15.75" x14ac:dyDescent="0.25">
      <c r="A8" s="14" t="s">
        <v>2902</v>
      </c>
      <c r="B8" s="15" t="s">
        <v>3057</v>
      </c>
      <c r="C8" s="15" t="s">
        <v>3056</v>
      </c>
      <c r="D8" s="15">
        <v>126.06</v>
      </c>
      <c r="E8" s="15" t="s">
        <v>4</v>
      </c>
      <c r="F8" s="18" t="s">
        <v>2369</v>
      </c>
    </row>
    <row r="9" spans="1:6" ht="31.5" x14ac:dyDescent="0.25">
      <c r="A9" s="14" t="s">
        <v>2902</v>
      </c>
      <c r="B9" s="15" t="s">
        <v>3055</v>
      </c>
      <c r="C9" s="15" t="s">
        <v>3054</v>
      </c>
      <c r="D9" s="15">
        <v>126.06</v>
      </c>
      <c r="E9" s="15" t="s">
        <v>4</v>
      </c>
      <c r="F9" s="18" t="s">
        <v>2369</v>
      </c>
    </row>
    <row r="10" spans="1:6" ht="31.5" x14ac:dyDescent="0.25">
      <c r="A10" s="14" t="s">
        <v>2902</v>
      </c>
      <c r="B10" s="15" t="s">
        <v>3053</v>
      </c>
      <c r="C10" s="15" t="s">
        <v>3052</v>
      </c>
      <c r="D10" s="15">
        <v>126.14</v>
      </c>
      <c r="E10" s="15" t="s">
        <v>4</v>
      </c>
      <c r="F10" s="18" t="s">
        <v>2369</v>
      </c>
    </row>
    <row r="11" spans="1:6" ht="31.5" x14ac:dyDescent="0.25">
      <c r="A11" s="14" t="s">
        <v>2902</v>
      </c>
      <c r="B11" s="137" t="s">
        <v>3051</v>
      </c>
      <c r="C11" s="15" t="s">
        <v>3050</v>
      </c>
      <c r="D11" s="15">
        <v>126.08</v>
      </c>
      <c r="E11" s="15" t="s">
        <v>4</v>
      </c>
      <c r="F11" s="18" t="s">
        <v>2369</v>
      </c>
    </row>
    <row r="12" spans="1:6" ht="31.5" x14ac:dyDescent="0.25">
      <c r="A12" s="14" t="s">
        <v>2902</v>
      </c>
      <c r="B12" s="137"/>
      <c r="C12" s="15" t="s">
        <v>3049</v>
      </c>
      <c r="D12" s="15">
        <v>126.08</v>
      </c>
      <c r="E12" s="15" t="s">
        <v>4</v>
      </c>
      <c r="F12" s="18" t="s">
        <v>2369</v>
      </c>
    </row>
    <row r="13" spans="1:6" ht="15.75" x14ac:dyDescent="0.25">
      <c r="A13" s="134" t="s">
        <v>2977</v>
      </c>
      <c r="B13" s="135"/>
      <c r="C13" s="135"/>
      <c r="D13" s="135"/>
      <c r="E13" s="135"/>
      <c r="F13" s="136"/>
    </row>
    <row r="14" spans="1:6" ht="15.75" x14ac:dyDescent="0.25">
      <c r="A14" s="14" t="s">
        <v>2902</v>
      </c>
      <c r="B14" s="15" t="s">
        <v>2902</v>
      </c>
      <c r="C14" s="15" t="s">
        <v>3048</v>
      </c>
      <c r="D14" s="15">
        <v>6.27</v>
      </c>
      <c r="E14" s="15" t="s">
        <v>4</v>
      </c>
      <c r="F14" s="18" t="s">
        <v>3</v>
      </c>
    </row>
    <row r="15" spans="1:6" ht="63" x14ac:dyDescent="0.25">
      <c r="A15" s="14" t="s">
        <v>2902</v>
      </c>
      <c r="B15" s="15" t="s">
        <v>2976</v>
      </c>
      <c r="C15" s="15" t="s">
        <v>3047</v>
      </c>
      <c r="D15" s="15">
        <v>149</v>
      </c>
      <c r="E15" s="15" t="s">
        <v>4</v>
      </c>
      <c r="F15" s="18" t="s">
        <v>2369</v>
      </c>
    </row>
    <row r="16" spans="1:6" ht="47.25" x14ac:dyDescent="0.25">
      <c r="A16" s="14" t="s">
        <v>2902</v>
      </c>
      <c r="B16" s="15" t="s">
        <v>3046</v>
      </c>
      <c r="C16" s="15" t="s">
        <v>3045</v>
      </c>
      <c r="D16" s="15">
        <v>8.16</v>
      </c>
      <c r="E16" s="15" t="s">
        <v>4</v>
      </c>
      <c r="F16" s="18" t="s">
        <v>3</v>
      </c>
    </row>
    <row r="17" spans="1:6" ht="31.5" x14ac:dyDescent="0.25">
      <c r="A17" s="14" t="s">
        <v>2902</v>
      </c>
      <c r="B17" s="15" t="s">
        <v>3044</v>
      </c>
      <c r="C17" s="15" t="s">
        <v>3043</v>
      </c>
      <c r="D17" s="15">
        <v>24.55</v>
      </c>
      <c r="E17" s="15" t="s">
        <v>4</v>
      </c>
      <c r="F17" s="18" t="s">
        <v>2369</v>
      </c>
    </row>
    <row r="18" spans="1:6" ht="31.5" x14ac:dyDescent="0.25">
      <c r="A18" s="14" t="s">
        <v>2902</v>
      </c>
      <c r="B18" s="15" t="s">
        <v>3042</v>
      </c>
      <c r="C18" s="15" t="s">
        <v>3041</v>
      </c>
      <c r="D18" s="15">
        <v>101.89</v>
      </c>
      <c r="E18" s="15" t="s">
        <v>4</v>
      </c>
      <c r="F18" s="18" t="s">
        <v>2369</v>
      </c>
    </row>
    <row r="19" spans="1:6" ht="31.5" x14ac:dyDescent="0.25">
      <c r="A19" s="14" t="s">
        <v>2902</v>
      </c>
      <c r="B19" s="15" t="s">
        <v>2902</v>
      </c>
      <c r="C19" s="15" t="s">
        <v>3040</v>
      </c>
      <c r="D19" s="15">
        <v>130.83000000000001</v>
      </c>
      <c r="E19" s="15" t="s">
        <v>4</v>
      </c>
      <c r="F19" s="18" t="s">
        <v>2369</v>
      </c>
    </row>
    <row r="20" spans="1:6" ht="15.75" x14ac:dyDescent="0.25">
      <c r="A20" s="134" t="s">
        <v>2985</v>
      </c>
      <c r="B20" s="135"/>
      <c r="C20" s="135"/>
      <c r="D20" s="135"/>
      <c r="E20" s="135"/>
      <c r="F20" s="136"/>
    </row>
    <row r="21" spans="1:6" ht="47.25" x14ac:dyDescent="0.25">
      <c r="A21" s="14" t="s">
        <v>2902</v>
      </c>
      <c r="B21" s="137" t="s">
        <v>2902</v>
      </c>
      <c r="C21" s="15" t="s">
        <v>3039</v>
      </c>
      <c r="D21" s="15">
        <v>28.64</v>
      </c>
      <c r="E21" s="15" t="s">
        <v>4</v>
      </c>
      <c r="F21" s="18" t="s">
        <v>2369</v>
      </c>
    </row>
    <row r="22" spans="1:6" ht="47.25" x14ac:dyDescent="0.25">
      <c r="A22" s="14" t="s">
        <v>2902</v>
      </c>
      <c r="B22" s="137"/>
      <c r="C22" s="15" t="s">
        <v>2981</v>
      </c>
      <c r="D22" s="15">
        <v>6.9399999999999995</v>
      </c>
      <c r="E22" s="15" t="s">
        <v>4</v>
      </c>
      <c r="F22" s="18" t="s">
        <v>2369</v>
      </c>
    </row>
    <row r="23" spans="1:6" ht="63" x14ac:dyDescent="0.25">
      <c r="A23" s="14" t="s">
        <v>2902</v>
      </c>
      <c r="B23" s="15" t="s">
        <v>3038</v>
      </c>
      <c r="C23" s="15" t="s">
        <v>3037</v>
      </c>
      <c r="D23" s="15">
        <v>4.3</v>
      </c>
      <c r="E23" s="15" t="s">
        <v>4</v>
      </c>
      <c r="F23" s="18" t="s">
        <v>3</v>
      </c>
    </row>
    <row r="24" spans="1:6" ht="78.75" x14ac:dyDescent="0.25">
      <c r="A24" s="14" t="s">
        <v>2902</v>
      </c>
      <c r="B24" s="15" t="s">
        <v>2984</v>
      </c>
      <c r="C24" s="15" t="s">
        <v>3036</v>
      </c>
      <c r="D24" s="15">
        <v>9.2200000000000006</v>
      </c>
      <c r="E24" s="15" t="s">
        <v>4</v>
      </c>
      <c r="F24" s="18" t="s">
        <v>3</v>
      </c>
    </row>
    <row r="25" spans="1:6" ht="16.5" thickBot="1" x14ac:dyDescent="0.3">
      <c r="A25" s="12" t="s">
        <v>2902</v>
      </c>
      <c r="B25" s="13" t="s">
        <v>2902</v>
      </c>
      <c r="C25" s="13" t="s">
        <v>2982</v>
      </c>
      <c r="D25" s="13">
        <v>28.64</v>
      </c>
      <c r="E25" s="13" t="s">
        <v>4</v>
      </c>
      <c r="F25" s="20" t="s">
        <v>2369</v>
      </c>
    </row>
  </sheetData>
  <mergeCells count="7">
    <mergeCell ref="A20:F20"/>
    <mergeCell ref="B21:B22"/>
    <mergeCell ref="A2:F2"/>
    <mergeCell ref="B11:B12"/>
    <mergeCell ref="A7:F7"/>
    <mergeCell ref="A13:F13"/>
    <mergeCell ref="B3:B6"/>
  </mergeCells>
  <conditionalFormatting sqref="A1:F25">
    <cfRule type="containsText" dxfId="126" priority="1" stopIfTrue="1" operator="containsText" text="С ЛИСТА">
      <formula>NOT(ISERROR(SEARCH("С ЛИСТА",A1)))</formula>
    </cfRule>
    <cfRule type="containsText" dxfId="125" priority="2" stopIfTrue="1" operator="containsText" text="ИЗ ФАЙЛА">
      <formula>NOT(ISERROR(SEARCH("ИЗ ФАЙЛА",A1)))</formula>
    </cfRule>
    <cfRule type="containsText" dxfId="124" priority="3" stopIfTrue="1" operator="containsText" text="!!!">
      <formula>NOT(ISERROR(SEARCH("!!!",A1)))</formula>
    </cfRule>
    <cfRule type="containsText" dxfId="123" priority="4" stopIfTrue="1" operator="containsText" text=" Заполнения проёмов ">
      <formula>NOT(ISERROR(SEARCH(" Заполнения проёмов ",A1)))</formula>
    </cfRule>
    <cfRule type="containsText" dxfId="122" priority="5" stopIfTrue="1" operator="containsText" text=" Сборочные единицы ">
      <formula>NOT(ISERROR(SEARCH(" Сборочные единицы ",A1)))</formula>
    </cfRule>
    <cfRule type="containsText" dxfId="121" priority="6" stopIfTrue="1" operator="containsText" text=" Заполнения проёмов ">
      <formula>NOT(ISERROR(SEARCH(" Заполнения проёмов ",A1)))</formula>
    </cfRule>
    <cfRule type="containsText" dxfId="120" priority="7" stopIfTrue="1" operator="containsText" text=" Сборочные единицы ">
      <formula>NOT(ISERROR(SEARCH(" Сборочные единицы ",A1)))</formula>
    </cfRule>
    <cfRule type="containsText" dxfId="119" priority="8" stopIfTrue="1" operator="containsText" text=" Изделия ">
      <formula>NOT(ISERROR(SEARCH(" Изделия ",A1)))</formula>
    </cfRule>
    <cfRule type="containsText" dxfId="118" priority="9" stopIfTrue="1" operator="containsText" text=" Материалы ">
      <formula>NOT(ISERROR(SEARCH(" Материалы ",A1)))</formula>
    </cfRule>
    <cfRule type="containsText" dxfId="117" priority="10" stopIfTrue="1" operator="containsText" text=" Изделия арматурные ">
      <formula>NOT(ISERROR(SEARCH(" Изделия арматурные ",A1)))</formula>
    </cfRule>
    <cfRule type="containsText" dxfId="116" priority="11" stopIfTrue="1" operator="containsText" text=" Прокат ">
      <formula>NOT(ISERROR(SEARCH(" Прокат ",A1)))</formula>
    </cfRule>
    <cfRule type="containsText" dxfId="115" priority="12" stopIfTrue="1" operator="containsText" text="Элементы на отм.">
      <formula>NOT(ISERROR(SEARCH("Элементы на отм.",A1)))</formula>
    </cfRule>
    <cfRule type="containsText" dxfId="114" priority="13" stopIfTrue="1" operator="containsText" text=", на ">
      <formula>NOT(ISERROR(SEARCH(", на ",A1)))</formula>
    </cfRule>
    <cfRule type="containsText" dxfId="113" priority="14" stopIfTrue="1" operator="containsText" text="шт.)">
      <formula>NOT(ISERROR(SEARCH("шт.)",A1)))</formula>
    </cfRule>
  </conditionalFormatting>
  <pageMargins left="0" right="0" top="0" bottom="0" header="0" footer="0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  <pageSetUpPr fitToPage="1"/>
  </sheetPr>
  <dimension ref="A1:F14"/>
  <sheetViews>
    <sheetView workbookViewId="0">
      <selection activeCell="L33" sqref="L33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19" t="s">
        <v>2903</v>
      </c>
      <c r="B1" s="16" t="s">
        <v>2904</v>
      </c>
      <c r="C1" s="16" t="s">
        <v>2905</v>
      </c>
      <c r="D1" s="16" t="s">
        <v>2906</v>
      </c>
      <c r="E1" s="16" t="s">
        <v>2907</v>
      </c>
      <c r="F1" s="17" t="s">
        <v>2908</v>
      </c>
    </row>
    <row r="2" spans="1:6" ht="15.75" x14ac:dyDescent="0.25">
      <c r="A2" s="134" t="s">
        <v>3075</v>
      </c>
      <c r="B2" s="135"/>
      <c r="C2" s="135"/>
      <c r="D2" s="135"/>
      <c r="E2" s="135"/>
      <c r="F2" s="136"/>
    </row>
    <row r="3" spans="1:6" ht="15.75" x14ac:dyDescent="0.25">
      <c r="A3" s="14">
        <v>1</v>
      </c>
      <c r="B3" s="15" t="s">
        <v>3066</v>
      </c>
      <c r="C3" s="15" t="s">
        <v>3065</v>
      </c>
      <c r="D3" s="15">
        <v>81</v>
      </c>
      <c r="E3" s="15">
        <v>0.154</v>
      </c>
      <c r="F3" s="18" t="s">
        <v>3074</v>
      </c>
    </row>
    <row r="4" spans="1:6" ht="15.75" x14ac:dyDescent="0.25">
      <c r="A4" s="14" t="s">
        <v>2902</v>
      </c>
      <c r="B4" s="137" t="s">
        <v>3063</v>
      </c>
      <c r="C4" s="15" t="s">
        <v>3062</v>
      </c>
      <c r="D4" s="15">
        <v>7.5699999999999994</v>
      </c>
      <c r="E4" s="15" t="s">
        <v>4</v>
      </c>
      <c r="F4" s="18" t="s">
        <v>2369</v>
      </c>
    </row>
    <row r="5" spans="1:6" ht="15.75" x14ac:dyDescent="0.25">
      <c r="A5" s="14" t="s">
        <v>2902</v>
      </c>
      <c r="B5" s="137"/>
      <c r="C5" s="15" t="s">
        <v>3061</v>
      </c>
      <c r="D5" s="15">
        <v>7.5699999999999994</v>
      </c>
      <c r="E5" s="15" t="s">
        <v>4</v>
      </c>
      <c r="F5" s="18" t="s">
        <v>2369</v>
      </c>
    </row>
    <row r="6" spans="1:6" ht="15.75" x14ac:dyDescent="0.25">
      <c r="A6" s="14" t="s">
        <v>2902</v>
      </c>
      <c r="B6" s="15" t="s">
        <v>3060</v>
      </c>
      <c r="C6" s="15" t="s">
        <v>3059</v>
      </c>
      <c r="D6" s="15">
        <v>1.18</v>
      </c>
      <c r="E6" s="15" t="s">
        <v>4</v>
      </c>
      <c r="F6" s="18" t="s">
        <v>3</v>
      </c>
    </row>
    <row r="7" spans="1:6" ht="15.75" x14ac:dyDescent="0.25">
      <c r="A7" s="14" t="s">
        <v>2902</v>
      </c>
      <c r="B7" s="15" t="s">
        <v>2909</v>
      </c>
      <c r="C7" s="15" t="s">
        <v>2910</v>
      </c>
      <c r="D7" s="15">
        <v>1.17</v>
      </c>
      <c r="E7" s="15" t="s">
        <v>4</v>
      </c>
      <c r="F7" s="18" t="s">
        <v>2369</v>
      </c>
    </row>
    <row r="8" spans="1:6" ht="15.75" x14ac:dyDescent="0.25">
      <c r="A8" s="14" t="s">
        <v>3071</v>
      </c>
      <c r="B8" s="15" t="s">
        <v>2911</v>
      </c>
      <c r="C8" s="15" t="s">
        <v>3073</v>
      </c>
      <c r="D8" s="15">
        <v>5.88</v>
      </c>
      <c r="E8" s="15">
        <v>1.88</v>
      </c>
      <c r="F8" s="18" t="s">
        <v>3072</v>
      </c>
    </row>
    <row r="9" spans="1:6" ht="31.5" x14ac:dyDescent="0.25">
      <c r="A9" s="14" t="s">
        <v>3071</v>
      </c>
      <c r="B9" s="15" t="s">
        <v>3070</v>
      </c>
      <c r="C9" s="15" t="s">
        <v>3069</v>
      </c>
      <c r="D9" s="15">
        <v>3</v>
      </c>
      <c r="E9" s="15">
        <v>12.84</v>
      </c>
      <c r="F9" s="18" t="s">
        <v>3068</v>
      </c>
    </row>
    <row r="10" spans="1:6" ht="15.75" x14ac:dyDescent="0.25">
      <c r="A10" s="134" t="s">
        <v>3067</v>
      </c>
      <c r="B10" s="135"/>
      <c r="C10" s="135"/>
      <c r="D10" s="135"/>
      <c r="E10" s="135"/>
      <c r="F10" s="136"/>
    </row>
    <row r="11" spans="1:6" ht="15.75" x14ac:dyDescent="0.25">
      <c r="A11" s="14">
        <v>1</v>
      </c>
      <c r="B11" s="15" t="s">
        <v>3066</v>
      </c>
      <c r="C11" s="15" t="s">
        <v>3065</v>
      </c>
      <c r="D11" s="15">
        <v>30</v>
      </c>
      <c r="E11" s="15">
        <v>0.154</v>
      </c>
      <c r="F11" s="18" t="s">
        <v>3064</v>
      </c>
    </row>
    <row r="12" spans="1:6" ht="15.75" x14ac:dyDescent="0.25">
      <c r="A12" s="14" t="s">
        <v>2902</v>
      </c>
      <c r="B12" s="137" t="s">
        <v>3063</v>
      </c>
      <c r="C12" s="15" t="s">
        <v>3062</v>
      </c>
      <c r="D12" s="15">
        <v>2.25</v>
      </c>
      <c r="E12" s="15" t="s">
        <v>4</v>
      </c>
      <c r="F12" s="18" t="s">
        <v>2369</v>
      </c>
    </row>
    <row r="13" spans="1:6" ht="15.75" x14ac:dyDescent="0.25">
      <c r="A13" s="14" t="s">
        <v>2902</v>
      </c>
      <c r="B13" s="137"/>
      <c r="C13" s="15" t="s">
        <v>3061</v>
      </c>
      <c r="D13" s="15">
        <v>2.25</v>
      </c>
      <c r="E13" s="15" t="s">
        <v>4</v>
      </c>
      <c r="F13" s="18" t="s">
        <v>2369</v>
      </c>
    </row>
    <row r="14" spans="1:6" ht="16.5" thickBot="1" x14ac:dyDescent="0.3">
      <c r="A14" s="12" t="s">
        <v>2902</v>
      </c>
      <c r="B14" s="13" t="s">
        <v>3060</v>
      </c>
      <c r="C14" s="13" t="s">
        <v>3059</v>
      </c>
      <c r="D14" s="13">
        <v>0.37</v>
      </c>
      <c r="E14" s="13" t="s">
        <v>4</v>
      </c>
      <c r="F14" s="20" t="s">
        <v>3</v>
      </c>
    </row>
  </sheetData>
  <mergeCells count="4">
    <mergeCell ref="A2:F2"/>
    <mergeCell ref="B4:B5"/>
    <mergeCell ref="A10:F10"/>
    <mergeCell ref="B12:B13"/>
  </mergeCells>
  <conditionalFormatting sqref="A1:F14">
    <cfRule type="containsText" dxfId="112" priority="1" stopIfTrue="1" operator="containsText" text="С ЛИСТА">
      <formula>NOT(ISERROR(SEARCH("С ЛИСТА",A1)))</formula>
    </cfRule>
    <cfRule type="containsText" dxfId="111" priority="2" stopIfTrue="1" operator="containsText" text="ИЗ ФАЙЛА">
      <formula>NOT(ISERROR(SEARCH("ИЗ ФАЙЛА",A1)))</formula>
    </cfRule>
    <cfRule type="containsText" dxfId="110" priority="3" stopIfTrue="1" operator="containsText" text="!!!">
      <formula>NOT(ISERROR(SEARCH("!!!",A1)))</formula>
    </cfRule>
    <cfRule type="containsText" dxfId="109" priority="4" stopIfTrue="1" operator="containsText" text=" Заполнения проёмов ">
      <formula>NOT(ISERROR(SEARCH(" Заполнения проёмов ",A1)))</formula>
    </cfRule>
    <cfRule type="containsText" dxfId="108" priority="5" stopIfTrue="1" operator="containsText" text=" Сборочные единицы ">
      <formula>NOT(ISERROR(SEARCH(" Сборочные единицы ",A1)))</formula>
    </cfRule>
    <cfRule type="containsText" dxfId="107" priority="6" stopIfTrue="1" operator="containsText" text=" Заполнения проёмов ">
      <formula>NOT(ISERROR(SEARCH(" Заполнения проёмов ",A1)))</formula>
    </cfRule>
    <cfRule type="containsText" dxfId="106" priority="7" stopIfTrue="1" operator="containsText" text=" Сборочные единицы ">
      <formula>NOT(ISERROR(SEARCH(" Сборочные единицы ",A1)))</formula>
    </cfRule>
    <cfRule type="containsText" dxfId="105" priority="8" stopIfTrue="1" operator="containsText" text=" Изделия ">
      <formula>NOT(ISERROR(SEARCH(" Изделия ",A1)))</formula>
    </cfRule>
    <cfRule type="containsText" dxfId="104" priority="9" stopIfTrue="1" operator="containsText" text=" Материалы ">
      <formula>NOT(ISERROR(SEARCH(" Материалы ",A1)))</formula>
    </cfRule>
    <cfRule type="containsText" dxfId="103" priority="10" stopIfTrue="1" operator="containsText" text=" Изделия арматурные ">
      <formula>NOT(ISERROR(SEARCH(" Изделия арматурные ",A1)))</formula>
    </cfRule>
    <cfRule type="containsText" dxfId="102" priority="11" stopIfTrue="1" operator="containsText" text=" Прокат ">
      <formula>NOT(ISERROR(SEARCH(" Прокат ",A1)))</formula>
    </cfRule>
    <cfRule type="containsText" dxfId="101" priority="12" stopIfTrue="1" operator="containsText" text="Элементы на отм.">
      <formula>NOT(ISERROR(SEARCH("Элементы на отм.",A1)))</formula>
    </cfRule>
    <cfRule type="containsText" dxfId="100" priority="13" stopIfTrue="1" operator="containsText" text=", на ">
      <formula>NOT(ISERROR(SEARCH(", на ",A1)))</formula>
    </cfRule>
    <cfRule type="containsText" dxfId="99" priority="14" stopIfTrue="1" operator="containsText" text="шт.)">
      <formula>NOT(ISERROR(SEARCH("шт.)",A1)))</formula>
    </cfRule>
  </conditionalFormatting>
  <pageMargins left="0" right="0" top="0" bottom="0" header="0" footer="0"/>
  <pageSetup paperSize="8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14"/>
  <sheetViews>
    <sheetView workbookViewId="0">
      <selection activeCell="G26" sqref="G26"/>
    </sheetView>
  </sheetViews>
  <sheetFormatPr defaultRowHeight="15" outlineLevelCol="1" x14ac:dyDescent="0.25"/>
  <cols>
    <col min="1" max="1" width="8.42578125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47.25" x14ac:dyDescent="0.25">
      <c r="A1" s="19" t="s">
        <v>3120</v>
      </c>
      <c r="B1" s="16" t="s">
        <v>3121</v>
      </c>
      <c r="C1" s="16" t="s">
        <v>2905</v>
      </c>
      <c r="D1" s="16" t="s">
        <v>3122</v>
      </c>
      <c r="E1" s="16" t="s">
        <v>3150</v>
      </c>
      <c r="F1" s="17" t="s">
        <v>3151</v>
      </c>
    </row>
    <row r="2" spans="1:6" ht="15.75" x14ac:dyDescent="0.25">
      <c r="A2" s="138" t="s">
        <v>3152</v>
      </c>
      <c r="B2" s="60">
        <v>1</v>
      </c>
      <c r="C2" s="60" t="s">
        <v>3123</v>
      </c>
      <c r="D2" s="60">
        <v>9</v>
      </c>
      <c r="E2" s="60" t="s">
        <v>3124</v>
      </c>
      <c r="F2" s="139">
        <v>2.58</v>
      </c>
    </row>
    <row r="3" spans="1:6" ht="15.75" x14ac:dyDescent="0.25">
      <c r="A3" s="138"/>
      <c r="B3" s="60">
        <v>2</v>
      </c>
      <c r="C3" s="60" t="s">
        <v>3125</v>
      </c>
      <c r="D3" s="60">
        <v>2</v>
      </c>
      <c r="E3" s="60" t="s">
        <v>3126</v>
      </c>
      <c r="F3" s="139"/>
    </row>
    <row r="4" spans="1:6" ht="15.75" x14ac:dyDescent="0.25">
      <c r="A4" s="138" t="s">
        <v>3153</v>
      </c>
      <c r="B4" s="137"/>
      <c r="C4" s="137"/>
      <c r="D4" s="137"/>
      <c r="E4" s="137"/>
      <c r="F4" s="139"/>
    </row>
    <row r="5" spans="1:6" ht="15.75" x14ac:dyDescent="0.25">
      <c r="A5" s="138" t="s">
        <v>3154</v>
      </c>
      <c r="B5" s="60">
        <v>1</v>
      </c>
      <c r="C5" s="60" t="s">
        <v>3127</v>
      </c>
      <c r="D5" s="60">
        <v>1</v>
      </c>
      <c r="E5" s="60" t="s">
        <v>3128</v>
      </c>
      <c r="F5" s="139">
        <v>5.29</v>
      </c>
    </row>
    <row r="6" spans="1:6" ht="15.75" x14ac:dyDescent="0.25">
      <c r="A6" s="138"/>
      <c r="B6" s="60">
        <v>2</v>
      </c>
      <c r="C6" s="60" t="s">
        <v>3129</v>
      </c>
      <c r="D6" s="60">
        <v>4</v>
      </c>
      <c r="E6" s="60" t="s">
        <v>3130</v>
      </c>
      <c r="F6" s="139"/>
    </row>
    <row r="7" spans="1:6" ht="15.75" x14ac:dyDescent="0.25">
      <c r="A7" s="138"/>
      <c r="B7" s="60">
        <v>3</v>
      </c>
      <c r="C7" s="60" t="s">
        <v>3131</v>
      </c>
      <c r="D7" s="60">
        <v>4</v>
      </c>
      <c r="E7" s="60" t="s">
        <v>3132</v>
      </c>
      <c r="F7" s="139"/>
    </row>
    <row r="8" spans="1:6" ht="15.75" x14ac:dyDescent="0.25">
      <c r="A8" s="138" t="s">
        <v>3153</v>
      </c>
      <c r="B8" s="137"/>
      <c r="C8" s="137"/>
      <c r="D8" s="137"/>
      <c r="E8" s="137"/>
      <c r="F8" s="139"/>
    </row>
    <row r="9" spans="1:6" ht="15.75" x14ac:dyDescent="0.25">
      <c r="A9" s="138" t="s">
        <v>3158</v>
      </c>
      <c r="B9" s="60">
        <v>1</v>
      </c>
      <c r="C9" s="60" t="s">
        <v>3133</v>
      </c>
      <c r="D9" s="60">
        <v>1</v>
      </c>
      <c r="E9" s="60" t="s">
        <v>3134</v>
      </c>
      <c r="F9" s="139">
        <v>8.49</v>
      </c>
    </row>
    <row r="10" spans="1:6" ht="15.75" x14ac:dyDescent="0.25">
      <c r="A10" s="138"/>
      <c r="B10" s="60">
        <v>3</v>
      </c>
      <c r="C10" s="60" t="s">
        <v>3135</v>
      </c>
      <c r="D10" s="60">
        <v>1</v>
      </c>
      <c r="E10" s="60" t="s">
        <v>3136</v>
      </c>
      <c r="F10" s="139"/>
    </row>
    <row r="11" spans="1:6" ht="15.75" x14ac:dyDescent="0.25">
      <c r="A11" s="138" t="s">
        <v>3153</v>
      </c>
      <c r="B11" s="137"/>
      <c r="C11" s="137"/>
      <c r="D11" s="137"/>
      <c r="E11" s="137"/>
      <c r="F11" s="139"/>
    </row>
    <row r="12" spans="1:6" ht="15.75" x14ac:dyDescent="0.25">
      <c r="A12" s="138" t="s">
        <v>3155</v>
      </c>
      <c r="B12" s="60">
        <v>1</v>
      </c>
      <c r="C12" s="60" t="s">
        <v>3137</v>
      </c>
      <c r="D12" s="60">
        <v>1</v>
      </c>
      <c r="E12" s="60" t="s">
        <v>3138</v>
      </c>
      <c r="F12" s="139">
        <v>16.34</v>
      </c>
    </row>
    <row r="13" spans="1:6" ht="15.75" x14ac:dyDescent="0.25">
      <c r="A13" s="138"/>
      <c r="B13" s="60">
        <v>3</v>
      </c>
      <c r="C13" s="60" t="s">
        <v>3135</v>
      </c>
      <c r="D13" s="60">
        <v>1</v>
      </c>
      <c r="E13" s="60" t="s">
        <v>3136</v>
      </c>
      <c r="F13" s="139"/>
    </row>
    <row r="14" spans="1:6" ht="16.5" thickBot="1" x14ac:dyDescent="0.3">
      <c r="A14" s="140" t="s">
        <v>3153</v>
      </c>
      <c r="B14" s="141"/>
      <c r="C14" s="141"/>
      <c r="D14" s="141"/>
      <c r="E14" s="141"/>
      <c r="F14" s="142"/>
    </row>
  </sheetData>
  <mergeCells count="12">
    <mergeCell ref="A11:F11"/>
    <mergeCell ref="A12:A13"/>
    <mergeCell ref="F12:F13"/>
    <mergeCell ref="A14:F14"/>
    <mergeCell ref="A8:F8"/>
    <mergeCell ref="A9:A10"/>
    <mergeCell ref="F9:F10"/>
    <mergeCell ref="A2:A3"/>
    <mergeCell ref="F2:F3"/>
    <mergeCell ref="A4:F4"/>
    <mergeCell ref="A5:A7"/>
    <mergeCell ref="F5:F7"/>
  </mergeCells>
  <conditionalFormatting sqref="A1:F14">
    <cfRule type="containsText" dxfId="98" priority="1" stopIfTrue="1" operator="containsText" text="С ЛИСТА">
      <formula>NOT(ISERROR(SEARCH("С ЛИСТА",A1)))</formula>
    </cfRule>
    <cfRule type="containsText" dxfId="97" priority="2" stopIfTrue="1" operator="containsText" text="ИЗ ФАЙЛА">
      <formula>NOT(ISERROR(SEARCH("ИЗ ФАЙЛА",A1)))</formula>
    </cfRule>
    <cfRule type="containsText" dxfId="96" priority="3" stopIfTrue="1" operator="containsText" text="!!!">
      <formula>NOT(ISERROR(SEARCH("!!!",A1)))</formula>
    </cfRule>
    <cfRule type="containsText" dxfId="95" priority="4" stopIfTrue="1" operator="containsText" text=" Заполнения проёмов ">
      <formula>NOT(ISERROR(SEARCH(" Заполнения проёмов ",A1)))</formula>
    </cfRule>
    <cfRule type="containsText" dxfId="94" priority="5" stopIfTrue="1" operator="containsText" text=" Сборочные единицы ">
      <formula>NOT(ISERROR(SEARCH(" Сборочные единицы ",A1)))</formula>
    </cfRule>
    <cfRule type="containsText" dxfId="93" priority="6" stopIfTrue="1" operator="containsText" text=" Заполнения проёмов ">
      <formula>NOT(ISERROR(SEARCH(" Заполнения проёмов ",A1)))</formula>
    </cfRule>
    <cfRule type="containsText" dxfId="92" priority="7" stopIfTrue="1" operator="containsText" text=" Сборочные единицы ">
      <formula>NOT(ISERROR(SEARCH(" Сборочные единицы ",A1)))</formula>
    </cfRule>
    <cfRule type="containsText" dxfId="91" priority="8" stopIfTrue="1" operator="containsText" text=" Изделия ">
      <formula>NOT(ISERROR(SEARCH(" Изделия ",A1)))</formula>
    </cfRule>
    <cfRule type="containsText" dxfId="90" priority="9" stopIfTrue="1" operator="containsText" text=" Материалы ">
      <formula>NOT(ISERROR(SEARCH(" Материалы ",A1)))</formula>
    </cfRule>
    <cfRule type="containsText" dxfId="89" priority="10" stopIfTrue="1" operator="containsText" text=" Изделия арматурные ">
      <formula>NOT(ISERROR(SEARCH(" Изделия арматурные ",A1)))</formula>
    </cfRule>
    <cfRule type="containsText" dxfId="88" priority="11" stopIfTrue="1" operator="containsText" text=" Прокат ">
      <formula>NOT(ISERROR(SEARCH(" Прокат ",A1)))</formula>
    </cfRule>
    <cfRule type="containsText" dxfId="87" priority="12" stopIfTrue="1" operator="containsText" text="Элементы на отм.">
      <formula>NOT(ISERROR(SEARCH("Элементы на отм.",A1)))</formula>
    </cfRule>
    <cfRule type="containsText" dxfId="86" priority="13" stopIfTrue="1" operator="containsText" text=", на ">
      <formula>NOT(ISERROR(SEARCH(", на ",A1)))</formula>
    </cfRule>
    <cfRule type="containsText" dxfId="85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/>
  </sheetPr>
  <dimension ref="A1:U6"/>
  <sheetViews>
    <sheetView workbookViewId="0">
      <selection activeCell="T33" sqref="T33"/>
    </sheetView>
  </sheetViews>
  <sheetFormatPr defaultRowHeight="15" x14ac:dyDescent="0.25"/>
  <cols>
    <col min="1" max="1" width="16.28515625" style="9" customWidth="1"/>
    <col min="2" max="22" width="8.140625" style="9" customWidth="1"/>
    <col min="23" max="16384" width="9.140625" style="9"/>
  </cols>
  <sheetData>
    <row r="1" spans="1:21" ht="22.7" customHeight="1" x14ac:dyDescent="0.25">
      <c r="A1" s="143" t="s">
        <v>3174</v>
      </c>
      <c r="B1" s="144" t="s">
        <v>3175</v>
      </c>
      <c r="C1" s="144"/>
      <c r="D1" s="144"/>
      <c r="E1" s="144"/>
      <c r="F1" s="144"/>
      <c r="G1" s="144"/>
      <c r="H1" s="144"/>
      <c r="I1" s="144" t="s">
        <v>3176</v>
      </c>
      <c r="J1" s="144"/>
      <c r="K1" s="144"/>
      <c r="L1" s="144"/>
      <c r="M1" s="144"/>
      <c r="N1" s="144"/>
      <c r="O1" s="144"/>
      <c r="P1" s="144"/>
      <c r="Q1" s="144"/>
      <c r="R1" s="98" t="s">
        <v>3177</v>
      </c>
      <c r="S1" s="143" t="s">
        <v>3178</v>
      </c>
      <c r="T1" s="144"/>
      <c r="U1" s="145" t="s">
        <v>3177</v>
      </c>
    </row>
    <row r="2" spans="1:21" ht="22.7" customHeight="1" x14ac:dyDescent="0.25">
      <c r="A2" s="138"/>
      <c r="B2" s="137" t="s">
        <v>3179</v>
      </c>
      <c r="C2" s="137"/>
      <c r="D2" s="137"/>
      <c r="E2" s="137"/>
      <c r="F2" s="137"/>
      <c r="G2" s="137"/>
      <c r="H2" s="137" t="s">
        <v>3177</v>
      </c>
      <c r="I2" s="137" t="s">
        <v>3179</v>
      </c>
      <c r="J2" s="137"/>
      <c r="K2" s="137" t="s">
        <v>2913</v>
      </c>
      <c r="L2" s="137"/>
      <c r="M2" s="137"/>
      <c r="N2" s="137"/>
      <c r="O2" s="137"/>
      <c r="P2" s="137"/>
      <c r="Q2" s="137" t="s">
        <v>3177</v>
      </c>
      <c r="R2" s="149"/>
      <c r="S2" s="146" t="s">
        <v>3089</v>
      </c>
      <c r="T2" s="147" t="s">
        <v>3088</v>
      </c>
      <c r="U2" s="139"/>
    </row>
    <row r="3" spans="1:21" ht="22.7" customHeight="1" x14ac:dyDescent="0.25">
      <c r="A3" s="138"/>
      <c r="B3" s="137" t="s">
        <v>2</v>
      </c>
      <c r="C3" s="137"/>
      <c r="D3" s="137"/>
      <c r="E3" s="137" t="s">
        <v>1</v>
      </c>
      <c r="F3" s="137"/>
      <c r="G3" s="137"/>
      <c r="H3" s="137"/>
      <c r="I3" s="137" t="s">
        <v>2</v>
      </c>
      <c r="J3" s="137"/>
      <c r="K3" s="137" t="s">
        <v>3180</v>
      </c>
      <c r="L3" s="137"/>
      <c r="M3" s="137"/>
      <c r="N3" s="137"/>
      <c r="O3" s="137"/>
      <c r="P3" s="137"/>
      <c r="Q3" s="137"/>
      <c r="R3" s="149"/>
      <c r="S3" s="146"/>
      <c r="T3" s="147"/>
      <c r="U3" s="139"/>
    </row>
    <row r="4" spans="1:21" ht="22.7" customHeight="1" x14ac:dyDescent="0.25">
      <c r="A4" s="138"/>
      <c r="B4" s="137" t="s">
        <v>3066</v>
      </c>
      <c r="C4" s="137"/>
      <c r="D4" s="137"/>
      <c r="E4" s="137"/>
      <c r="F4" s="137"/>
      <c r="G4" s="137"/>
      <c r="H4" s="137"/>
      <c r="I4" s="137" t="s">
        <v>3066</v>
      </c>
      <c r="J4" s="137"/>
      <c r="K4" s="137" t="s">
        <v>3181</v>
      </c>
      <c r="L4" s="137"/>
      <c r="M4" s="137"/>
      <c r="N4" s="137" t="s">
        <v>2911</v>
      </c>
      <c r="O4" s="137"/>
      <c r="P4" s="137"/>
      <c r="Q4" s="137"/>
      <c r="R4" s="149"/>
      <c r="S4" s="146"/>
      <c r="T4" s="147"/>
      <c r="U4" s="139"/>
    </row>
    <row r="5" spans="1:21" ht="22.7" customHeight="1" thickBot="1" x14ac:dyDescent="0.3">
      <c r="A5" s="148"/>
      <c r="B5" s="89" t="s">
        <v>3182</v>
      </c>
      <c r="C5" s="89" t="s">
        <v>3183</v>
      </c>
      <c r="D5" s="89" t="s">
        <v>3177</v>
      </c>
      <c r="E5" s="89" t="s">
        <v>3184</v>
      </c>
      <c r="F5" s="89" t="s">
        <v>3185</v>
      </c>
      <c r="G5" s="89" t="s">
        <v>3177</v>
      </c>
      <c r="H5" s="151"/>
      <c r="I5" s="89" t="s">
        <v>3183</v>
      </c>
      <c r="J5" s="89" t="s">
        <v>3177</v>
      </c>
      <c r="K5" s="89" t="s">
        <v>2860</v>
      </c>
      <c r="L5" s="89" t="s">
        <v>2858</v>
      </c>
      <c r="M5" s="89" t="s">
        <v>3177</v>
      </c>
      <c r="N5" s="89" t="s">
        <v>2153</v>
      </c>
      <c r="O5" s="89" t="s">
        <v>2165</v>
      </c>
      <c r="P5" s="89" t="s">
        <v>3177</v>
      </c>
      <c r="Q5" s="151"/>
      <c r="R5" s="150"/>
      <c r="S5" s="146"/>
      <c r="T5" s="147"/>
      <c r="U5" s="139"/>
    </row>
    <row r="6" spans="1:21" ht="22.7" customHeight="1" thickBot="1" x14ac:dyDescent="0.3">
      <c r="A6" s="70" t="s">
        <v>3186</v>
      </c>
      <c r="B6" s="71">
        <v>6459.46</v>
      </c>
      <c r="C6" s="71">
        <v>3670.53</v>
      </c>
      <c r="D6" s="71">
        <v>10129.98</v>
      </c>
      <c r="E6" s="71">
        <v>136.5</v>
      </c>
      <c r="F6" s="71">
        <v>536.5</v>
      </c>
      <c r="G6" s="71">
        <v>673</v>
      </c>
      <c r="H6" s="71">
        <v>10802.98</v>
      </c>
      <c r="I6" s="71">
        <v>0.96</v>
      </c>
      <c r="J6" s="71">
        <v>0.96</v>
      </c>
      <c r="K6" s="71">
        <v>4.43</v>
      </c>
      <c r="L6" s="71">
        <v>15.93</v>
      </c>
      <c r="M6" s="71">
        <v>20.36</v>
      </c>
      <c r="N6" s="71">
        <v>72.239999999999995</v>
      </c>
      <c r="O6" s="71">
        <v>153.51</v>
      </c>
      <c r="P6" s="71">
        <v>225.75</v>
      </c>
      <c r="Q6" s="71">
        <v>247.07</v>
      </c>
      <c r="R6" s="72">
        <v>11050.05</v>
      </c>
      <c r="S6" s="83">
        <v>95.98</v>
      </c>
      <c r="T6" s="84">
        <v>22.21</v>
      </c>
      <c r="U6" s="73">
        <v>146.51999999999998</v>
      </c>
    </row>
  </sheetData>
  <mergeCells count="21">
    <mergeCell ref="B4:G4"/>
    <mergeCell ref="I4:J4"/>
    <mergeCell ref="K4:M4"/>
    <mergeCell ref="N4:P4"/>
    <mergeCell ref="H2:H5"/>
    <mergeCell ref="S1:T1"/>
    <mergeCell ref="U1:U5"/>
    <mergeCell ref="S2:S5"/>
    <mergeCell ref="T2:T5"/>
    <mergeCell ref="A1:A5"/>
    <mergeCell ref="R1:R5"/>
    <mergeCell ref="B1:H1"/>
    <mergeCell ref="I1:Q1"/>
    <mergeCell ref="B2:G2"/>
    <mergeCell ref="I2:J2"/>
    <mergeCell ref="Q2:Q5"/>
    <mergeCell ref="K2:P2"/>
    <mergeCell ref="B3:D3"/>
    <mergeCell ref="E3:G3"/>
    <mergeCell ref="I3:J3"/>
    <mergeCell ref="K3:P3"/>
  </mergeCells>
  <conditionalFormatting sqref="A1:R5">
    <cfRule type="containsText" dxfId="84" priority="29" stopIfTrue="1" operator="containsText" text="С ЛИСТА">
      <formula>NOT(ISERROR(SEARCH("С ЛИСТА",A1)))</formula>
    </cfRule>
    <cfRule type="containsText" dxfId="83" priority="30" stopIfTrue="1" operator="containsText" text="ИЗ ФАЙЛА">
      <formula>NOT(ISERROR(SEARCH("ИЗ ФАЙЛА",A1)))</formula>
    </cfRule>
    <cfRule type="containsText" dxfId="82" priority="31" stopIfTrue="1" operator="containsText" text="!!!">
      <formula>NOT(ISERROR(SEARCH("!!!",A1)))</formula>
    </cfRule>
    <cfRule type="containsText" dxfId="81" priority="32" stopIfTrue="1" operator="containsText" text=" Заполнения проёмов ">
      <formula>NOT(ISERROR(SEARCH(" Заполнения проёмов ",A1)))</formula>
    </cfRule>
    <cfRule type="containsText" dxfId="80" priority="33" stopIfTrue="1" operator="containsText" text=" Сборочные единицы ">
      <formula>NOT(ISERROR(SEARCH(" Сборочные единицы ",A1)))</formula>
    </cfRule>
    <cfRule type="containsText" dxfId="79" priority="34" stopIfTrue="1" operator="containsText" text=" Заполнения проёмов ">
      <formula>NOT(ISERROR(SEARCH(" Заполнения проёмов ",A1)))</formula>
    </cfRule>
    <cfRule type="containsText" dxfId="78" priority="35" stopIfTrue="1" operator="containsText" text=" Сборочные единицы ">
      <formula>NOT(ISERROR(SEARCH(" Сборочные единицы ",A1)))</formula>
    </cfRule>
    <cfRule type="containsText" dxfId="77" priority="36" stopIfTrue="1" operator="containsText" text=" Изделия ">
      <formula>NOT(ISERROR(SEARCH(" Изделия ",A1)))</formula>
    </cfRule>
    <cfRule type="containsText" dxfId="76" priority="37" stopIfTrue="1" operator="containsText" text=" Материалы ">
      <formula>NOT(ISERROR(SEARCH(" Материалы ",A1)))</formula>
    </cfRule>
    <cfRule type="containsText" dxfId="75" priority="38" stopIfTrue="1" operator="containsText" text=" Изделия арматурные ">
      <formula>NOT(ISERROR(SEARCH(" Изделия арматурные ",A1)))</formula>
    </cfRule>
    <cfRule type="containsText" dxfId="74" priority="39" stopIfTrue="1" operator="containsText" text=" Прокат ">
      <formula>NOT(ISERROR(SEARCH(" Прокат ",A1)))</formula>
    </cfRule>
    <cfRule type="containsText" dxfId="73" priority="40" stopIfTrue="1" operator="containsText" text="Элементы на отм.">
      <formula>NOT(ISERROR(SEARCH("Элементы на отм.",A1)))</formula>
    </cfRule>
    <cfRule type="containsText" dxfId="72" priority="41" stopIfTrue="1" operator="containsText" text=", на ">
      <formula>NOT(ISERROR(SEARCH(", на ",A1)))</formula>
    </cfRule>
    <cfRule type="containsText" dxfId="71" priority="42" stopIfTrue="1" operator="containsText" text="шт.)">
      <formula>NOT(ISERROR(SEARCH("шт.)",A1)))</formula>
    </cfRule>
  </conditionalFormatting>
  <conditionalFormatting sqref="A6:R6">
    <cfRule type="containsText" dxfId="70" priority="15" stopIfTrue="1" operator="containsText" text="С ЛИСТА">
      <formula>NOT(ISERROR(SEARCH("С ЛИСТА",A6)))</formula>
    </cfRule>
    <cfRule type="containsText" dxfId="69" priority="16" stopIfTrue="1" operator="containsText" text="ИЗ ФАЙЛА">
      <formula>NOT(ISERROR(SEARCH("ИЗ ФАЙЛА",A6)))</formula>
    </cfRule>
    <cfRule type="containsText" dxfId="68" priority="17" stopIfTrue="1" operator="containsText" text="!!!">
      <formula>NOT(ISERROR(SEARCH("!!!",A6)))</formula>
    </cfRule>
    <cfRule type="containsText" dxfId="67" priority="18" stopIfTrue="1" operator="containsText" text=" Заполнения проёмов ">
      <formula>NOT(ISERROR(SEARCH(" Заполнения проёмов ",A6)))</formula>
    </cfRule>
    <cfRule type="containsText" dxfId="66" priority="19" stopIfTrue="1" operator="containsText" text=" Сборочные единицы ">
      <formula>NOT(ISERROR(SEARCH(" Сборочные единицы ",A6)))</formula>
    </cfRule>
    <cfRule type="containsText" dxfId="65" priority="20" stopIfTrue="1" operator="containsText" text=" Заполнения проёмов ">
      <formula>NOT(ISERROR(SEARCH(" Заполнения проёмов ",A6)))</formula>
    </cfRule>
    <cfRule type="containsText" dxfId="64" priority="21" stopIfTrue="1" operator="containsText" text=" Сборочные единицы ">
      <formula>NOT(ISERROR(SEARCH(" Сборочные единицы ",A6)))</formula>
    </cfRule>
    <cfRule type="containsText" dxfId="63" priority="22" stopIfTrue="1" operator="containsText" text=" Изделия ">
      <formula>NOT(ISERROR(SEARCH(" Изделия ",A6)))</formula>
    </cfRule>
    <cfRule type="containsText" dxfId="62" priority="23" stopIfTrue="1" operator="containsText" text=" Материалы ">
      <formula>NOT(ISERROR(SEARCH(" Материалы ",A6)))</formula>
    </cfRule>
    <cfRule type="containsText" dxfId="61" priority="24" stopIfTrue="1" operator="containsText" text=" Изделия арматурные ">
      <formula>NOT(ISERROR(SEARCH(" Изделия арматурные ",A6)))</formula>
    </cfRule>
    <cfRule type="containsText" dxfId="60" priority="25" stopIfTrue="1" operator="containsText" text=" Прокат ">
      <formula>NOT(ISERROR(SEARCH(" Прокат ",A6)))</formula>
    </cfRule>
    <cfRule type="containsText" dxfId="59" priority="26" stopIfTrue="1" operator="containsText" text="Элементы на отм.">
      <formula>NOT(ISERROR(SEARCH("Элементы на отм.",A6)))</formula>
    </cfRule>
    <cfRule type="containsText" dxfId="58" priority="27" stopIfTrue="1" operator="containsText" text=", на ">
      <formula>NOT(ISERROR(SEARCH(", на ",A6)))</formula>
    </cfRule>
    <cfRule type="containsText" dxfId="57" priority="28" stopIfTrue="1" operator="containsText" text="шт.)">
      <formula>NOT(ISERROR(SEARCH("шт.)",A6)))</formula>
    </cfRule>
  </conditionalFormatting>
  <conditionalFormatting sqref="S1:U6">
    <cfRule type="containsText" dxfId="56" priority="1" stopIfTrue="1" operator="containsText" text="С ЛИСТА">
      <formula>NOT(ISERROR(SEARCH("С ЛИСТА",S1)))</formula>
    </cfRule>
    <cfRule type="containsText" dxfId="55" priority="2" stopIfTrue="1" operator="containsText" text="ИЗ ФАЙЛА">
      <formula>NOT(ISERROR(SEARCH("ИЗ ФАЙЛА",S1)))</formula>
    </cfRule>
    <cfRule type="containsText" dxfId="54" priority="3" stopIfTrue="1" operator="containsText" text="!!!">
      <formula>NOT(ISERROR(SEARCH("!!!",S1)))</formula>
    </cfRule>
    <cfRule type="containsText" dxfId="53" priority="4" stopIfTrue="1" operator="containsText" text=" Заполнения проёмов ">
      <formula>NOT(ISERROR(SEARCH(" Заполнения проёмов ",S1)))</formula>
    </cfRule>
    <cfRule type="containsText" dxfId="52" priority="5" stopIfTrue="1" operator="containsText" text=" Сборочные единицы ">
      <formula>NOT(ISERROR(SEARCH(" Сборочные единицы ",S1)))</formula>
    </cfRule>
    <cfRule type="containsText" dxfId="51" priority="6" stopIfTrue="1" operator="containsText" text=" Заполнения проёмов ">
      <formula>NOT(ISERROR(SEARCH(" Заполнения проёмов ",S1)))</formula>
    </cfRule>
    <cfRule type="containsText" dxfId="50" priority="7" stopIfTrue="1" operator="containsText" text=" Сборочные единицы ">
      <formula>NOT(ISERROR(SEARCH(" Сборочные единицы ",S1)))</formula>
    </cfRule>
    <cfRule type="containsText" dxfId="49" priority="8" stopIfTrue="1" operator="containsText" text=" Изделия ">
      <formula>NOT(ISERROR(SEARCH(" Изделия ",S1)))</formula>
    </cfRule>
    <cfRule type="containsText" dxfId="48" priority="9" stopIfTrue="1" operator="containsText" text=" Материалы ">
      <formula>NOT(ISERROR(SEARCH(" Материалы ",S1)))</formula>
    </cfRule>
    <cfRule type="containsText" dxfId="47" priority="10" stopIfTrue="1" operator="containsText" text=" Изделия арматурные ">
      <formula>NOT(ISERROR(SEARCH(" Изделия арматурные ",S1)))</formula>
    </cfRule>
    <cfRule type="containsText" dxfId="46" priority="11" stopIfTrue="1" operator="containsText" text=" Прокат ">
      <formula>NOT(ISERROR(SEARCH(" Прокат ",S1)))</formula>
    </cfRule>
    <cfRule type="containsText" dxfId="45" priority="12" stopIfTrue="1" operator="containsText" text="Элементы на отм.">
      <formula>NOT(ISERROR(SEARCH("Элементы на отм.",S1)))</formula>
    </cfRule>
    <cfRule type="containsText" dxfId="44" priority="13" stopIfTrue="1" operator="containsText" text=", на ">
      <formula>NOT(ISERROR(SEARCH(", на ",S1)))</formula>
    </cfRule>
    <cfRule type="containsText" dxfId="43" priority="14" stopIfTrue="1" operator="containsText" text="шт.)">
      <formula>NOT(ISERROR(SEARCH("шт.)",S1)))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/>
  </sheetPr>
  <dimension ref="A1:F2"/>
  <sheetViews>
    <sheetView workbookViewId="0"/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86" t="s">
        <v>2903</v>
      </c>
      <c r="B1" s="87" t="s">
        <v>2904</v>
      </c>
      <c r="C1" s="87" t="s">
        <v>2905</v>
      </c>
      <c r="D1" s="87" t="s">
        <v>2906</v>
      </c>
      <c r="E1" s="87" t="s">
        <v>2907</v>
      </c>
      <c r="F1" s="88" t="s">
        <v>2908</v>
      </c>
    </row>
    <row r="2" spans="1:6" ht="32.25" thickBot="1" x14ac:dyDescent="0.3">
      <c r="A2" s="83" t="s">
        <v>3091</v>
      </c>
      <c r="B2" s="84" t="s">
        <v>2902</v>
      </c>
      <c r="C2" s="84" t="s">
        <v>3090</v>
      </c>
      <c r="D2" s="84">
        <v>1</v>
      </c>
      <c r="E2" s="84">
        <v>11050.05</v>
      </c>
      <c r="F2" s="85" t="s">
        <v>4</v>
      </c>
    </row>
  </sheetData>
  <conditionalFormatting sqref="A1:F2">
    <cfRule type="containsText" dxfId="42" priority="1" stopIfTrue="1" operator="containsText" text="С ЛИСТА">
      <formula>NOT(ISERROR(SEARCH("С ЛИСТА",A1)))</formula>
    </cfRule>
    <cfRule type="containsText" dxfId="41" priority="2" stopIfTrue="1" operator="containsText" text="ИЗ ФАЙЛА">
      <formula>NOT(ISERROR(SEARCH("ИЗ ФАЙЛА",A1)))</formula>
    </cfRule>
    <cfRule type="containsText" dxfId="40" priority="3" stopIfTrue="1" operator="containsText" text="!!!">
      <formula>NOT(ISERROR(SEARCH("!!!",A1)))</formula>
    </cfRule>
    <cfRule type="containsText" dxfId="39" priority="4" stopIfTrue="1" operator="containsText" text=" Заполнения проёмов ">
      <formula>NOT(ISERROR(SEARCH(" Заполнения проёмов ",A1)))</formula>
    </cfRule>
    <cfRule type="containsText" dxfId="38" priority="5" stopIfTrue="1" operator="containsText" text=" Сборочные единицы ">
      <formula>NOT(ISERROR(SEARCH(" Сборочные единицы ",A1)))</formula>
    </cfRule>
    <cfRule type="containsText" dxfId="37" priority="6" stopIfTrue="1" operator="containsText" text=" Заполнения проёмов ">
      <formula>NOT(ISERROR(SEARCH(" Заполнения проёмов ",A1)))</formula>
    </cfRule>
    <cfRule type="containsText" dxfId="36" priority="7" stopIfTrue="1" operator="containsText" text=" Сборочные единицы ">
      <formula>NOT(ISERROR(SEARCH(" Сборочные единицы ",A1)))</formula>
    </cfRule>
    <cfRule type="containsText" dxfId="35" priority="8" stopIfTrue="1" operator="containsText" text=" Изделия ">
      <formula>NOT(ISERROR(SEARCH(" Изделия ",A1)))</formula>
    </cfRule>
    <cfRule type="containsText" dxfId="34" priority="9" stopIfTrue="1" operator="containsText" text=" Материалы ">
      <formula>NOT(ISERROR(SEARCH(" Материалы ",A1)))</formula>
    </cfRule>
    <cfRule type="containsText" dxfId="33" priority="10" stopIfTrue="1" operator="containsText" text=" Изделия арматурные ">
      <formula>NOT(ISERROR(SEARCH(" Изделия арматурные ",A1)))</formula>
    </cfRule>
    <cfRule type="containsText" dxfId="32" priority="11" stopIfTrue="1" operator="containsText" text=" Прокат ">
      <formula>NOT(ISERROR(SEARCH(" Прокат ",A1)))</formula>
    </cfRule>
    <cfRule type="containsText" dxfId="31" priority="12" stopIfTrue="1" operator="containsText" text="Элементы на отм.">
      <formula>NOT(ISERROR(SEARCH("Элементы на отм.",A1)))</formula>
    </cfRule>
    <cfRule type="containsText" dxfId="30" priority="13" stopIfTrue="1" operator="containsText" text=", на ">
      <formula>NOT(ISERROR(SEARCH(", на ",A1)))</formula>
    </cfRule>
    <cfRule type="containsText" dxfId="29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R22"/>
  <sheetViews>
    <sheetView workbookViewId="0">
      <selection activeCell="J10" sqref="J10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31.5" x14ac:dyDescent="0.25">
      <c r="A1" s="86" t="s">
        <v>2903</v>
      </c>
      <c r="B1" s="87" t="s">
        <v>2904</v>
      </c>
      <c r="C1" s="87" t="s">
        <v>2905</v>
      </c>
      <c r="D1" s="87" t="s">
        <v>2906</v>
      </c>
      <c r="E1" s="87" t="s">
        <v>2907</v>
      </c>
      <c r="F1" s="88" t="s">
        <v>2908</v>
      </c>
    </row>
    <row r="2" spans="1:6" ht="15.75" x14ac:dyDescent="0.25">
      <c r="A2" s="134" t="s">
        <v>3090</v>
      </c>
      <c r="B2" s="135"/>
      <c r="C2" s="135"/>
      <c r="D2" s="135"/>
      <c r="E2" s="135"/>
      <c r="F2" s="136"/>
    </row>
    <row r="3" spans="1:6" ht="15.75" x14ac:dyDescent="0.25">
      <c r="A3" s="81">
        <v>1</v>
      </c>
      <c r="B3" s="137" t="s">
        <v>3066</v>
      </c>
      <c r="C3" s="80" t="s">
        <v>3242</v>
      </c>
      <c r="D3" s="80">
        <v>3038.51</v>
      </c>
      <c r="E3" s="80">
        <v>1.208</v>
      </c>
      <c r="F3" s="82" t="s">
        <v>2902</v>
      </c>
    </row>
    <row r="4" spans="1:6" ht="15.75" x14ac:dyDescent="0.25">
      <c r="A4" s="81">
        <v>2</v>
      </c>
      <c r="B4" s="137"/>
      <c r="C4" s="80" t="s">
        <v>3243</v>
      </c>
      <c r="D4" s="80">
        <v>3718.76</v>
      </c>
      <c r="E4" s="80">
        <v>0.88800000000000001</v>
      </c>
      <c r="F4" s="82" t="s">
        <v>2902</v>
      </c>
    </row>
    <row r="5" spans="1:6" ht="15.75" x14ac:dyDescent="0.25">
      <c r="A5" s="81">
        <v>3</v>
      </c>
      <c r="B5" s="137"/>
      <c r="C5" s="80" t="s">
        <v>3244</v>
      </c>
      <c r="D5" s="80">
        <v>1070</v>
      </c>
      <c r="E5" s="80">
        <v>1.32</v>
      </c>
      <c r="F5" s="82" t="s">
        <v>0</v>
      </c>
    </row>
    <row r="6" spans="1:6" ht="15.75" x14ac:dyDescent="0.25">
      <c r="A6" s="81">
        <v>4</v>
      </c>
      <c r="B6" s="137"/>
      <c r="C6" s="80" t="s">
        <v>3245</v>
      </c>
      <c r="D6" s="80">
        <v>1720</v>
      </c>
      <c r="E6" s="80">
        <v>0.78</v>
      </c>
      <c r="F6" s="82" t="s">
        <v>0</v>
      </c>
    </row>
    <row r="7" spans="1:6" ht="15.75" x14ac:dyDescent="0.25">
      <c r="A7" s="81">
        <v>5</v>
      </c>
      <c r="B7" s="137"/>
      <c r="C7" s="80" t="s">
        <v>3246</v>
      </c>
      <c r="D7" s="80">
        <v>1950</v>
      </c>
      <c r="E7" s="80">
        <v>6.0000000000000005E-2</v>
      </c>
      <c r="F7" s="82" t="s">
        <v>0</v>
      </c>
    </row>
    <row r="8" spans="1:6" ht="15.75" x14ac:dyDescent="0.25">
      <c r="A8" s="81" t="s">
        <v>3115</v>
      </c>
      <c r="B8" s="80" t="s">
        <v>2902</v>
      </c>
      <c r="C8" s="80" t="s">
        <v>3114</v>
      </c>
      <c r="D8" s="80">
        <v>185</v>
      </c>
      <c r="E8" s="80">
        <v>2.5799999999999996</v>
      </c>
      <c r="F8" s="82" t="s">
        <v>2902</v>
      </c>
    </row>
    <row r="9" spans="1:6" ht="15.75" x14ac:dyDescent="0.25">
      <c r="A9" s="81" t="s">
        <v>3107</v>
      </c>
      <c r="B9" s="137" t="s">
        <v>3102</v>
      </c>
      <c r="C9" s="80" t="s">
        <v>3111</v>
      </c>
      <c r="D9" s="80">
        <v>1</v>
      </c>
      <c r="E9" s="80">
        <v>5.21</v>
      </c>
      <c r="F9" s="82" t="s">
        <v>2902</v>
      </c>
    </row>
    <row r="10" spans="1:6" ht="15.75" x14ac:dyDescent="0.25">
      <c r="A10" s="81" t="s">
        <v>3105</v>
      </c>
      <c r="B10" s="137"/>
      <c r="C10" s="80" t="s">
        <v>3104</v>
      </c>
      <c r="D10" s="80">
        <v>17</v>
      </c>
      <c r="E10" s="80">
        <v>11.09</v>
      </c>
      <c r="F10" s="82" t="s">
        <v>2902</v>
      </c>
    </row>
    <row r="11" spans="1:6" ht="15.75" x14ac:dyDescent="0.25">
      <c r="A11" s="81" t="s">
        <v>3103</v>
      </c>
      <c r="B11" s="137"/>
      <c r="C11" s="80" t="s">
        <v>3101</v>
      </c>
      <c r="D11" s="80">
        <v>4</v>
      </c>
      <c r="E11" s="80">
        <v>11.52</v>
      </c>
      <c r="F11" s="82" t="s">
        <v>2902</v>
      </c>
    </row>
    <row r="12" spans="1:6" ht="15.75" x14ac:dyDescent="0.25">
      <c r="A12" s="81" t="s">
        <v>2902</v>
      </c>
      <c r="B12" s="80" t="s">
        <v>2902</v>
      </c>
      <c r="C12" s="80" t="s">
        <v>3077</v>
      </c>
      <c r="D12" s="80">
        <v>7.8</v>
      </c>
      <c r="E12" s="80" t="s">
        <v>2902</v>
      </c>
      <c r="F12" s="82" t="s">
        <v>20</v>
      </c>
    </row>
    <row r="13" spans="1:6" ht="31.5" x14ac:dyDescent="0.25">
      <c r="A13" s="81" t="s">
        <v>2902</v>
      </c>
      <c r="B13" s="80" t="s">
        <v>3079</v>
      </c>
      <c r="C13" s="80" t="s">
        <v>3078</v>
      </c>
      <c r="D13" s="80">
        <v>243.42499999999998</v>
      </c>
      <c r="E13" s="80" t="s">
        <v>2902</v>
      </c>
      <c r="F13" s="82" t="s">
        <v>2371</v>
      </c>
    </row>
    <row r="14" spans="1:6" ht="15.75" x14ac:dyDescent="0.25">
      <c r="A14" s="81" t="s">
        <v>2902</v>
      </c>
      <c r="B14" s="137" t="s">
        <v>3081</v>
      </c>
      <c r="C14" s="80" t="s">
        <v>3089</v>
      </c>
      <c r="D14" s="80">
        <v>95.98</v>
      </c>
      <c r="E14" s="80" t="s">
        <v>2902</v>
      </c>
      <c r="F14" s="82" t="s">
        <v>3</v>
      </c>
    </row>
    <row r="15" spans="1:6" ht="15.75" x14ac:dyDescent="0.25">
      <c r="A15" s="81" t="s">
        <v>2902</v>
      </c>
      <c r="B15" s="137"/>
      <c r="C15" s="80" t="s">
        <v>3239</v>
      </c>
      <c r="D15" s="80">
        <v>28.310000000000002</v>
      </c>
      <c r="E15" s="80" t="s">
        <v>2902</v>
      </c>
      <c r="F15" s="82" t="s">
        <v>3</v>
      </c>
    </row>
    <row r="16" spans="1:6" ht="15.75" x14ac:dyDescent="0.25">
      <c r="A16" s="81" t="s">
        <v>2902</v>
      </c>
      <c r="B16" s="137"/>
      <c r="C16" s="80" t="s">
        <v>3088</v>
      </c>
      <c r="D16" s="80">
        <v>22.200000000000003</v>
      </c>
      <c r="E16" s="80" t="s">
        <v>2902</v>
      </c>
      <c r="F16" s="82" t="s">
        <v>3</v>
      </c>
    </row>
    <row r="17" spans="1:6" ht="15.75" x14ac:dyDescent="0.25">
      <c r="A17" s="81" t="s">
        <v>2902</v>
      </c>
      <c r="B17" s="137"/>
      <c r="C17" s="80" t="s">
        <v>3080</v>
      </c>
      <c r="D17" s="80">
        <v>1599.65</v>
      </c>
      <c r="E17" s="80" t="s">
        <v>2902</v>
      </c>
      <c r="F17" s="82" t="s">
        <v>2369</v>
      </c>
    </row>
    <row r="18" spans="1:6" ht="31.5" x14ac:dyDescent="0.25">
      <c r="A18" s="81" t="s">
        <v>2902</v>
      </c>
      <c r="B18" s="80" t="s">
        <v>2902</v>
      </c>
      <c r="C18" s="80" t="s">
        <v>3076</v>
      </c>
      <c r="D18" s="80">
        <v>3.59</v>
      </c>
      <c r="E18" s="80" t="s">
        <v>2902</v>
      </c>
      <c r="F18" s="82" t="s">
        <v>2369</v>
      </c>
    </row>
    <row r="19" spans="1:6" ht="15.75" x14ac:dyDescent="0.25">
      <c r="A19" s="134" t="s">
        <v>3274</v>
      </c>
      <c r="B19" s="135"/>
      <c r="C19" s="135"/>
      <c r="D19" s="135"/>
      <c r="E19" s="135"/>
      <c r="F19" s="136"/>
    </row>
    <row r="20" spans="1:6" ht="15.75" x14ac:dyDescent="0.25">
      <c r="A20" s="81">
        <v>3</v>
      </c>
      <c r="B20" s="137" t="s">
        <v>3066</v>
      </c>
      <c r="C20" s="80" t="s">
        <v>3273</v>
      </c>
      <c r="D20" s="80">
        <v>4</v>
      </c>
      <c r="E20" s="80">
        <v>0.18</v>
      </c>
      <c r="F20" s="82" t="s">
        <v>0</v>
      </c>
    </row>
    <row r="21" spans="1:6" ht="15.75" x14ac:dyDescent="0.25">
      <c r="A21" s="81">
        <v>4</v>
      </c>
      <c r="B21" s="137"/>
      <c r="C21" s="80" t="s">
        <v>3243</v>
      </c>
      <c r="D21" s="80">
        <v>918.98</v>
      </c>
      <c r="E21" s="80">
        <v>0.88800000000000001</v>
      </c>
      <c r="F21" s="82" t="s">
        <v>2902</v>
      </c>
    </row>
    <row r="22" spans="1:6" ht="16.5" thickBot="1" x14ac:dyDescent="0.3">
      <c r="A22" s="83">
        <v>5</v>
      </c>
      <c r="B22" s="141"/>
      <c r="C22" s="84" t="s">
        <v>3246</v>
      </c>
      <c r="D22" s="84">
        <v>351</v>
      </c>
      <c r="E22" s="84">
        <v>6.0000000000000005E-2</v>
      </c>
      <c r="F22" s="85" t="s">
        <v>0</v>
      </c>
    </row>
  </sheetData>
  <mergeCells count="6">
    <mergeCell ref="A19:F19"/>
    <mergeCell ref="B20:B22"/>
    <mergeCell ref="A2:F2"/>
    <mergeCell ref="B3:B7"/>
    <mergeCell ref="B9:B11"/>
    <mergeCell ref="B14:B17"/>
  </mergeCells>
  <conditionalFormatting sqref="A1:F22">
    <cfRule type="containsText" dxfId="28" priority="14" stopIfTrue="1" operator="containsText" text="шт.)">
      <formula>NOT(ISERROR(SEARCH("шт.)",A1)))</formula>
    </cfRule>
    <cfRule type="containsText" dxfId="27" priority="13" stopIfTrue="1" operator="containsText" text=", на ">
      <formula>NOT(ISERROR(SEARCH(", на ",A1)))</formula>
    </cfRule>
    <cfRule type="containsText" dxfId="26" priority="12" stopIfTrue="1" operator="containsText" text="Элементы на отм.">
      <formula>NOT(ISERROR(SEARCH("Элементы на отм.",A1)))</formula>
    </cfRule>
    <cfRule type="containsText" dxfId="25" priority="11" stopIfTrue="1" operator="containsText" text=" Прокат ">
      <formula>NOT(ISERROR(SEARCH(" Прокат ",A1)))</formula>
    </cfRule>
    <cfRule type="containsText" dxfId="24" priority="10" stopIfTrue="1" operator="containsText" text=" Изделия арматурные ">
      <formula>NOT(ISERROR(SEARCH(" Изделия арматурные ",A1)))</formula>
    </cfRule>
    <cfRule type="containsText" dxfId="23" priority="9" stopIfTrue="1" operator="containsText" text=" Материалы ">
      <formula>NOT(ISERROR(SEARCH(" Материалы ",A1)))</formula>
    </cfRule>
    <cfRule type="containsText" dxfId="22" priority="8" stopIfTrue="1" operator="containsText" text=" Изделия ">
      <formula>NOT(ISERROR(SEARCH(" Изделия ",A1)))</formula>
    </cfRule>
    <cfRule type="containsText" dxfId="21" priority="7" stopIfTrue="1" operator="containsText" text=" Сборочные единицы ">
      <formula>NOT(ISERROR(SEARCH(" Сборочные единицы ",A1)))</formula>
    </cfRule>
    <cfRule type="containsText" dxfId="20" priority="6" stopIfTrue="1" operator="containsText" text=" Заполнения проёмов ">
      <formula>NOT(ISERROR(SEARCH(" Заполнения проёмов ",A1)))</formula>
    </cfRule>
    <cfRule type="containsText" dxfId="19" priority="5" stopIfTrue="1" operator="containsText" text=" Сборочные единицы ">
      <formula>NOT(ISERROR(SEARCH(" Сборочные единицы ",A1)))</formula>
    </cfRule>
    <cfRule type="containsText" dxfId="18" priority="4" stopIfTrue="1" operator="containsText" text=" Заполнения проёмов ">
      <formula>NOT(ISERROR(SEARCH(" Заполнения проёмов ",A1)))</formula>
    </cfRule>
    <cfRule type="containsText" dxfId="17" priority="3" stopIfTrue="1" operator="containsText" text="!!!">
      <formula>NOT(ISERROR(SEARCH("!!!",A1)))</formula>
    </cfRule>
    <cfRule type="containsText" dxfId="16" priority="2" stopIfTrue="1" operator="containsText" text="ИЗ ФАЙЛА">
      <formula>NOT(ISERROR(SEARCH("ИЗ ФАЙЛА",A1)))</formula>
    </cfRule>
    <cfRule type="containsText" dxfId="15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|Содержание|</vt:lpstr>
      <vt:lpstr>|Лог|</vt:lpstr>
      <vt:lpstr>Спм1_спец</vt:lpstr>
      <vt:lpstr>!System</vt:lpstr>
      <vt:lpstr>Спм1_норм</vt:lpstr>
      <vt:lpstr>Пдм1_спец</vt:lpstr>
      <vt:lpstr>Отделка_экспл</vt:lpstr>
      <vt:lpstr>Отделка_правила</vt:lpstr>
      <vt:lpstr>Отделка_вед</vt:lpstr>
      <vt:lpstr>Кровля_спец</vt:lpstr>
      <vt:lpstr>Изделия_спец.И</vt:lpstr>
      <vt:lpstr>Ведомость отделки фасадов</vt:lpstr>
      <vt:lpstr>Бм_спец</vt:lpstr>
      <vt:lpstr>Кровля_об</vt:lpstr>
      <vt:lpstr>Пандус_об</vt:lpstr>
      <vt:lpstr>Спм1_гр</vt:lpstr>
      <vt:lpstr>Спм1_кж</vt:lpstr>
      <vt:lpstr>Спм1</vt:lpstr>
      <vt:lpstr>Спм1_об</vt:lpstr>
      <vt:lpstr>'Ведомость отделки фасадов'!Область_печати</vt:lpstr>
      <vt:lpstr>Кровля_об!Область_печати</vt:lpstr>
      <vt:lpstr>Отделка_вед!Область_печати</vt:lpstr>
      <vt:lpstr>Пандус_об!Область_печати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2020-05-04T20:02:16Z</cp:lastPrinted>
  <dcterms:created xsi:type="dcterms:W3CDTF">2014-07-19T16:57:30Z</dcterms:created>
  <dcterms:modified xsi:type="dcterms:W3CDTF">2020-09-03T13:04:15Z</dcterms:modified>
</cp:coreProperties>
</file>