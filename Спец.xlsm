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10230" yWindow="0" windowWidth="17700" windowHeight="8340" tabRatio="850" firstSheet="1" activeTab="8"/>
  </bookViews>
  <sheets>
    <sheet name="|Содержание|" sheetId="661" r:id="rId1"/>
    <sheet name="|Лог|" sheetId="948" r:id="rId2"/>
    <sheet name="Пфм1_спец" sheetId="969" r:id="rId3"/>
    <sheet name="Изделия_спец.И" sheetId="939" r:id="rId4"/>
    <sheet name="Ведомость отделки_правила" sheetId="999" r:id="rId5"/>
    <sheet name="Кладочный план_об" sheetId="1015" r:id="rId6"/>
    <sheet name="Пример 4" sheetId="1016" r:id="rId7"/>
    <sheet name="Пример 4_об" sheetId="1017" r:id="rId8"/>
    <sheet name="Пример 4_гр" sheetId="1018" r:id="rId9"/>
    <sheet name="!System" sheetId="932" state="hidden" r:id="rId10"/>
  </sheets>
  <functionGroups builtInGroupCount="18"/>
  <externalReferences>
    <externalReference r:id="rId11"/>
  </externalReferences>
  <calcPr calcId="162913"/>
</workbook>
</file>

<file path=xl/calcChain.xml><?xml version="1.0" encoding="utf-8"?>
<calcChain xmlns="http://schemas.openxmlformats.org/spreadsheetml/2006/main">
  <c r="C13" i="999" l="1"/>
  <c r="C12" i="999"/>
  <c r="C11" i="999"/>
  <c r="C10" i="999"/>
  <c r="C9" i="999"/>
  <c r="C8" i="999"/>
  <c r="C7" i="999"/>
  <c r="K43" i="939"/>
  <c r="A43" i="939"/>
  <c r="A44" i="939" s="1"/>
  <c r="B42" i="939"/>
  <c r="A38" i="939"/>
  <c r="A39" i="939" s="1"/>
  <c r="B37" i="939"/>
  <c r="A33" i="939"/>
  <c r="A32" i="939"/>
  <c r="D31" i="939"/>
  <c r="B31" i="939"/>
  <c r="A28" i="939"/>
  <c r="A27" i="939"/>
  <c r="B26" i="939"/>
  <c r="D26" i="939" s="1"/>
  <c r="A23" i="939"/>
  <c r="A22" i="939"/>
  <c r="B21" i="939"/>
  <c r="D21" i="939" s="1"/>
  <c r="A17" i="939"/>
  <c r="A16" i="939"/>
  <c r="D15" i="939"/>
  <c r="B15" i="939"/>
  <c r="A12" i="939"/>
  <c r="A11" i="939"/>
  <c r="B10" i="939"/>
  <c r="D10" i="939" s="1"/>
  <c r="A7" i="939"/>
  <c r="A6" i="939"/>
  <c r="B5" i="939"/>
  <c r="D5" i="939" s="1"/>
  <c r="H17" i="969"/>
  <c r="E17" i="969"/>
  <c r="D16" i="969"/>
  <c r="C16" i="969"/>
  <c r="B16" i="969"/>
  <c r="E15" i="969"/>
  <c r="E14" i="969"/>
  <c r="D11" i="969"/>
  <c r="A10" i="969"/>
  <c r="A11" i="969" s="1"/>
  <c r="A12" i="969" s="1"/>
  <c r="A13" i="969" s="1"/>
  <c r="A14" i="969" s="1"/>
  <c r="H30" i="969"/>
  <c r="H83" i="969"/>
  <c r="H81" i="969"/>
  <c r="H66" i="969"/>
  <c r="H65" i="969"/>
  <c r="H15" i="969"/>
  <c r="H56" i="969"/>
  <c r="H43" i="969"/>
  <c r="H84" i="969"/>
  <c r="H62" i="969"/>
  <c r="H89" i="969"/>
  <c r="H60" i="969"/>
  <c r="H57" i="969"/>
  <c r="H61" i="969"/>
  <c r="H14" i="969"/>
  <c r="H82" i="969"/>
  <c r="H29" i="969"/>
  <c r="A9" i="969" l="1"/>
  <c r="A8" i="969" s="1"/>
  <c r="A7" i="969" s="1"/>
  <c r="A6" i="969" s="1"/>
  <c r="A5" i="969" s="1"/>
  <c r="A4" i="969" s="1"/>
  <c r="A3" i="969" s="1"/>
  <c r="A16" i="969"/>
  <c r="A15" i="969"/>
  <c r="A17" i="969" s="1"/>
  <c r="A18" i="969" s="1"/>
</calcChain>
</file>

<file path=xl/sharedStrings.xml><?xml version="1.0" encoding="utf-8"?>
<sst xmlns="http://schemas.openxmlformats.org/spreadsheetml/2006/main" count="4372" uniqueCount="2887">
  <si>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</si>
  <si>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</si>
  <si>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</si>
  <si>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</si>
  <si>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</si>
  <si>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</si>
  <si>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</si>
  <si>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</si>
  <si>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</si>
  <si>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</si>
  <si>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</si>
  <si>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</si>
  <si>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</si>
  <si>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</si>
  <si>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</si>
  <si>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</si>
  <si>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</si>
  <si>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</si>
  <si>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</si>
  <si>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</si>
  <si>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</si>
  <si>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</si>
  <si>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</si>
  <si>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</si>
  <si>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</si>
  <si>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</si>
  <si>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</si>
  <si>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</si>
  <si>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</si>
  <si>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</si>
  <si>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</si>
  <si>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</si>
  <si>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</si>
  <si>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</si>
  <si>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</si>
  <si>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</si>
  <si>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</si>
  <si>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</si>
  <si>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</si>
  <si>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</si>
  <si>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</si>
  <si>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</si>
  <si>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</si>
  <si>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</si>
  <si>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</si>
  <si>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</si>
  <si>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</si>
  <si>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</si>
  <si>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</si>
  <si>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</si>
  <si>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</si>
  <si>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</si>
  <si>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</si>
  <si>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</si>
  <si>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</si>
  <si>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</si>
  <si>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</si>
  <si>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</si>
  <si>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</si>
  <si>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</si>
  <si>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</si>
  <si>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</si>
  <si>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</si>
  <si>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</si>
  <si>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</si>
  <si>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</si>
  <si>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</si>
  <si>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</si>
  <si>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</si>
  <si>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</si>
  <si>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</si>
  <si>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</si>
  <si>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</si>
  <si>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</si>
  <si>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</si>
  <si>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</si>
  <si>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</si>
  <si>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</si>
  <si>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</si>
  <si>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</si>
  <si>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</si>
  <si>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</si>
  <si>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</si>
  <si>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</si>
  <si>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</si>
  <si>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</si>
  <si>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</si>
  <si>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</si>
  <si>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</si>
  <si>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</si>
  <si>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</si>
  <si>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</si>
  <si>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</si>
  <si>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</si>
  <si>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</si>
  <si>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</si>
  <si>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</si>
  <si>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</si>
  <si>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</si>
  <si>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</si>
  <si>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</si>
  <si>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</si>
  <si>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</si>
  <si>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</si>
  <si>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</si>
  <si>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</si>
  <si>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</si>
  <si>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</si>
  <si>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</si>
  <si>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</si>
  <si>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</si>
  <si>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</si>
  <si>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</si>
  <si>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</si>
  <si>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</si>
  <si>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</si>
  <si>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</si>
  <si>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</si>
  <si>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</si>
  <si>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</si>
  <si>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</si>
  <si>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</si>
  <si>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</si>
  <si>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</si>
  <si>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</si>
  <si>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</si>
  <si>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</si>
  <si>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</si>
  <si>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</si>
  <si>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</si>
  <si>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</si>
  <si>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</si>
  <si>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</si>
  <si>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</si>
  <si>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</si>
  <si>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</si>
  <si>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</si>
  <si>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</si>
  <si>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</si>
  <si>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</si>
  <si>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</si>
  <si>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</si>
  <si>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</si>
  <si>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</si>
  <si>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</si>
  <si>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</si>
  <si>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</si>
  <si>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</si>
  <si>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</si>
  <si>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</si>
  <si>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</si>
  <si>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</si>
  <si>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</si>
  <si>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</si>
  <si>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</si>
  <si>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</si>
  <si>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</si>
  <si>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</si>
  <si>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</si>
  <si>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</si>
  <si>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</si>
  <si>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</si>
  <si>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</si>
  <si>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</si>
  <si>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</si>
  <si>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</si>
  <si>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</si>
  <si>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</si>
  <si>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</si>
  <si>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</si>
  <si>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</si>
  <si>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</si>
  <si>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</si>
  <si>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</si>
  <si>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</si>
  <si>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</si>
  <si>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</si>
  <si>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</si>
  <si>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</si>
  <si>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</si>
  <si>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</si>
  <si>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</si>
  <si>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</si>
  <si>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</si>
  <si>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</si>
  <si>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</si>
  <si>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</si>
  <si>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</si>
  <si>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</si>
  <si>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</si>
  <si>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</si>
  <si>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</si>
  <si>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</si>
  <si>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</si>
  <si>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</si>
  <si>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</si>
  <si>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</si>
  <si>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</si>
  <si>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</si>
  <si>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</si>
  <si>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</si>
  <si>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</si>
  <si>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</si>
  <si>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</si>
  <si>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</si>
  <si>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</si>
  <si>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</si>
  <si>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</si>
  <si>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</si>
  <si>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</si>
  <si>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</si>
  <si>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</si>
  <si>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</si>
  <si>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</si>
  <si>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</si>
  <si>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</si>
  <si>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</si>
  <si>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</si>
  <si>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</si>
  <si>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</si>
  <si>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</si>
  <si>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</si>
  <si>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</si>
  <si>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</si>
  <si>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</si>
  <si>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</si>
  <si>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</si>
  <si>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</si>
  <si>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</si>
  <si>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</si>
  <si>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</si>
  <si>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</si>
  <si>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</si>
  <si>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</si>
  <si>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</si>
  <si>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</si>
  <si>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</si>
  <si>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</si>
  <si>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</si>
  <si>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</si>
  <si>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</si>
  <si>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</si>
  <si>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</si>
  <si>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</si>
  <si>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</si>
  <si>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</si>
  <si>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</si>
  <si>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</si>
  <si>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</si>
  <si>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</si>
  <si>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</si>
  <si>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</si>
  <si>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</si>
  <si>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</si>
  <si>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</si>
  <si>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</si>
  <si>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</si>
  <si>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</si>
  <si>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</si>
  <si>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</si>
  <si>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</si>
  <si>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</si>
  <si>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</si>
  <si>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</si>
  <si>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</si>
  <si>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</si>
  <si>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</si>
  <si>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</si>
  <si>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</si>
  <si>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</si>
  <si>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</si>
  <si>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</si>
  <si>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</si>
  <si>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</si>
  <si>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</si>
  <si>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</si>
  <si>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</si>
  <si>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</si>
  <si>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</si>
  <si>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</si>
  <si>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</si>
  <si>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</si>
  <si>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</si>
  <si>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</si>
  <si>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</si>
  <si>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</si>
  <si>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</si>
  <si>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</si>
  <si>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</si>
  <si>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</si>
  <si>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</si>
  <si>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</si>
  <si>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</si>
  <si>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</si>
  <si>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</si>
  <si>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</si>
  <si>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</si>
  <si>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</si>
  <si>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</si>
  <si>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</si>
  <si>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</si>
  <si>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</si>
  <si>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</si>
  <si>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</si>
  <si>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</si>
  <si>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</si>
  <si>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</si>
  <si>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</si>
  <si>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</si>
  <si>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</si>
  <si>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</si>
  <si>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</si>
  <si>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</si>
  <si>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</si>
  <si>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</si>
  <si>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</si>
  <si>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</si>
  <si>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</si>
  <si>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</si>
  <si>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</si>
  <si>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</si>
  <si>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</si>
  <si>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</si>
  <si>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</si>
  <si>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</si>
  <si>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</si>
  <si>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</si>
  <si>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</si>
  <si>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</si>
  <si>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</si>
  <si>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</si>
  <si>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</si>
  <si>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</si>
  <si>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</si>
  <si>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</si>
  <si>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</si>
  <si>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</si>
  <si>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</si>
  <si>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</si>
  <si>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</si>
  <si>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</si>
  <si>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</si>
  <si>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</si>
  <si>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</si>
  <si>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</si>
  <si>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</si>
  <si>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</si>
  <si>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</si>
  <si>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</si>
  <si>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</si>
  <si>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</si>
  <si>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</si>
  <si>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</si>
  <si>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</si>
  <si>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</si>
  <si>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</si>
  <si>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</si>
  <si>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</si>
  <si>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</si>
  <si>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</si>
  <si>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</si>
  <si>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</si>
  <si>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</si>
  <si>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</si>
  <si>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</si>
  <si>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</si>
  <si>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</si>
  <si>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</si>
  <si>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</si>
  <si>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</si>
  <si>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</si>
  <si>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</si>
  <si>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</si>
  <si>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</si>
  <si>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</si>
  <si>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</si>
  <si>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</si>
  <si>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</si>
  <si>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</si>
  <si>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</si>
  <si>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</si>
  <si>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</si>
  <si>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</si>
  <si>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</si>
  <si>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</si>
  <si>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</si>
  <si>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</si>
  <si>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</si>
  <si>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</si>
  <si>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</si>
  <si>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</si>
  <si>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</si>
  <si>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</si>
  <si>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</si>
  <si>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</si>
  <si>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</si>
  <si>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</si>
  <si>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</si>
  <si>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</si>
  <si>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</si>
  <si>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</si>
  <si>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</si>
  <si>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</si>
  <si>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</si>
  <si>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</si>
  <si>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</si>
  <si>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</si>
  <si>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</si>
  <si>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</si>
  <si>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</si>
  <si>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</si>
  <si>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</si>
  <si>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</si>
  <si>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</si>
  <si>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</si>
  <si>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</si>
  <si>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</si>
  <si>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</si>
  <si>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</si>
  <si>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</si>
  <si>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</si>
  <si>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</si>
  <si>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</si>
  <si>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</si>
  <si>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</si>
  <si>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</si>
  <si>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</si>
  <si>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</si>
  <si>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</si>
  <si>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</si>
  <si>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</si>
  <si>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</si>
  <si>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</si>
  <si>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</si>
  <si>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</si>
  <si>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</si>
  <si>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</si>
  <si>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</si>
  <si>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</si>
  <si>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</si>
  <si>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</si>
  <si>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</si>
  <si>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</si>
  <si>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</si>
  <si>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</si>
  <si>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</si>
  <si>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</si>
  <si>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</si>
  <si>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</si>
  <si>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</si>
  <si>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</si>
  <si>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</si>
  <si>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</si>
  <si>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</si>
  <si>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</si>
  <si>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</si>
  <si>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</si>
  <si>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</si>
  <si>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</si>
  <si>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</si>
  <si>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</si>
  <si>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</si>
  <si>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</si>
  <si>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</si>
  <si>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</si>
  <si>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</si>
  <si>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</si>
  <si>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</si>
  <si>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</si>
  <si>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</si>
  <si>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</si>
  <si>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</si>
  <si>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</si>
  <si>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</si>
  <si>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</si>
  <si>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</si>
  <si>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</si>
  <si>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</si>
  <si>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</si>
  <si>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</si>
  <si>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</si>
  <si>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</si>
  <si>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</si>
  <si>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</si>
  <si>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</si>
  <si>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</si>
  <si>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</si>
  <si>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</si>
  <si>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</si>
  <si>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</si>
  <si>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</si>
  <si>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</si>
  <si>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</si>
  <si>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</si>
  <si>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</si>
  <si>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</si>
  <si>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</si>
  <si>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</si>
  <si>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</si>
  <si>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</si>
  <si>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</si>
  <si>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</si>
  <si>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</si>
  <si>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</si>
  <si>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</si>
  <si>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</si>
  <si>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</si>
  <si>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</si>
  <si>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</si>
  <si>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</si>
  <si>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</si>
  <si>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</si>
  <si>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</si>
  <si>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</si>
  <si>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</si>
  <si>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</si>
  <si>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</si>
  <si>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</si>
  <si>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</si>
  <si>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</si>
  <si>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</si>
  <si>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</si>
  <si>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</si>
  <si>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</si>
  <si>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</si>
  <si>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</si>
  <si>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</si>
  <si>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</si>
  <si>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</si>
  <si>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</si>
  <si>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</si>
  <si>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</si>
  <si>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</si>
  <si>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</si>
  <si>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</si>
  <si>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</si>
  <si>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</si>
  <si>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</si>
  <si>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</si>
  <si>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</si>
  <si>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</si>
  <si>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</si>
  <si>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</si>
  <si>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</si>
  <si>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</si>
  <si>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</si>
  <si>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</si>
  <si>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</si>
  <si>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</si>
  <si>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</si>
  <si>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</si>
  <si>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</si>
  <si>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</si>
  <si>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</si>
  <si>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</si>
  <si>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</si>
  <si>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</si>
  <si>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</si>
  <si>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</si>
  <si>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</si>
  <si>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</si>
  <si>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</si>
  <si>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</si>
  <si>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</si>
  <si>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</si>
  <si>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</si>
  <si>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</si>
  <si>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</si>
  <si>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</si>
  <si>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</si>
  <si>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</si>
  <si>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</si>
  <si>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</si>
  <si>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</si>
  <si>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</si>
  <si>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</si>
  <si>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</si>
  <si>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</si>
  <si>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</si>
  <si>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</si>
  <si>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</si>
  <si>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</si>
  <si>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</si>
  <si>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</si>
  <si>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</si>
  <si>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</si>
  <si>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</si>
  <si>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</si>
  <si>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</si>
  <si>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</si>
  <si>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</si>
  <si>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</si>
  <si>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</si>
  <si>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</si>
  <si>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</si>
  <si>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</si>
  <si>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</si>
  <si>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</si>
  <si>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</si>
  <si>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</si>
  <si>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</si>
  <si>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</si>
  <si>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</si>
  <si>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</si>
  <si>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</si>
  <si>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</si>
  <si>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</si>
  <si>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</si>
  <si>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</si>
  <si>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</si>
  <si>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</si>
  <si>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</si>
  <si>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</si>
  <si>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</si>
  <si>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</si>
  <si>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</si>
  <si>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</si>
  <si>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</si>
  <si>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</si>
  <si>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</si>
  <si>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</si>
  <si>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</si>
  <si>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</si>
  <si>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</si>
  <si>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</si>
  <si>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</si>
  <si>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</si>
  <si>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</si>
  <si>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</si>
  <si>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</si>
  <si>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</si>
  <si>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</si>
  <si>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</si>
  <si>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</si>
  <si>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</si>
  <si>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</si>
  <si>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</si>
  <si>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</si>
  <si>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</si>
  <si>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</si>
  <si>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</si>
  <si>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</si>
  <si>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</si>
  <si>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</si>
  <si>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</si>
  <si>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</si>
  <si>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</si>
  <si>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</si>
  <si>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</si>
  <si>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</si>
  <si>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</si>
  <si>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</si>
  <si>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</si>
  <si>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</si>
  <si>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</si>
  <si>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</si>
  <si>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</si>
  <si>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</si>
  <si>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</si>
  <si>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</si>
  <si>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</si>
  <si>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</si>
  <si>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</si>
  <si>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</si>
  <si>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</si>
  <si>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</si>
  <si>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</si>
  <si>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</si>
  <si>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</si>
  <si>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</si>
  <si>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</si>
  <si>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</si>
  <si>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</si>
  <si>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</si>
  <si>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</si>
  <si>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</si>
  <si>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</si>
  <si>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</si>
  <si>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</si>
  <si>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</si>
  <si>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</si>
  <si>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</si>
  <si>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</si>
  <si>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</si>
  <si>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</si>
  <si>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</si>
  <si>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</si>
  <si>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</si>
  <si>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</si>
  <si>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</si>
  <si>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</si>
  <si>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</si>
  <si>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</si>
  <si>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</si>
  <si>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</si>
  <si>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</si>
  <si>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</si>
  <si>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</si>
  <si>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</si>
  <si>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</si>
  <si>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</si>
  <si>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</si>
  <si>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</si>
  <si>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</si>
  <si>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</si>
  <si>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</si>
  <si>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</si>
  <si>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</si>
  <si>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</si>
  <si>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</si>
  <si>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</si>
  <si>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</si>
  <si>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</si>
  <si>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</si>
  <si>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</si>
  <si>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</si>
  <si>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</si>
  <si>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</si>
  <si>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</si>
  <si>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</si>
  <si>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</si>
  <si>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</si>
  <si>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</si>
  <si>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</si>
  <si>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</si>
  <si>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</si>
  <si>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</si>
  <si>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</si>
  <si>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</si>
  <si>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</si>
  <si>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</si>
  <si>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</si>
  <si>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</si>
  <si>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</si>
  <si>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</si>
  <si>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</si>
  <si>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</si>
  <si>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</si>
  <si>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</si>
  <si>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</si>
  <si>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</si>
  <si>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</si>
  <si>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</si>
  <si>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</si>
  <si>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</si>
  <si>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</si>
  <si>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</si>
  <si>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</si>
  <si>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</si>
  <si>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</si>
  <si>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</si>
  <si>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</si>
  <si>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</si>
  <si>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</si>
  <si>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</si>
  <si>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</si>
  <si>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</si>
  <si>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</si>
  <si>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</si>
  <si>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</si>
  <si>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</si>
  <si>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</si>
  <si>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</si>
  <si>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</si>
  <si>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</si>
  <si>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</si>
  <si>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</si>
  <si>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</si>
  <si>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</si>
  <si>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</si>
  <si>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</si>
  <si>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</si>
  <si>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</si>
  <si>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</si>
  <si>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</si>
  <si>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</si>
  <si>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</si>
  <si>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</si>
  <si>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</si>
  <si>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</si>
  <si>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</si>
  <si>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</si>
  <si>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</si>
  <si>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</si>
  <si>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</si>
  <si>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</si>
  <si>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</si>
  <si>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</si>
  <si>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</si>
  <si>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</si>
  <si>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</si>
  <si>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</si>
  <si>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</si>
  <si>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</si>
  <si>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</si>
  <si>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</si>
  <si>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</si>
  <si>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</si>
  <si>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</si>
  <si>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</si>
  <si>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</si>
  <si>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</si>
  <si>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</si>
  <si>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</si>
  <si>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</si>
  <si>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</si>
  <si>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</si>
  <si>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</si>
  <si>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</si>
  <si>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</si>
  <si>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</si>
  <si>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</si>
  <si>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</si>
  <si>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</si>
  <si>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</si>
  <si>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</si>
  <si>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</si>
  <si>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</si>
  <si>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</si>
  <si>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</si>
  <si>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</si>
  <si>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</si>
  <si>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</si>
  <si>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</si>
  <si>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</si>
  <si>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</si>
  <si>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</si>
  <si>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</si>
  <si>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</si>
  <si>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</si>
  <si>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</si>
  <si>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</si>
  <si>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</si>
  <si>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</si>
  <si>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</si>
  <si>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</si>
  <si>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</si>
  <si>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</si>
  <si>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</si>
  <si>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</si>
  <si>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</si>
  <si>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</si>
  <si>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</si>
  <si>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</si>
  <si>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</si>
  <si>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</si>
  <si>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</si>
  <si>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</si>
  <si>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</si>
  <si>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</si>
  <si>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</si>
  <si>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</si>
  <si>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</si>
  <si>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</si>
  <si>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</si>
  <si>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</si>
  <si>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</si>
  <si>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</si>
  <si>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</si>
  <si>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</si>
  <si>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</si>
  <si>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</si>
  <si>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</si>
  <si>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</si>
  <si>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</si>
  <si>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</si>
  <si>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</si>
  <si>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</si>
  <si>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</si>
  <si>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</si>
  <si>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</si>
  <si>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</si>
  <si>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</si>
  <si>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</si>
  <si>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</si>
  <si>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</si>
  <si>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</si>
  <si>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</si>
  <si>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</si>
  <si>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</si>
  <si>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</si>
  <si>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</si>
  <si>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</si>
  <si>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</si>
  <si>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</si>
  <si>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</si>
  <si>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</si>
  <si>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</si>
  <si>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</si>
  <si>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</si>
  <si>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</si>
  <si>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</si>
  <si>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</si>
  <si>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</si>
  <si>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</si>
  <si>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</si>
  <si>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</si>
  <si>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</si>
  <si>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</si>
  <si>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</si>
  <si>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</si>
  <si>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</si>
  <si>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</si>
  <si>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</si>
  <si>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</si>
  <si>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</si>
  <si>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</si>
  <si>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</si>
  <si>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</si>
  <si>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</si>
  <si>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</si>
  <si>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</si>
  <si>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</si>
  <si>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</si>
  <si>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</si>
  <si>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</si>
  <si>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</si>
  <si>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</si>
  <si>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</si>
  <si>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</si>
  <si>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</si>
  <si>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</si>
  <si>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</si>
  <si>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</si>
  <si>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</si>
  <si>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</si>
  <si>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</si>
  <si>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</si>
  <si>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</si>
  <si>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</si>
  <si>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</si>
  <si>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</si>
  <si>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</si>
  <si>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</si>
  <si>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</si>
  <si>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</si>
  <si>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</si>
  <si>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</si>
  <si>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</si>
  <si>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</si>
  <si>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</si>
  <si>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</si>
  <si>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</si>
  <si>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</si>
  <si>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</si>
  <si>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</si>
  <si>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</si>
  <si>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</si>
  <si>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</si>
  <si>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</si>
  <si>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</si>
  <si>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</si>
  <si>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</si>
  <si>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</si>
  <si>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</si>
  <si>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</si>
  <si>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</si>
  <si>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</si>
  <si>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</si>
  <si>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</si>
  <si>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</si>
  <si>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</si>
  <si>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</si>
  <si>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</si>
  <si>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</si>
  <si>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</si>
  <si>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</si>
  <si>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</si>
  <si>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</si>
  <si>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</si>
  <si>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</si>
  <si>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</si>
  <si>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</si>
  <si>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</si>
  <si>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</si>
  <si>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</si>
  <si>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</si>
  <si>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</si>
  <si>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</si>
  <si>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</si>
  <si>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</si>
  <si>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</si>
  <si>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</si>
  <si>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</si>
  <si>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</si>
  <si>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</si>
  <si>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</si>
  <si>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</si>
  <si>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</si>
  <si>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</si>
  <si>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</si>
  <si>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</si>
  <si>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</si>
  <si>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</si>
  <si>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</si>
  <si>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</si>
  <si>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</si>
  <si>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</si>
  <si>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</si>
  <si>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</si>
  <si>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</si>
  <si>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</si>
  <si>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</si>
  <si>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</si>
  <si>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</si>
  <si>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</si>
  <si>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</si>
  <si>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</si>
  <si>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</si>
  <si>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</si>
  <si>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</si>
  <si>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</si>
  <si>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</si>
  <si>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</si>
  <si>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</si>
  <si>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</si>
  <si>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</si>
  <si>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</si>
  <si>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</si>
  <si>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</si>
  <si>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</si>
  <si>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</si>
  <si>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</si>
  <si>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</si>
  <si>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</si>
  <si>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</si>
  <si>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</si>
  <si>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</si>
  <si>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</si>
  <si>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</si>
  <si>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</si>
  <si>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</si>
  <si>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</si>
  <si>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</si>
  <si>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</si>
  <si>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</si>
  <si>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</si>
  <si>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</si>
  <si>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</si>
  <si>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</si>
  <si>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</si>
  <si>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</si>
  <si>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</si>
  <si>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</si>
  <si>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</si>
  <si>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</si>
  <si>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</si>
  <si>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</si>
  <si>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</si>
  <si>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</si>
  <si>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</si>
  <si>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</si>
  <si>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</si>
  <si>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</si>
  <si>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</si>
  <si>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</si>
  <si>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</si>
  <si>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</si>
  <si>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</si>
  <si>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</si>
  <si>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</si>
  <si>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</si>
  <si>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</si>
  <si>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</si>
  <si>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</si>
  <si>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</si>
  <si>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</si>
  <si>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</si>
  <si>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</si>
  <si>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</si>
  <si>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</si>
  <si>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</si>
  <si>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</si>
  <si>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</si>
  <si>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</si>
  <si>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</si>
  <si>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</si>
  <si>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</si>
  <si>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</si>
  <si>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</si>
  <si>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</si>
  <si>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</si>
  <si>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</si>
  <si>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</si>
  <si>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</si>
  <si>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</si>
  <si>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</si>
  <si>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</si>
  <si>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</si>
  <si>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</si>
  <si>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</si>
  <si>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</si>
  <si>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</si>
  <si>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</si>
  <si>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</si>
  <si>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</si>
  <si>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</si>
  <si>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</si>
  <si>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</si>
  <si>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</si>
  <si>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</si>
  <si>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</si>
  <si>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</si>
  <si>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</si>
  <si>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</si>
  <si>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</si>
  <si>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</si>
  <si>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</si>
  <si>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</si>
  <si>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</si>
  <si>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</si>
  <si>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</si>
  <si>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</si>
  <si>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</si>
  <si>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</si>
  <si>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</si>
  <si>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</si>
  <si>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</si>
  <si>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</si>
  <si>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</si>
  <si>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</si>
  <si>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</si>
  <si>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</si>
  <si>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</si>
  <si>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</si>
  <si>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</si>
  <si>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</si>
  <si>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</si>
  <si>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</si>
  <si>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</si>
  <si>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</si>
  <si>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</si>
  <si>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</si>
  <si>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</si>
  <si>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</si>
  <si>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</si>
  <si>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</si>
  <si>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</si>
  <si>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</si>
  <si>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</si>
  <si>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</si>
  <si>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</si>
  <si>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</si>
  <si>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</si>
  <si>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</si>
  <si>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</si>
  <si>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</si>
  <si>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</si>
  <si>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</si>
  <si>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</si>
  <si>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</si>
  <si>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</si>
  <si>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</si>
  <si>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</si>
  <si>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</si>
  <si>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</si>
  <si>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</si>
  <si>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</si>
  <si>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</si>
  <si>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</si>
  <si>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</si>
  <si>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</si>
  <si>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</si>
  <si>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</si>
  <si>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</si>
  <si>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</si>
  <si>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</si>
  <si>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</si>
  <si>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</si>
  <si>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</si>
  <si>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</si>
  <si>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</si>
  <si>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</si>
  <si>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</si>
  <si>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</si>
  <si>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</si>
  <si>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</si>
  <si>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</si>
  <si>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</si>
  <si>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</si>
  <si>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</si>
  <si>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</si>
  <si>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</si>
  <si>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</si>
  <si>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</si>
  <si>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</si>
  <si>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</si>
  <si>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</si>
  <si>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</si>
  <si>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</si>
  <si>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</si>
  <si>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</si>
  <si>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</si>
  <si>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</si>
  <si>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</si>
  <si>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</si>
  <si>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</si>
  <si>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</si>
  <si>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</si>
  <si>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</si>
  <si>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</si>
  <si>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</si>
  <si>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</si>
  <si>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</si>
  <si>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</si>
  <si>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</si>
  <si>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</si>
  <si>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</si>
  <si>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</si>
  <si>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</si>
  <si>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</si>
  <si>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</si>
  <si>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</si>
  <si>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</si>
  <si>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</si>
  <si>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</si>
  <si>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</si>
  <si>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</si>
  <si>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</si>
  <si>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</si>
  <si>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</si>
  <si>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</si>
  <si>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</si>
  <si>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</si>
  <si>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</si>
  <si>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</si>
  <si>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</si>
  <si>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</si>
  <si>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</si>
  <si>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</si>
  <si>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</si>
  <si>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</si>
  <si>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</si>
  <si>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</si>
  <si>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</si>
  <si>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</si>
  <si>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</si>
  <si>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</si>
  <si>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</si>
  <si>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</si>
  <si>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</si>
  <si>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</si>
  <si>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</si>
  <si>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</si>
  <si>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</si>
  <si>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</si>
  <si>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</si>
  <si>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</si>
  <si>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</si>
  <si>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</si>
  <si>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</si>
  <si>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</si>
  <si>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</si>
  <si>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</si>
  <si>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</si>
  <si>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</si>
  <si>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</si>
  <si>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</si>
  <si>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</si>
  <si>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</si>
  <si>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</si>
  <si>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</si>
  <si>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</si>
  <si>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</si>
  <si>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</si>
  <si>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</si>
  <si>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</si>
  <si>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</si>
  <si>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</si>
  <si>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</si>
  <si>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</si>
  <si>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</si>
  <si>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</si>
  <si>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</si>
  <si>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</si>
  <si>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</si>
  <si>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</si>
  <si>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</si>
  <si>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</si>
  <si>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</si>
  <si>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</si>
  <si>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</si>
  <si>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</si>
  <si>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</si>
  <si>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</si>
  <si>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</si>
  <si>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</si>
  <si>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</si>
  <si>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</si>
  <si>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</si>
  <si>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</si>
  <si>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</si>
  <si>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</si>
  <si>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</si>
  <si>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</si>
  <si>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</si>
  <si>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</si>
  <si>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</si>
  <si>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</si>
  <si>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</si>
  <si>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</si>
  <si>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</si>
  <si>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</si>
  <si>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</si>
  <si>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</si>
  <si>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</si>
  <si>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</si>
  <si>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</si>
  <si>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</si>
  <si>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</si>
  <si>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</si>
  <si>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</si>
  <si>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</si>
  <si>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</si>
  <si>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</si>
  <si>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</si>
  <si>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</si>
  <si>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</si>
  <si>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</si>
  <si>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</si>
  <si>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</si>
  <si>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</si>
  <si>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</si>
  <si>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</si>
  <si>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</si>
  <si>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</si>
  <si>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</si>
  <si>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</si>
  <si>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</si>
  <si>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</si>
  <si>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</si>
  <si>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</si>
  <si>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</si>
  <si>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</si>
  <si>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</si>
  <si>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</si>
  <si>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</si>
  <si>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</si>
  <si>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</si>
  <si>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</si>
  <si>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</si>
  <si>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</si>
  <si>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</si>
  <si>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</si>
  <si>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</si>
  <si>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</si>
  <si>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</si>
  <si>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</si>
  <si>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</si>
  <si>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</si>
  <si>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</si>
  <si>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</si>
  <si>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</si>
  <si>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</si>
  <si>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</si>
  <si>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</si>
  <si>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</si>
  <si>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</si>
  <si>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</si>
  <si>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</si>
  <si>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</si>
  <si>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</si>
  <si>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</si>
  <si>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</si>
  <si>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</si>
  <si>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</si>
  <si>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</si>
  <si>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</si>
  <si>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</si>
  <si>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</si>
  <si>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</si>
  <si>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</si>
  <si>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</si>
  <si>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</si>
  <si>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</si>
  <si>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</si>
  <si>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</si>
  <si>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</si>
  <si>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</si>
  <si>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</si>
  <si>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</si>
  <si>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</si>
  <si>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</si>
  <si>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</si>
  <si>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</si>
  <si>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</si>
  <si>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</si>
  <si>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</si>
  <si>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</si>
  <si>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</si>
  <si>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</si>
  <si>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</si>
  <si>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</si>
  <si>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</si>
  <si>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</si>
  <si>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</si>
  <si>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</si>
  <si>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</si>
  <si>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</si>
  <si>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</si>
  <si>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</si>
  <si>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</si>
  <si>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</si>
  <si>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</si>
  <si>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</si>
  <si>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</si>
  <si>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</si>
  <si>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</si>
  <si>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</si>
  <si>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</si>
  <si>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</si>
  <si>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</si>
  <si>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</si>
  <si>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</si>
  <si>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</si>
  <si>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</si>
  <si>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</si>
  <si>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</si>
  <si>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</si>
  <si>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</si>
  <si>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</si>
  <si>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</si>
  <si>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</si>
  <si>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</si>
  <si>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</si>
  <si>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</si>
  <si>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</si>
  <si>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</si>
  <si>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</si>
  <si>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</si>
  <si>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</si>
  <si>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</si>
  <si>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</si>
  <si>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</si>
  <si>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</si>
  <si>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</si>
  <si>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</si>
  <si>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</si>
  <si>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</si>
  <si>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</si>
  <si>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</si>
  <si>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</si>
  <si>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</si>
  <si>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</si>
  <si>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</si>
  <si>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</si>
  <si>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</si>
  <si>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</si>
  <si>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</si>
  <si>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</si>
  <si>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</si>
  <si>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</si>
  <si>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</si>
  <si>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</si>
  <si>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</si>
  <si>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</si>
  <si>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</si>
  <si>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</si>
  <si>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</si>
  <si>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</si>
  <si>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</si>
  <si>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</si>
  <si>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</si>
  <si>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</si>
  <si>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</si>
  <si>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</si>
  <si>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</si>
  <si>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</si>
  <si>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</si>
  <si>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</si>
  <si>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</si>
  <si>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</si>
  <si>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</si>
  <si>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</si>
  <si>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</si>
  <si>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</si>
  <si>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</si>
  <si>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</si>
  <si>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</si>
  <si>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</si>
  <si>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</si>
  <si>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</si>
  <si>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</si>
  <si>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</si>
  <si>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</si>
  <si>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</si>
  <si>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</si>
  <si>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</si>
  <si>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</si>
  <si>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</si>
  <si>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</si>
  <si>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</si>
  <si>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</si>
  <si>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</si>
  <si>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</si>
  <si>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</si>
  <si>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</si>
  <si>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</si>
  <si>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</si>
  <si>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</si>
  <si>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</si>
  <si>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</si>
  <si>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</si>
  <si>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</si>
  <si>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</si>
  <si>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</si>
  <si>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</si>
  <si>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</si>
  <si>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</si>
  <si>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</si>
  <si>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</si>
  <si>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</si>
  <si>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</si>
  <si>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</si>
  <si>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</si>
  <si>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</si>
  <si>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</si>
  <si>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</si>
  <si>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</si>
  <si>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</si>
  <si>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</si>
  <si>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</si>
  <si>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</si>
  <si>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</si>
  <si>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</si>
  <si>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</si>
  <si>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</si>
  <si>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</si>
  <si>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</si>
  <si>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</si>
  <si>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</si>
  <si>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</si>
  <si>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</si>
  <si>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</si>
  <si>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</si>
  <si>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</si>
  <si>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</si>
  <si>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</si>
  <si>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</si>
  <si>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</si>
  <si>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</si>
  <si>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</si>
  <si>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</si>
  <si>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</si>
  <si>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</si>
  <si>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</si>
  <si>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</si>
  <si>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</si>
  <si>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</si>
  <si>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</si>
  <si>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</si>
  <si>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</si>
  <si>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</si>
  <si>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</si>
  <si>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</si>
  <si>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</si>
  <si>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</si>
  <si>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</si>
  <si>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</si>
  <si>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</si>
  <si>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</si>
  <si>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</si>
  <si>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</si>
  <si>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</si>
  <si>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</si>
  <si>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</si>
  <si>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</si>
  <si>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</si>
  <si>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</si>
  <si>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</si>
  <si>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</si>
  <si>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</si>
  <si>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</si>
  <si>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</si>
  <si>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</si>
  <si>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</si>
  <si>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</si>
  <si>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</si>
  <si>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</si>
  <si>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</si>
  <si>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</si>
  <si>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</si>
  <si>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</si>
  <si>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</si>
  <si>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</si>
  <si>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</si>
  <si>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</si>
  <si>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</si>
  <si>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</si>
  <si>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</si>
  <si>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</si>
  <si>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</si>
  <si>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</si>
  <si>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</si>
  <si>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</si>
  <si>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</si>
  <si>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</si>
  <si>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</si>
  <si>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</si>
  <si>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</si>
  <si>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</si>
  <si>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</si>
  <si>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</si>
  <si>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</si>
  <si>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</si>
  <si>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</si>
  <si>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</si>
  <si>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</si>
  <si>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</si>
  <si>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</si>
  <si>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</si>
  <si>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</si>
  <si>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</si>
  <si>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</si>
  <si>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</si>
  <si>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</si>
  <si>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</si>
  <si>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</si>
  <si>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</si>
  <si>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</si>
  <si>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</si>
  <si>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</si>
  <si>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</si>
  <si>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</si>
  <si>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</si>
  <si>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</si>
  <si>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</si>
  <si>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</si>
  <si>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</si>
  <si>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</si>
  <si>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</si>
  <si>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</si>
  <si>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</si>
  <si>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</si>
  <si>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</si>
  <si>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</si>
  <si>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</si>
  <si>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</si>
  <si>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</si>
  <si>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</si>
  <si>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</si>
  <si>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</si>
  <si>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</si>
  <si>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</si>
  <si>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</si>
  <si>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</si>
  <si>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</si>
  <si>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</si>
  <si>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</si>
  <si>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</si>
  <si>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</si>
  <si>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</si>
  <si>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</si>
  <si>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</si>
  <si>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</si>
  <si>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</si>
  <si>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</si>
  <si>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</si>
  <si>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</si>
  <si>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</si>
  <si>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</si>
  <si>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</si>
  <si>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</si>
  <si>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</si>
  <si>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</si>
  <si>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</si>
  <si>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</si>
  <si>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</si>
  <si>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</si>
  <si>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</si>
  <si>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</si>
  <si>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</si>
  <si>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</si>
  <si>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</si>
  <si>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</si>
  <si>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</si>
  <si>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</si>
  <si>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</si>
  <si>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</si>
  <si>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</si>
  <si>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</si>
  <si>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</si>
  <si>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</si>
  <si>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</si>
  <si>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</si>
  <si>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</si>
  <si>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</si>
  <si>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</si>
  <si>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</si>
  <si>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</si>
  <si>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</si>
  <si>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</si>
  <si>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</si>
  <si>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</si>
  <si>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</si>
  <si>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</si>
  <si>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</si>
  <si>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</si>
  <si>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</si>
  <si>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</si>
  <si>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</si>
  <si>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</si>
  <si>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</si>
  <si>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</si>
  <si>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</si>
  <si>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</si>
  <si>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</si>
  <si>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</si>
  <si>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</si>
  <si>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</si>
  <si>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</si>
  <si>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</si>
  <si>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</si>
  <si>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</si>
  <si>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</si>
  <si>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</si>
  <si>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</si>
  <si>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</si>
  <si>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</si>
  <si>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</si>
  <si>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</si>
  <si>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</si>
  <si>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</si>
  <si>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</si>
  <si>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</si>
  <si>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</si>
  <si>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</si>
  <si>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</si>
  <si>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</si>
  <si>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</si>
  <si>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</si>
  <si>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</si>
  <si>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</si>
  <si>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</si>
  <si>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</si>
  <si>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</si>
  <si>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</si>
  <si>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</si>
  <si>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</si>
  <si>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</si>
  <si>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</si>
  <si>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</si>
  <si>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</si>
  <si>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</si>
  <si>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</si>
  <si>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</si>
  <si>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</si>
  <si>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</si>
  <si>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</si>
  <si>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</si>
  <si>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</si>
  <si>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</si>
  <si>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</si>
  <si>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</si>
  <si>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</si>
  <si>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</si>
  <si>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</si>
  <si>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</si>
  <si>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</si>
  <si>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</si>
  <si>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</si>
  <si>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</si>
  <si>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</si>
  <si>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</si>
  <si>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</si>
  <si>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</si>
  <si>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</si>
  <si>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</si>
  <si>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</si>
  <si>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</si>
  <si>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</si>
  <si>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</si>
  <si>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</si>
  <si>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</si>
  <si>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</si>
  <si>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</si>
  <si>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</si>
  <si>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</si>
  <si>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</si>
  <si>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</si>
  <si>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</si>
  <si>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</si>
  <si>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</si>
  <si>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</si>
  <si>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</si>
  <si>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</si>
  <si>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</si>
  <si>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</si>
  <si>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</si>
  <si>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</si>
  <si>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</si>
  <si>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</si>
  <si>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</si>
  <si>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</si>
  <si>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</si>
  <si>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</si>
  <si>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</si>
  <si>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</si>
  <si>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</si>
  <si>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</si>
  <si>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</si>
  <si>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</si>
  <si>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</si>
  <si>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</si>
  <si>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</si>
  <si>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</si>
  <si>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</si>
  <si>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</si>
  <si>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</si>
  <si>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</si>
  <si>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</si>
  <si>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</si>
  <si>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</si>
  <si>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</si>
  <si>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</si>
  <si>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</si>
  <si>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</si>
  <si>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</si>
  <si>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</si>
  <si>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</si>
  <si>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</si>
  <si>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</si>
  <si>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</si>
  <si>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</si>
  <si>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</si>
  <si>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</si>
  <si>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</si>
  <si>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</si>
  <si>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</si>
  <si>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</si>
  <si>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</si>
  <si>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</si>
  <si>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</si>
  <si>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</si>
  <si>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</si>
  <si>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</si>
  <si>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</si>
  <si>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</si>
  <si>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</si>
  <si>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</si>
  <si>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</si>
  <si>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</si>
  <si>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</si>
  <si>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</si>
  <si>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</si>
  <si>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</si>
  <si>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</si>
  <si>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</si>
  <si>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</si>
  <si>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</si>
  <si>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</si>
  <si>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</si>
  <si>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</si>
  <si>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</si>
  <si>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</si>
  <si>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</si>
  <si>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</si>
  <si>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</si>
  <si>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</si>
  <si>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</si>
  <si>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</si>
  <si>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</si>
  <si>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</si>
  <si>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</si>
  <si>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</si>
  <si>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</si>
  <si>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</si>
  <si>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</si>
  <si>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</si>
  <si>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</si>
  <si>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</si>
  <si>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</si>
  <si>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</si>
  <si>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</si>
  <si>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</si>
  <si>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</si>
  <si>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</si>
  <si>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</si>
  <si>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</si>
  <si>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</si>
  <si>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</si>
  <si>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</si>
  <si>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</si>
  <si>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</si>
  <si>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</si>
  <si>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</si>
  <si>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</si>
  <si>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</si>
  <si>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</si>
  <si>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</si>
  <si>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</si>
  <si>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</si>
  <si>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</si>
  <si>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</si>
  <si>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</si>
  <si>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</si>
  <si>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</si>
  <si>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</si>
  <si>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</si>
  <si>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</si>
  <si>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</si>
  <si>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</si>
  <si>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</si>
  <si>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</si>
  <si>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</si>
  <si>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</si>
  <si>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</si>
  <si>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</si>
  <si>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</si>
  <si>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</si>
  <si>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</si>
  <si>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</si>
  <si>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</si>
  <si>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</si>
  <si>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</si>
  <si>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</si>
  <si>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</si>
  <si>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</si>
  <si>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</si>
  <si>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</si>
  <si>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</si>
  <si>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</si>
  <si>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</si>
  <si>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</si>
  <si>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</si>
  <si>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</si>
  <si>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</si>
  <si>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</si>
  <si>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</si>
  <si>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</si>
  <si>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</si>
  <si>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</si>
  <si>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</si>
  <si>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</si>
  <si>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</si>
  <si>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</si>
  <si>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</si>
  <si>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</si>
  <si>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</si>
  <si>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</si>
  <si>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</si>
  <si>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</si>
  <si>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</si>
  <si>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</si>
  <si>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</si>
  <si>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</si>
  <si>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</si>
  <si>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</si>
  <si>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</si>
  <si>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</si>
  <si>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</si>
  <si>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</si>
  <si>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</si>
  <si>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</si>
  <si>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</si>
  <si>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</si>
  <si>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</si>
  <si>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</si>
  <si>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</si>
  <si>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</si>
  <si>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</si>
  <si>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</si>
  <si>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</si>
  <si>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</si>
  <si>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</si>
  <si>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</si>
  <si>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</si>
  <si>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</si>
  <si>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</si>
  <si>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</si>
  <si>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</si>
  <si>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</si>
  <si>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</si>
  <si>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</si>
  <si>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</si>
  <si>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</si>
  <si>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</si>
  <si>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</si>
  <si>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</si>
  <si>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</si>
  <si>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</si>
  <si>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</si>
  <si>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</si>
  <si>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</si>
  <si>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</si>
  <si>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</si>
  <si>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</si>
  <si>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</si>
  <si>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</si>
  <si>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</si>
  <si>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</si>
  <si>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</si>
  <si>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</si>
  <si>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</si>
  <si>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</si>
  <si>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</si>
  <si>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</si>
  <si>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</si>
  <si>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</si>
  <si>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</si>
  <si>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</si>
  <si>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</si>
  <si>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</si>
  <si>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</si>
  <si>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</si>
  <si>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</si>
  <si>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</si>
  <si>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</si>
  <si>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</si>
  <si>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</si>
  <si>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</si>
  <si>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</si>
  <si>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</si>
  <si>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</si>
  <si>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</si>
  <si>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</si>
  <si>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</si>
  <si>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</si>
  <si>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</si>
  <si>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</si>
  <si>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</si>
  <si>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</si>
  <si>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</si>
  <si>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</si>
  <si>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</si>
  <si>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</si>
  <si>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</si>
  <si>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</si>
  <si>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</si>
  <si>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</si>
  <si>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</si>
  <si>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</si>
  <si>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</si>
  <si>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</si>
  <si>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</si>
  <si>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</si>
  <si>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</si>
  <si>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</si>
  <si>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</si>
  <si>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</si>
  <si>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</si>
  <si>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</si>
  <si>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</si>
  <si>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</si>
  <si>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</si>
  <si>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</si>
  <si>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</si>
  <si>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</si>
  <si>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</si>
  <si>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</si>
  <si>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</si>
  <si>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</si>
  <si>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</si>
  <si>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</si>
  <si>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</si>
  <si>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</si>
  <si>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</si>
  <si>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</si>
  <si>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</si>
  <si>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</si>
  <si>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</si>
  <si>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</si>
  <si>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</si>
  <si>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</si>
  <si>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</si>
  <si>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</si>
  <si>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</si>
  <si>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</si>
  <si>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</si>
  <si>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</si>
  <si>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</si>
  <si>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</si>
  <si>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</si>
  <si>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</si>
  <si>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</si>
  <si>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</si>
  <si>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</si>
  <si>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</si>
  <si>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</si>
  <si>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</si>
  <si>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</si>
  <si>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</si>
  <si>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</si>
  <si>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</si>
  <si>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</si>
  <si>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</si>
  <si>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</si>
  <si>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</si>
  <si>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</si>
  <si>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</si>
  <si>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</si>
  <si>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</si>
  <si>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</si>
  <si>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</si>
  <si>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</si>
  <si>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</si>
  <si>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</si>
  <si>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</si>
  <si>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</si>
  <si>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</si>
  <si>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</si>
  <si>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</si>
  <si>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</si>
  <si>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</si>
  <si>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</si>
  <si>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</si>
  <si>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</si>
  <si>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</si>
  <si>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</si>
  <si>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</si>
  <si>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</si>
  <si>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</si>
  <si>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</si>
  <si>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</si>
  <si>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</si>
  <si>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</si>
  <si>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</si>
  <si>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</si>
  <si>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</si>
  <si>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</si>
  <si>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</si>
  <si>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</si>
  <si>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</si>
  <si>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</si>
  <si>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</si>
  <si>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</si>
  <si>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</si>
  <si>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</si>
  <si>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</si>
  <si>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</si>
  <si>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</si>
  <si>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</si>
  <si>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</si>
  <si>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</si>
  <si>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</si>
  <si>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</si>
  <si>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</si>
  <si>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</si>
  <si>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</si>
  <si>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</si>
  <si>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</si>
  <si>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</si>
  <si>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</si>
  <si>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</si>
  <si>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</si>
  <si>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</si>
  <si>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</si>
  <si>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</si>
  <si>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</si>
  <si>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</si>
  <si>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</si>
  <si>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</si>
  <si>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</si>
  <si>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</si>
  <si>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</si>
  <si>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</si>
  <si>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</si>
  <si>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</si>
  <si>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</si>
  <si>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</si>
  <si>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</si>
  <si>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</si>
  <si>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</si>
  <si>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</si>
  <si>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</si>
  <si>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</si>
  <si>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</si>
  <si>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</si>
  <si>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</si>
  <si>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</si>
  <si>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</si>
  <si>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</si>
  <si>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</si>
  <si>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</si>
  <si>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</si>
  <si>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</si>
  <si>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</si>
  <si>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</si>
  <si>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</si>
  <si>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</si>
  <si>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</si>
  <si>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</si>
  <si>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</si>
  <si>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</si>
  <si>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</si>
  <si>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</si>
  <si>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</si>
  <si>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</si>
  <si>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</si>
  <si>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</si>
  <si>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</si>
  <si>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</si>
  <si>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</si>
  <si>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</si>
  <si>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</si>
  <si>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</si>
  <si>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</si>
  <si>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</si>
  <si>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</si>
  <si>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</si>
  <si>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</si>
  <si>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</si>
  <si>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</si>
  <si>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</si>
  <si>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</si>
  <si>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</si>
  <si>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</si>
  <si>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</si>
  <si>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</si>
  <si>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</si>
  <si>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</si>
  <si>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</si>
  <si>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</si>
  <si>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</si>
  <si>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</si>
  <si>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</si>
  <si>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</si>
  <si>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</si>
  <si>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</si>
  <si>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</si>
  <si>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</si>
  <si>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</si>
  <si>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</si>
  <si>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</si>
  <si>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</si>
  <si>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</si>
  <si>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</si>
  <si>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</si>
  <si>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</si>
  <si>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</si>
  <si>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</si>
  <si>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</si>
  <si>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</si>
  <si>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</si>
  <si>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</si>
  <si>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</si>
  <si>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</si>
  <si>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</si>
  <si>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</si>
  <si>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</si>
  <si>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</si>
  <si>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</si>
  <si>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</si>
  <si>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</si>
  <si>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</si>
  <si>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</si>
  <si>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</si>
  <si>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</si>
  <si>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</si>
  <si>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</si>
  <si>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</si>
  <si>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</si>
  <si>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</si>
  <si>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</si>
  <si>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</si>
  <si>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</si>
  <si>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</si>
  <si>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</si>
  <si>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</si>
  <si>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</si>
  <si>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</si>
  <si>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</si>
  <si>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</si>
  <si>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</si>
  <si>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</si>
  <si>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</si>
  <si>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</si>
  <si>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</si>
  <si>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</si>
  <si>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</si>
  <si>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</si>
  <si>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</si>
  <si>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</si>
  <si>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</si>
  <si>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</si>
  <si>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</si>
  <si>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</si>
  <si>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</si>
  <si>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</si>
  <si>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</si>
  <si>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</si>
  <si>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</si>
  <si>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</si>
  <si>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</si>
  <si>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</si>
  <si>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</si>
  <si>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</si>
  <si>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</si>
  <si>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</si>
  <si>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</si>
  <si>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</si>
  <si>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</si>
  <si>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</si>
  <si>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</si>
  <si>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</si>
  <si>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</si>
  <si>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</si>
  <si>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</si>
  <si>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</si>
  <si>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</si>
  <si>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</si>
  <si>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</si>
  <si>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</si>
  <si>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</si>
  <si>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</si>
  <si>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</si>
  <si>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</si>
  <si>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</si>
  <si>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</si>
  <si>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</si>
  <si>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</si>
  <si>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</si>
  <si>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</si>
  <si>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</si>
  <si>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</si>
  <si>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</si>
  <si>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</si>
  <si>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</si>
  <si>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</si>
  <si>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</si>
  <si>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</si>
  <si>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</si>
  <si>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</si>
  <si>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</si>
  <si>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</si>
  <si>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</si>
  <si>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</si>
  <si>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</si>
  <si>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</si>
  <si>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</si>
  <si>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</si>
  <si>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</si>
  <si>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</si>
  <si>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</si>
  <si>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</si>
  <si>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</si>
  <si>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</si>
  <si>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</si>
  <si>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</si>
  <si>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</si>
  <si>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</si>
  <si>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</si>
  <si>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</si>
  <si>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</si>
  <si>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</si>
  <si>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</si>
  <si>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</si>
  <si>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</si>
  <si>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</si>
  <si>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</si>
  <si>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</si>
  <si>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</si>
  <si>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</si>
  <si>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</si>
  <si>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</si>
  <si>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</si>
  <si>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</si>
  <si>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</si>
  <si>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</si>
  <si>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</si>
  <si>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</si>
  <si>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</si>
  <si>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</si>
  <si>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</si>
  <si>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</si>
  <si>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</si>
  <si>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</si>
  <si>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</si>
  <si>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</si>
  <si>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</si>
  <si>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</si>
  <si>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</si>
  <si>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</si>
  <si>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</si>
  <si>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</si>
  <si>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</si>
  <si>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</si>
  <si>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</si>
  <si>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---</t>
  </si>
  <si>
    <t>Изделия_спец.И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</si>
  <si>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</si>
  <si>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</si>
  <si>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</si>
  <si>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</si>
  <si>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</si>
  <si>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</si>
  <si>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</si>
  <si>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</si>
  <si>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</si>
  <si>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</si>
  <si>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</si>
  <si>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</si>
  <si>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</si>
  <si>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</si>
  <si>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</si>
  <si>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</si>
  <si>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</si>
  <si>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</si>
  <si>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</si>
  <si>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</si>
  <si>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</si>
  <si>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</si>
  <si>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</si>
  <si>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</si>
  <si>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</si>
  <si>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</si>
  <si>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</si>
  <si>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</si>
  <si>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</si>
  <si>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</si>
  <si>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</si>
  <si>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</si>
  <si>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</si>
  <si>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</si>
  <si>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</si>
  <si>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</si>
  <si>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</si>
  <si>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</si>
  <si>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</si>
  <si>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</si>
  <si>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</si>
  <si>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</si>
  <si>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</si>
  <si>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</si>
  <si>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</si>
  <si>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</si>
  <si>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</si>
  <si>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</si>
  <si>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</si>
  <si>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</si>
  <si>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</si>
  <si>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</si>
  <si>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</si>
  <si>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</si>
  <si>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</si>
  <si>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</si>
  <si>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</si>
  <si>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</si>
  <si>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</si>
  <si>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</si>
  <si>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</si>
  <si>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</si>
  <si>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</si>
  <si>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</si>
  <si>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</si>
  <si>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</si>
  <si>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</si>
  <si>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</si>
  <si>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</si>
  <si>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</si>
  <si>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</si>
  <si>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</si>
  <si>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</si>
  <si>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</si>
  <si>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</si>
  <si>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</si>
  <si>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</si>
  <si>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</si>
  <si>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</si>
  <si>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</si>
  <si>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</si>
  <si>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</si>
  <si>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</si>
  <si>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</si>
  <si>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</si>
  <si>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</si>
  <si>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</si>
  <si>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</si>
  <si>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</si>
  <si>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</si>
  <si>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</si>
  <si>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</si>
  <si>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</si>
  <si>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</si>
  <si>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</si>
  <si>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</si>
  <si>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</si>
  <si>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</si>
  <si>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</si>
  <si>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</si>
  <si>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</si>
  <si>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</si>
  <si>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</si>
  <si>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</si>
  <si>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</si>
  <si>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</si>
  <si>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</si>
  <si>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</si>
  <si>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</si>
  <si>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</si>
  <si>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</si>
  <si>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</si>
  <si>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</si>
  <si>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</si>
  <si>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</si>
  <si>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</si>
  <si>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</si>
  <si>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</si>
  <si>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</si>
  <si>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</si>
  <si>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</si>
  <si>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</si>
  <si>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</si>
  <si>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</si>
  <si>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</si>
  <si>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</si>
  <si>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</si>
  <si>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</si>
  <si>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</si>
  <si>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</si>
  <si>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</si>
  <si>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</si>
  <si>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</si>
  <si>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</si>
  <si>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</si>
  <si>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</si>
  <si>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</si>
  <si>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</si>
  <si>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</si>
  <si>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</si>
  <si>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</si>
  <si>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</si>
  <si>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</si>
  <si>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</si>
  <si>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</si>
  <si>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</si>
  <si>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</si>
  <si>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</si>
  <si>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</si>
  <si>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</si>
  <si>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</si>
  <si>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</si>
  <si>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</si>
  <si>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</si>
  <si>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</si>
  <si>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</si>
  <si>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</si>
  <si>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</si>
  <si>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</si>
  <si>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</si>
  <si>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</si>
  <si>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</si>
  <si>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</si>
  <si>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</si>
  <si>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</si>
  <si>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</si>
  <si>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</si>
  <si>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</si>
  <si>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</si>
  <si>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</si>
  <si>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</si>
  <si>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</si>
  <si>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</si>
  <si>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</si>
  <si>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</si>
  <si>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</si>
  <si>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</si>
  <si>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</si>
  <si>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</si>
  <si>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</si>
  <si>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</si>
  <si>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</si>
  <si>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</si>
  <si>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</si>
  <si>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</si>
  <si>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</si>
  <si>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</si>
  <si>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</si>
  <si>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</si>
  <si>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</si>
  <si>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</si>
  <si>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</si>
  <si>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</si>
  <si>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</si>
  <si>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</si>
  <si>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</si>
  <si>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</si>
  <si>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</si>
  <si>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</si>
  <si>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</si>
  <si>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</si>
  <si>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</si>
  <si>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</si>
  <si>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</si>
  <si>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</si>
  <si>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</si>
  <si>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</si>
  <si>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</si>
  <si>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</si>
  <si>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</si>
  <si>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</si>
  <si>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</si>
  <si>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</si>
  <si>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</si>
  <si>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</si>
  <si>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</si>
  <si>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</si>
  <si>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</si>
  <si>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</si>
  <si>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</si>
  <si>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</si>
  <si>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</si>
  <si>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</si>
  <si>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</si>
  <si>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</si>
  <si>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</si>
  <si>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</si>
  <si>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</si>
  <si>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</si>
  <si>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</si>
  <si>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</si>
  <si>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</si>
  <si>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</si>
  <si>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</si>
  <si>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</si>
  <si>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</si>
  <si>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</si>
  <si>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</si>
  <si>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</si>
  <si>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</si>
  <si>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</si>
  <si>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</si>
  <si>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</si>
  <si>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</si>
  <si>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</si>
  <si>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</si>
  <si>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</si>
  <si>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</si>
  <si>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</si>
  <si>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</si>
  <si>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</si>
  <si>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</si>
  <si>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</si>
  <si>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</si>
  <si>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</si>
  <si>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</si>
  <si>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</si>
  <si>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</si>
  <si>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</si>
  <si>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</si>
  <si>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</si>
  <si>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</si>
  <si>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</si>
  <si>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</si>
  <si>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</si>
  <si>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</si>
  <si>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</si>
  <si>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</si>
  <si>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</si>
  <si>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</si>
  <si>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</si>
  <si>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</si>
  <si>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</si>
  <si>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</si>
  <si>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</si>
  <si>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</si>
  <si>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</si>
  <si>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</si>
  <si>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</si>
  <si>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НЕТ БЕТОНА</t>
  </si>
  <si>
    <t>ГОСТ 34028-2016</t>
  </si>
  <si>
    <t>ГОСТ 8509-93</t>
  </si>
  <si>
    <t>ГОСТ 25192-2012</t>
  </si>
  <si>
    <t>!!!</t>
  </si>
  <si>
    <t>Площадь, кв.м</t>
  </si>
  <si>
    <t>Основной</t>
  </si>
  <si>
    <t>Стержень</t>
  </si>
  <si>
    <t>ГОСТ Р 52544—2006</t>
  </si>
  <si>
    <t>100*200</t>
  </si>
  <si>
    <t>ГОСТ 19903-2005</t>
  </si>
  <si>
    <t>Закладная МН401-2</t>
  </si>
  <si>
    <t>Серия 1.400-15 В.1</t>
  </si>
  <si>
    <t>Зд2</t>
  </si>
  <si>
    <t>Уголок 50х5</t>
  </si>
  <si>
    <t>Закладная МН553</t>
  </si>
  <si>
    <t>Зд1</t>
  </si>
  <si>
    <t>Горизонтальный стержень</t>
  </si>
  <si>
    <t>Вертикальный стержень</t>
  </si>
  <si>
    <t>данный лист</t>
  </si>
  <si>
    <t>С3</t>
  </si>
  <si>
    <t>ГОСТ 5781-82*</t>
  </si>
  <si>
    <t>С2</t>
  </si>
  <si>
    <t>С1</t>
  </si>
  <si>
    <t>Кр3</t>
  </si>
  <si>
    <t>Кр2</t>
  </si>
  <si>
    <t>Кр1</t>
  </si>
  <si>
    <t>данный лист111</t>
  </si>
  <si>
    <t>Сальник ТМ 89.00-04, Ду150</t>
  </si>
  <si>
    <t>Серия 5.900-2</t>
  </si>
  <si>
    <t xml:space="preserve">Выпуски </t>
  </si>
  <si>
    <t xml:space="preserve"> П-шка по отверстиям</t>
  </si>
  <si>
    <t xml:space="preserve"> П-шка по торцам</t>
  </si>
  <si>
    <t xml:space="preserve"> Фон верхняя сетка</t>
  </si>
  <si>
    <t xml:space="preserve"> Фон нижняя сетка</t>
  </si>
  <si>
    <t>Плита перекрытия монолитная</t>
  </si>
  <si>
    <t>Пфм1</t>
  </si>
  <si>
    <t>Площадь отверстий, кв.м.</t>
  </si>
  <si>
    <t>Периметр отверстий, мм.</t>
  </si>
  <si>
    <t>Толщина, мм</t>
  </si>
  <si>
    <t>Периметр, мм</t>
  </si>
  <si>
    <t>сейсмика</t>
  </si>
  <si>
    <t>Пфм1_спец</t>
  </si>
  <si>
    <t>Бетон В30</t>
  </si>
  <si>
    <t>Колонны</t>
  </si>
  <si>
    <t>PC0002-da-rogojin</t>
  </si>
  <si>
    <t>Данные отсутвуют</t>
  </si>
  <si>
    <t>Ведомость отделки_вед</t>
  </si>
  <si>
    <t>Примечание</t>
  </si>
  <si>
    <t xml:space="preserve"> </t>
  </si>
  <si>
    <t>ОК</t>
  </si>
  <si>
    <t>НИЖЕ ЭТИХ СТРОК НИЧЕГО ВРУЧНУЮ НЕ ВВОДИТЬ</t>
  </si>
  <si>
    <t>АВТОКАД_Извлечение данных</t>
  </si>
  <si>
    <t>27.09.2019 21:03:31</t>
  </si>
  <si>
    <t>АВТОКАД_'A8AC90_*U111</t>
  </si>
  <si>
    <t>АВТОКАД_'A8AC15_*U110</t>
  </si>
  <si>
    <t>АВТОКАД_'A8A543_*U118</t>
  </si>
  <si>
    <t>АВТОКАД_'A897A5_*U154</t>
  </si>
  <si>
    <t>АВТОКАД_'A895B7_*U153</t>
  </si>
  <si>
    <t>АВТОКАД_'A8946A_*U150</t>
  </si>
  <si>
    <t>АВТОКАД_'A893EF_*U152</t>
  </si>
  <si>
    <t>АВТОКАД_'A89362_*U151</t>
  </si>
  <si>
    <t>АВТОКАД_'A89232_*U155</t>
  </si>
  <si>
    <t>АВТОКАД_'A89123_*U156</t>
  </si>
  <si>
    <t>АВТОКАД_'A88FAA_*U149</t>
  </si>
  <si>
    <t>АВТОКАД_'A88C92_*U148</t>
  </si>
  <si>
    <t>АВТОКАД_'A88B27_*U147</t>
  </si>
  <si>
    <t>АВТОКАД_'A8896F_*U146</t>
  </si>
  <si>
    <t>АВТОКАД_'A88827_*U145</t>
  </si>
  <si>
    <t>АВТОКАД_'A8870E_*U144</t>
  </si>
  <si>
    <t>АВТОКАД_'A87FC8_*U140</t>
  </si>
  <si>
    <t>АВТОКАД_'A87E21_*U139</t>
  </si>
  <si>
    <t>АВТОКАД_'A87D08_*U138</t>
  </si>
  <si>
    <t>АВТОКАД_'A87B70_*U136</t>
  </si>
  <si>
    <t>АВТОКАД_'A87AF5_*U135</t>
  </si>
  <si>
    <t>АВТОКАД_'A87A7A_*U137</t>
  </si>
  <si>
    <t>АВТОКАД_'A8791A_*U143</t>
  </si>
  <si>
    <t>АВТОКАД_'A8788A_*U134</t>
  </si>
  <si>
    <t>АВТОКАД_'A8780F_*U105</t>
  </si>
  <si>
    <t>АВТОКАД_'A876DE_*U142</t>
  </si>
  <si>
    <t>АВТОКАД_'A8756F_*U141</t>
  </si>
  <si>
    <t>АВТОКАД_'A8559C_*U132</t>
  </si>
  <si>
    <t>АВТОКАД_'A853EA_*U130</t>
  </si>
  <si>
    <t>АВТОКАД_'A8523B_*U131</t>
  </si>
  <si>
    <t>АВТОКАД_'A850B8_*U129</t>
  </si>
  <si>
    <t>АВТОКАД_'A84E04_*U124</t>
  </si>
  <si>
    <t>АВТОКАД_'A84D89_*U126</t>
  </si>
  <si>
    <t>АВТОКАД_'A84D0E_*U125</t>
  </si>
  <si>
    <t>АВТОКАД_'A84C93_*U120</t>
  </si>
  <si>
    <t>АВТОКАД_'A84C18_*U119</t>
  </si>
  <si>
    <t>АВТОКАД_'A84B02_*U123</t>
  </si>
  <si>
    <t>АВТОКАД_'A849E3_*U122</t>
  </si>
  <si>
    <t>АВТОКАД_'A848DD_*U121</t>
  </si>
  <si>
    <t>АВТОКАД_'A847EE_*U128</t>
  </si>
  <si>
    <t>АВТОКАД_'A84689_*U127</t>
  </si>
  <si>
    <t>АВТОКАД_'A8435D_*U158</t>
  </si>
  <si>
    <t>АВТОКАД_'A83C43_*U160</t>
  </si>
  <si>
    <t>АВТОКАД_'A83BC8_*U159</t>
  </si>
  <si>
    <t>АВТОКАД_'A837A8_*U116</t>
  </si>
  <si>
    <t>АВТОКАД_'A83640_*U115</t>
  </si>
  <si>
    <t>АВТОКАД_'A83520_*U114</t>
  </si>
  <si>
    <t>АВТОКАД_'A831F9_*U113</t>
  </si>
  <si>
    <t>АВТОКАД_'A830A8_*U117</t>
  </si>
  <si>
    <t>АВТОКАД_'A82F36_*U106</t>
  </si>
  <si>
    <t>АВТОКАД_'A8293B_*U109</t>
  </si>
  <si>
    <t>АВТОКАД_'A827F9_*U108</t>
  </si>
  <si>
    <t>АВТОКАД_'A826EF_*U107</t>
  </si>
  <si>
    <t>АВТОКАД_'A8259C_*U112</t>
  </si>
  <si>
    <t>АВТОКАД_'A8243C_*U133</t>
  </si>
  <si>
    <t>АВТОКАД_'A822ED_*U104</t>
  </si>
  <si>
    <t>АВТОКАД_'A81FAB_*U99</t>
  </si>
  <si>
    <t>АВТОКАД_'A81B30_*U102</t>
  </si>
  <si>
    <t>АВТОКАД_'A808F1_*U98</t>
  </si>
  <si>
    <t>АВТОКАД_'A7D897_*U100</t>
  </si>
  <si>
    <t>АВТОКАД_'A77A0D_*U97</t>
  </si>
  <si>
    <t>АВТОКАД_'A777FC_*U101</t>
  </si>
  <si>
    <t>АВТОКАД_'A776AD_*U96</t>
  </si>
  <si>
    <t>АВТОКАД_'A774FB_*U103</t>
  </si>
  <si>
    <t>_об</t>
  </si>
  <si>
    <t>_зап</t>
  </si>
  <si>
    <t>Кол-во</t>
  </si>
  <si>
    <t>Пример 4_зап</t>
  </si>
  <si>
    <t>Масса ед., кг.</t>
  </si>
  <si>
    <t>Пример 4</t>
  </si>
  <si>
    <t>Пример 4_об</t>
  </si>
  <si>
    <t>Пример 4_грс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</si>
  <si>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</si>
  <si>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</si>
  <si>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</si>
  <si>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</si>
  <si>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</si>
  <si>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</si>
  <si>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</si>
  <si>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</si>
  <si>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</si>
  <si>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</si>
  <si>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</si>
  <si>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</si>
  <si>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Затирка; Шпатлёвка</t>
  </si>
  <si>
    <t>!!П1</t>
  </si>
  <si>
    <t>Потолок</t>
  </si>
  <si>
    <t>Армстронг; Без отделки</t>
  </si>
  <si>
    <t>Тип 2: Стена из газоблоков</t>
  </si>
  <si>
    <t>Перегородки газоблок.АР</t>
  </si>
  <si>
    <t>Тип 1: Наружная кирпичная стена</t>
  </si>
  <si>
    <t>Стены наружные кирпич.АР</t>
  </si>
  <si>
    <t>П1</t>
  </si>
  <si>
    <t>П2</t>
  </si>
  <si>
    <t>Тип 4: ГКЛ перегородка тип С112</t>
  </si>
  <si>
    <t>Перегородки ГКЛ.АР</t>
  </si>
  <si>
    <t>Тип 3: Стена наружная железобетонная</t>
  </si>
  <si>
    <t>Стены.КЖ</t>
  </si>
  <si>
    <t>Низ ж/б лестниц</t>
  </si>
  <si>
    <t>Ведомость отделки_правила</t>
  </si>
  <si>
    <t>⌀18 A-III(A400) L= п.м.</t>
  </si>
  <si>
    <t>Стены кирпичные толщиной 250мм</t>
  </si>
  <si>
    <t>Бетон В25</t>
  </si>
  <si>
    <t>_заппм</t>
  </si>
  <si>
    <t>Пример 4зап</t>
  </si>
  <si>
    <t>_грс</t>
  </si>
  <si>
    <t xml:space="preserve"> Изделия арматурные </t>
  </si>
  <si>
    <t xml:space="preserve"> Материалы </t>
  </si>
  <si>
    <t>Неверный формат файла</t>
  </si>
  <si>
    <t>check</t>
  </si>
  <si>
    <t>АВТОКАД_Пфм1_autocad</t>
  </si>
  <si>
    <t>Пфм1_кж</t>
  </si>
  <si>
    <t>_кж</t>
  </si>
  <si>
    <t>Кладочный план_об</t>
  </si>
  <si>
    <t>Кладка из КР-р-по 250х120х65/1НФ/100/2,0/50 на ц/п растворе М75</t>
  </si>
  <si>
    <t>Навесная фасадная система «Альт?Фасад?10»</t>
  </si>
  <si>
    <t>ТУ 5762-010-74182181-2012</t>
  </si>
  <si>
    <t>ТУ 5774-051-17925162-2006</t>
  </si>
  <si>
    <t>ТЕХНОВЕНТ t=100мм.</t>
  </si>
  <si>
    <t>ТЕХНОВЕНТ t=50мм.</t>
  </si>
  <si>
    <t>Штукатурка для наружн. работ</t>
  </si>
  <si>
    <t>Ошибка имени листа или файла</t>
  </si>
  <si>
    <t>Кладочный план</t>
  </si>
  <si>
    <t>Пленка гидро-ветрозащитная для фасадов ТехноНИКОЛЬ , расход 5кг\кв.м.</t>
  </si>
  <si>
    <t>Кладочный план_кж</t>
  </si>
  <si>
    <t>19556,83 кг.</t>
  </si>
  <si>
    <t>22027,76 кг.</t>
  </si>
  <si>
    <t>Пм1</t>
  </si>
  <si>
    <t>Кладочный план_норм</t>
  </si>
  <si>
    <t>_норм</t>
  </si>
  <si>
    <t>С12</t>
  </si>
  <si>
    <t>Автовывод</t>
  </si>
  <si>
    <t>Начало</t>
  </si>
  <si>
    <t>Включена автонастройка листов</t>
  </si>
  <si>
    <t xml:space="preserve">Пфм1 </t>
  </si>
  <si>
    <t>D:\Рогожин ДА\prog\YandexDisk\Работа\material-specification\list\Спец_Пфм1 _10.pdf</t>
  </si>
  <si>
    <t>PDF</t>
  </si>
  <si>
    <t>D:\Рогожин ДА\prog\YandexDisk\Работа\material-specification\list\Спец_Пфм1_кж_10.pdf</t>
  </si>
  <si>
    <t>Конец</t>
  </si>
  <si>
    <t>Очистка ВСЕХ листов</t>
  </si>
  <si>
    <t>DEL</t>
  </si>
  <si>
    <t>Удалено 8 листов</t>
  </si>
  <si>
    <t>19 10 2/ 20 15 12</t>
  </si>
  <si>
    <t>NOUT-kuvbur</t>
  </si>
  <si>
    <t>Ошибка арматуры</t>
  </si>
  <si>
    <t>Отсутвует вес для 8000 А500С</t>
  </si>
  <si>
    <t xml:space="preserve"> Сборочные единицы </t>
  </si>
  <si>
    <t>Сг</t>
  </si>
  <si>
    <t>.И-Сг</t>
  </si>
  <si>
    <t>Фундамент</t>
  </si>
  <si>
    <t>Серия</t>
  </si>
  <si>
    <t>19 10 3/ 0 11 12</t>
  </si>
  <si>
    <t>Отсутвует вес для 8 А500С</t>
  </si>
  <si>
    <t>6,25 кг.</t>
  </si>
  <si>
    <t>МН550</t>
  </si>
  <si>
    <t>Закладная</t>
  </si>
  <si>
    <t>1,45 кг.</t>
  </si>
  <si>
    <t>⌀8 A500C L=1200мм.</t>
  </si>
  <si>
    <t>2,4 кг.</t>
  </si>
  <si>
    <t>19 10 3/ 0 31 46</t>
  </si>
  <si>
    <t>Фундамент, на все</t>
  </si>
  <si>
    <t>_гр</t>
  </si>
  <si>
    <t>Небивка массы на  .28 груп= 1.44, общая= 1.16</t>
  </si>
  <si>
    <t>Марка
изделия.</t>
  </si>
  <si>
    <t>Поз.
дет.</t>
  </si>
  <si>
    <t>Кол-во*</t>
  </si>
  <si>
    <t>Масса, кг.</t>
  </si>
  <si>
    <t>Масса изделий, кг.</t>
  </si>
  <si>
    <t>МН550,
на все</t>
  </si>
  <si>
    <t>⌀8 A500C L=600мм.</t>
  </si>
  <si>
    <t>0,24 кг.</t>
  </si>
  <si>
    <t xml:space="preserve">                                                            * расход на все изделия</t>
  </si>
  <si>
    <t>Пример 4_гр</t>
  </si>
  <si>
    <t>19 10 3/ 0 33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</si>
</sst>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5" tint="0.79995117038483843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71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0" fontId="21" fillId="33" borderId="19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3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8" borderId="15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40" borderId="15" xfId="0" applyFont="1" applyFill="1" applyBorder="1" applyAlignment="1">
      <alignment horizontal="center" vertical="center" wrapText="1"/>
    </xf>
    <xf numFmtId="0" fontId="21" fillId="40" borderId="14" xfId="0" applyFont="1" applyFill="1" applyBorder="1" applyAlignment="1">
      <alignment horizontal="center" vertical="center" wrapText="1"/>
    </xf>
    <xf numFmtId="0" fontId="21" fillId="40" borderId="13" xfId="0" applyFont="1" applyFill="1" applyBorder="1" applyAlignment="1">
      <alignment horizontal="center" vertical="center" wrapText="1"/>
    </xf>
    <xf numFmtId="0" fontId="21" fillId="34" borderId="12" xfId="0" applyFont="1" applyFill="1" applyBorder="1" applyAlignment="1">
      <alignment horizontal="center" vertical="center" wrapText="1"/>
    </xf>
    <xf numFmtId="0" fontId="21" fillId="34" borderId="10" xfId="0" applyFont="1" applyFill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81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7;&#1077;&#1094;%20&#1042;&#1086;&#1079;&#1076;&#1091;&#1093;&#1086;&#1076;&#1091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КЖ_спец"/>
      <sheetName val="Изделия_спец.И"/>
      <sheetName val="Анкер_спец"/>
      <sheetName val="Из архикада плиты"/>
      <sheetName val="КЖ_об"/>
      <sheetName val="КЖ_кж"/>
      <sheetName val="Анкер_кж"/>
      <sheetName val="Анкер"/>
      <sheetName val="Анкер_об"/>
      <sheetName val="!Syste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1"/>
  <sheetViews>
    <sheetView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2812</v>
      </c>
      <c r="G2" s="7">
        <v>1</v>
      </c>
      <c r="H2" s="7" t="s">
        <v>2378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1</v>
      </c>
      <c r="U2" s="7" t="b">
        <v>0</v>
      </c>
      <c r="V2" s="7" t="b">
        <v>0</v>
      </c>
    </row>
    <row r="3" spans="1:22" x14ac:dyDescent="0.25">
      <c r="C3" s="8" t="s">
        <v>2379</v>
      </c>
      <c r="G3" s="7">
        <v>1</v>
      </c>
      <c r="H3" s="7" t="s">
        <v>2378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1</v>
      </c>
      <c r="U3" s="7" t="b">
        <v>0</v>
      </c>
      <c r="V3" s="7" t="b">
        <v>0</v>
      </c>
    </row>
    <row r="4" spans="1:22" x14ac:dyDescent="0.25">
      <c r="E4" s="8" t="s">
        <v>2701</v>
      </c>
      <c r="G4" s="7">
        <v>1</v>
      </c>
      <c r="H4" s="7" t="s">
        <v>2378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1</v>
      </c>
      <c r="U4" s="7" t="b">
        <v>0</v>
      </c>
      <c r="V4" s="7" t="b">
        <v>0</v>
      </c>
    </row>
    <row r="5" spans="1:22" x14ac:dyDescent="0.25">
      <c r="D5" s="8" t="s">
        <v>2826</v>
      </c>
      <c r="G5" s="7">
        <v>1</v>
      </c>
      <c r="H5" s="7" t="s">
        <v>2855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1</v>
      </c>
      <c r="U5" s="7" t="b">
        <v>1</v>
      </c>
      <c r="V5" s="7" t="b">
        <v>0</v>
      </c>
    </row>
    <row r="6" spans="1:22" x14ac:dyDescent="0.25">
      <c r="D6" s="8" t="s">
        <v>2782</v>
      </c>
      <c r="G6" s="7">
        <v>1</v>
      </c>
      <c r="H6" s="7" t="s">
        <v>2864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1</v>
      </c>
      <c r="U6" s="7" t="b">
        <v>1</v>
      </c>
      <c r="V6" s="7" t="b">
        <v>0</v>
      </c>
    </row>
    <row r="7" spans="1:22" x14ac:dyDescent="0.25">
      <c r="D7" s="8" t="s">
        <v>2783</v>
      </c>
      <c r="G7" s="7">
        <v>1</v>
      </c>
      <c r="H7" s="7" t="s">
        <v>2872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1</v>
      </c>
      <c r="U7" s="7" t="b">
        <v>1</v>
      </c>
      <c r="V7" s="7" t="b">
        <v>0</v>
      </c>
    </row>
    <row r="8" spans="1:22" x14ac:dyDescent="0.25">
      <c r="D8" s="8" t="s">
        <v>2885</v>
      </c>
      <c r="G8" s="7">
        <v>1</v>
      </c>
      <c r="H8" s="7" t="s">
        <v>2886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1</v>
      </c>
      <c r="U8" s="7" t="b">
        <v>0</v>
      </c>
      <c r="V8" s="7" t="b">
        <v>0</v>
      </c>
    </row>
    <row r="9" spans="1:22" x14ac:dyDescent="0.25">
      <c r="B9" s="8" t="s">
        <v>2376</v>
      </c>
    </row>
    <row r="10" spans="1:22" x14ac:dyDescent="0.25">
      <c r="A10" s="8" t="s">
        <v>25</v>
      </c>
    </row>
    <row r="11" spans="1:22" x14ac:dyDescent="0.25">
      <c r="A11" s="8" t="s">
        <v>24</v>
      </c>
    </row>
  </sheetData>
  <sortState ref="A2:V11">
    <sortCondition ref="H2:H600"/>
  </sortState>
  <conditionalFormatting sqref="A1:V1048576">
    <cfRule type="containsText" dxfId="80" priority="7" operator="containsText" text="_спец">
      <formula>NOT(ISERROR(SEARCH("_спец",A1)))</formula>
    </cfRule>
    <cfRule type="containsText" dxfId="79" priority="6" operator="containsText" text="!">
      <formula>NOT(ISERROR(SEARCH("!",A1)))</formula>
    </cfRule>
    <cfRule type="expression" dxfId="78" priority="5">
      <formula>LEN(TRIM(A1))=0</formula>
    </cfRule>
    <cfRule type="containsText" dxfId="77" priority="4" operator="containsText" text="|">
      <formula>NOT(ISERROR(SEARCH("|",A1)))</formula>
    </cfRule>
    <cfRule type="containsText" dxfId="76" priority="3" operator="containsText" text="_кж">
      <formula>NOT(ISERROR(SEARCH("_кж",A1)))</formula>
    </cfRule>
    <cfRule type="containsText" dxfId="75" priority="2" operator="containsText" text="_км">
      <formula>NOT(ISERROR(SEARCH("_км",A1)))</formula>
    </cfRule>
    <cfRule type="containsText" dxfId="74" priority="1" operator="containsText" text="_поз">
      <formula>NOT(ISERROR(SEARCH("_поз",A1)))</formula>
    </cfRule>
  </conditionalFormatting>
  <hyperlinks>
    <hyperlink ref="B9" location="'!System'!B2" display="'!System'!B2"/>
    <hyperlink ref="A10" location="'|Лог|'!A1" display="'|Лог|'!A1"/>
    <hyperlink ref="A11" location="'|Содержание|'!A1" display="'|Содержание|'!A1"/>
    <hyperlink ref="E2" location="'Ведомость отделки_правила'!E3" display="'Ведомость отделки_правила'!E3"/>
    <hyperlink ref="C3" location="'Изделия_спец.И'!C3" display="'Изделия_спец.И'!C3"/>
    <hyperlink ref="D5" location="'Кладочный план_об'!D4" display="'Кладочный план_об'!D4"/>
    <hyperlink ref="D6" location="'Пример 4'!D4" display="'Пример 4'!D4"/>
    <hyperlink ref="D8" location="'Пример 4_гр'!D4" display="'Пример 4_гр'!D4"/>
    <hyperlink ref="D7" location="'Пример 4_об'!D4" display="'Пример 4_об'!D4"/>
    <hyperlink ref="E4" location="'Пфм1_спец'!E3" display="'Пф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1000"/>
  <sheetViews>
    <sheetView topLeftCell="A224" workbookViewId="0">
      <selection activeCell="C253" sqref="C253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43739.723229166666</v>
      </c>
      <c r="B2" s="1" t="s">
        <v>2704</v>
      </c>
      <c r="C2" s="1" t="s">
        <v>2780</v>
      </c>
      <c r="D2" s="1" t="s">
        <v>2778</v>
      </c>
      <c r="E2" s="1" t="s">
        <v>2709</v>
      </c>
      <c r="F2" s="1">
        <v>3.71</v>
      </c>
      <c r="G2" s="1">
        <v>3.94</v>
      </c>
      <c r="H2" s="1">
        <v>3.18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43739.723298611112</v>
      </c>
      <c r="B3" s="1" t="s">
        <v>2704</v>
      </c>
      <c r="C3" s="1" t="s">
        <v>2780</v>
      </c>
      <c r="D3" s="1" t="s">
        <v>2778</v>
      </c>
      <c r="E3" s="10" t="s">
        <v>2709</v>
      </c>
      <c r="F3" s="1">
        <v>3.71</v>
      </c>
      <c r="G3" s="1">
        <v>3.94</v>
      </c>
      <c r="H3" s="1">
        <v>3.18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43739.723611111112</v>
      </c>
      <c r="B4" s="1" t="s">
        <v>2704</v>
      </c>
      <c r="C4" s="1" t="s">
        <v>2780</v>
      </c>
      <c r="D4" s="1" t="s">
        <v>2778</v>
      </c>
      <c r="E4" s="10" t="s">
        <v>2709</v>
      </c>
      <c r="F4" s="1">
        <v>3.71</v>
      </c>
      <c r="G4" s="1">
        <v>3.94</v>
      </c>
      <c r="H4" s="1">
        <v>3.18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43739.723703703705</v>
      </c>
      <c r="B5" s="1" t="s">
        <v>2704</v>
      </c>
      <c r="C5" s="1" t="s">
        <v>2780</v>
      </c>
      <c r="D5" s="1" t="s">
        <v>2778</v>
      </c>
      <c r="E5" s="1" t="s">
        <v>2709</v>
      </c>
      <c r="F5" s="1">
        <v>3.71</v>
      </c>
      <c r="G5" s="1">
        <v>3.94</v>
      </c>
      <c r="H5" s="1">
        <v>3.18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43739.724849537037</v>
      </c>
      <c r="B6" s="1" t="s">
        <v>2704</v>
      </c>
      <c r="C6" s="1" t="s">
        <v>2780</v>
      </c>
      <c r="D6" s="1" t="s">
        <v>2778</v>
      </c>
      <c r="E6" s="1" t="s">
        <v>2709</v>
      </c>
      <c r="F6" s="1">
        <v>3.71</v>
      </c>
      <c r="G6" s="1">
        <v>3.94</v>
      </c>
      <c r="H6" s="1">
        <v>3.18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43739.724930555552</v>
      </c>
      <c r="B7" s="1" t="s">
        <v>2704</v>
      </c>
      <c r="C7" s="1" t="s">
        <v>2780</v>
      </c>
      <c r="D7" s="1" t="s">
        <v>2778</v>
      </c>
      <c r="E7" s="1" t="s">
        <v>2709</v>
      </c>
      <c r="F7" s="1">
        <v>3.71</v>
      </c>
      <c r="G7" s="1">
        <v>3.94</v>
      </c>
      <c r="H7" s="1">
        <v>3.18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43739.725416666668</v>
      </c>
      <c r="B8" s="1" t="s">
        <v>2704</v>
      </c>
      <c r="C8" s="1" t="s">
        <v>2780</v>
      </c>
      <c r="D8" s="1" t="s">
        <v>2778</v>
      </c>
      <c r="E8" s="10" t="s">
        <v>2709</v>
      </c>
      <c r="F8" s="1">
        <v>3.71</v>
      </c>
      <c r="G8" s="1">
        <v>3.94</v>
      </c>
      <c r="H8" s="1">
        <v>3.18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43739.7266087963</v>
      </c>
      <c r="B9" s="1" t="s">
        <v>2704</v>
      </c>
      <c r="C9" s="1" t="s">
        <v>2780</v>
      </c>
      <c r="D9" s="1" t="s">
        <v>2778</v>
      </c>
      <c r="E9" s="10" t="s">
        <v>2709</v>
      </c>
      <c r="F9" s="1">
        <v>3.71</v>
      </c>
      <c r="G9" s="1">
        <v>3.94</v>
      </c>
      <c r="H9" s="1">
        <v>3.18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43739.727951388886</v>
      </c>
      <c r="B10" s="1" t="s">
        <v>2704</v>
      </c>
      <c r="C10" s="1" t="s">
        <v>2780</v>
      </c>
      <c r="D10" s="1" t="s">
        <v>2778</v>
      </c>
      <c r="E10" s="10" t="s">
        <v>2709</v>
      </c>
      <c r="F10" s="1">
        <v>3.71</v>
      </c>
      <c r="G10" s="1">
        <v>3.94</v>
      </c>
      <c r="H10" s="1">
        <v>3.18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43739.729398148149</v>
      </c>
      <c r="B11" s="1" t="s">
        <v>2704</v>
      </c>
      <c r="C11" s="1" t="s">
        <v>2780</v>
      </c>
      <c r="D11" s="1" t="s">
        <v>2778</v>
      </c>
      <c r="E11" s="10" t="s">
        <v>2709</v>
      </c>
      <c r="F11" s="1">
        <v>3.71</v>
      </c>
      <c r="G11" s="1">
        <v>3.94</v>
      </c>
      <c r="H11" s="1">
        <v>3.18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43739.732719907406</v>
      </c>
      <c r="B12" s="1" t="s">
        <v>2704</v>
      </c>
      <c r="C12" s="1" t="s">
        <v>2780</v>
      </c>
      <c r="D12" s="1" t="s">
        <v>2778</v>
      </c>
      <c r="E12" s="1" t="s">
        <v>2709</v>
      </c>
      <c r="F12" s="1">
        <v>3.71</v>
      </c>
      <c r="G12" s="1">
        <v>3.94</v>
      </c>
      <c r="H12" s="1">
        <v>3.18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43739.7344212963</v>
      </c>
      <c r="B13" s="1" t="s">
        <v>2704</v>
      </c>
      <c r="C13" s="1" t="s">
        <v>2780</v>
      </c>
      <c r="D13" s="1" t="s">
        <v>2778</v>
      </c>
      <c r="E13" s="1" t="s">
        <v>2709</v>
      </c>
      <c r="F13" s="1">
        <v>3.71</v>
      </c>
      <c r="G13" s="1">
        <v>3.94</v>
      </c>
      <c r="H13" s="1">
        <v>3.18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43739.735648148147</v>
      </c>
      <c r="B14" s="1" t="s">
        <v>2704</v>
      </c>
      <c r="C14" s="1" t="s">
        <v>2780</v>
      </c>
      <c r="D14" s="1" t="s">
        <v>2778</v>
      </c>
      <c r="E14" s="1" t="s">
        <v>2709</v>
      </c>
      <c r="F14" s="1">
        <v>3.71</v>
      </c>
      <c r="G14" s="1">
        <v>3.94</v>
      </c>
      <c r="H14" s="1">
        <v>3.18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43739.736203703702</v>
      </c>
      <c r="B15" s="1" t="s">
        <v>2704</v>
      </c>
      <c r="C15" s="1" t="s">
        <v>2780</v>
      </c>
      <c r="D15" s="1" t="s">
        <v>2778</v>
      </c>
      <c r="E15" s="10" t="s">
        <v>2709</v>
      </c>
      <c r="F15" s="1">
        <v>3.71</v>
      </c>
      <c r="G15" s="1">
        <v>3.94</v>
      </c>
      <c r="H15" s="1">
        <v>3.18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43739.737800925926</v>
      </c>
      <c r="B16" s="1" t="s">
        <v>2704</v>
      </c>
      <c r="C16" s="1" t="s">
        <v>2780</v>
      </c>
      <c r="D16" s="1" t="s">
        <v>2778</v>
      </c>
      <c r="E16" s="10" t="s">
        <v>2709</v>
      </c>
      <c r="F16" s="1">
        <v>3.71</v>
      </c>
      <c r="G16" s="1">
        <v>3.94</v>
      </c>
      <c r="H16" s="1">
        <v>3.18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43739.739432870374</v>
      </c>
      <c r="B17" s="1" t="s">
        <v>2704</v>
      </c>
      <c r="C17" s="1" t="s">
        <v>2780</v>
      </c>
      <c r="D17" s="1" t="s">
        <v>2778</v>
      </c>
      <c r="E17" s="1" t="s">
        <v>2709</v>
      </c>
      <c r="F17" s="1">
        <v>3.71</v>
      </c>
      <c r="G17" s="1">
        <v>3.94</v>
      </c>
      <c r="H17" s="1">
        <v>3.18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43739.741400462961</v>
      </c>
      <c r="B18" s="1" t="s">
        <v>2704</v>
      </c>
      <c r="C18" s="1" t="s">
        <v>2780</v>
      </c>
      <c r="D18" s="1" t="s">
        <v>2778</v>
      </c>
      <c r="E18" s="10" t="s">
        <v>2709</v>
      </c>
      <c r="F18" s="1">
        <v>3.71</v>
      </c>
      <c r="G18" s="1">
        <v>3.94</v>
      </c>
      <c r="H18" s="1">
        <v>3.18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43739.741967592592</v>
      </c>
      <c r="B19" s="1" t="s">
        <v>2704</v>
      </c>
      <c r="C19" s="1" t="s">
        <v>2780</v>
      </c>
      <c r="D19" s="1" t="s">
        <v>2778</v>
      </c>
      <c r="E19" s="1" t="s">
        <v>2709</v>
      </c>
      <c r="F19" s="1">
        <v>3.71</v>
      </c>
      <c r="G19" s="1">
        <v>3.94</v>
      </c>
      <c r="H19" s="1">
        <v>3.18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43739.742650462962</v>
      </c>
      <c r="B20" s="1" t="s">
        <v>2704</v>
      </c>
      <c r="C20" s="1" t="s">
        <v>2780</v>
      </c>
      <c r="D20" s="1" t="s">
        <v>2778</v>
      </c>
      <c r="E20" s="1" t="s">
        <v>2709</v>
      </c>
      <c r="F20" s="1">
        <v>3.71</v>
      </c>
      <c r="G20" s="1">
        <v>3.94</v>
      </c>
      <c r="H20" s="1">
        <v>3.18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43739.743356481478</v>
      </c>
      <c r="B21" s="1" t="s">
        <v>2704</v>
      </c>
      <c r="C21" s="1" t="s">
        <v>2780</v>
      </c>
      <c r="D21" s="1" t="s">
        <v>2778</v>
      </c>
      <c r="E21" s="1" t="s">
        <v>2709</v>
      </c>
      <c r="F21" s="1">
        <v>3.71</v>
      </c>
      <c r="G21" s="1">
        <v>3.94</v>
      </c>
      <c r="H21" s="1">
        <v>3.18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43739.743784722225</v>
      </c>
      <c r="B22" s="1" t="s">
        <v>2704</v>
      </c>
      <c r="C22" s="1" t="s">
        <v>2780</v>
      </c>
      <c r="D22" s="1" t="s">
        <v>2778</v>
      </c>
      <c r="E22" s="1" t="s">
        <v>2709</v>
      </c>
      <c r="F22" s="1">
        <v>3.71</v>
      </c>
      <c r="G22" s="1">
        <v>3.94</v>
      </c>
      <c r="H22" s="1">
        <v>3.18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43739.745532407411</v>
      </c>
      <c r="B23" s="1" t="s">
        <v>2704</v>
      </c>
      <c r="C23" s="1" t="s">
        <v>2780</v>
      </c>
      <c r="D23" s="1" t="s">
        <v>2778</v>
      </c>
      <c r="E23" s="10" t="s">
        <v>2709</v>
      </c>
      <c r="F23" s="1">
        <v>3.71</v>
      </c>
      <c r="G23" s="1">
        <v>3.94</v>
      </c>
      <c r="H23" s="1">
        <v>3.18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43739.747002314813</v>
      </c>
      <c r="B24" s="1" t="s">
        <v>2704</v>
      </c>
      <c r="C24" s="1" t="s">
        <v>2780</v>
      </c>
      <c r="D24" s="1" t="s">
        <v>2778</v>
      </c>
      <c r="E24" s="1" t="s">
        <v>2705</v>
      </c>
      <c r="F24" s="1">
        <v>3.71</v>
      </c>
      <c r="G24" s="1">
        <v>3.94</v>
      </c>
      <c r="H24" s="1">
        <v>3.18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43739.748773148145</v>
      </c>
      <c r="B25" s="1" t="s">
        <v>2704</v>
      </c>
      <c r="C25" s="1" t="s">
        <v>2780</v>
      </c>
      <c r="D25" s="1" t="s">
        <v>2816</v>
      </c>
      <c r="E25" s="10" t="s">
        <v>2709</v>
      </c>
      <c r="F25" s="1">
        <v>3.71</v>
      </c>
      <c r="G25" s="1">
        <v>3.94</v>
      </c>
      <c r="H25" s="1">
        <v>3.18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43739.748784722222</v>
      </c>
      <c r="B26" s="1" t="s">
        <v>2704</v>
      </c>
      <c r="C26" s="1" t="s">
        <v>2780</v>
      </c>
      <c r="D26" s="1" t="s">
        <v>2778</v>
      </c>
      <c r="E26" s="1" t="s">
        <v>2709</v>
      </c>
      <c r="F26" s="1">
        <v>3.71</v>
      </c>
      <c r="G26" s="1">
        <v>3.94</v>
      </c>
      <c r="H26" s="1">
        <v>3.18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43739.750439814816</v>
      </c>
      <c r="B27" s="1" t="s">
        <v>2704</v>
      </c>
      <c r="C27" s="1" t="s">
        <v>2783</v>
      </c>
      <c r="D27" s="1" t="s">
        <v>2777</v>
      </c>
      <c r="E27" s="1" t="s">
        <v>2709</v>
      </c>
      <c r="F27" s="1">
        <v>3.71</v>
      </c>
      <c r="G27" s="1">
        <v>3.94</v>
      </c>
      <c r="H27" s="1">
        <v>3.18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43739.750949074078</v>
      </c>
      <c r="B28" s="1" t="s">
        <v>2704</v>
      </c>
      <c r="C28" s="1" t="s">
        <v>2817</v>
      </c>
      <c r="D28" s="1"/>
      <c r="E28" s="1" t="s">
        <v>2709</v>
      </c>
      <c r="F28" s="1">
        <v>3.71</v>
      </c>
      <c r="G28" s="1">
        <v>3.94</v>
      </c>
      <c r="H28" s="1">
        <v>3.18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43739.750983796293</v>
      </c>
      <c r="B29" s="1" t="s">
        <v>2704</v>
      </c>
      <c r="C29" s="1" t="s">
        <v>2780</v>
      </c>
      <c r="D29" s="1" t="s">
        <v>2778</v>
      </c>
      <c r="E29" s="1" t="s">
        <v>2709</v>
      </c>
      <c r="F29" s="1">
        <v>3.71</v>
      </c>
      <c r="G29" s="1">
        <v>3.94</v>
      </c>
      <c r="H29" s="1">
        <v>3.18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43739.758645833332</v>
      </c>
      <c r="B30" s="1" t="s">
        <v>2704</v>
      </c>
      <c r="C30" s="1" t="s">
        <v>2817</v>
      </c>
      <c r="D30" s="1"/>
      <c r="E30" s="10" t="s">
        <v>2709</v>
      </c>
      <c r="F30" s="1">
        <v>3.71</v>
      </c>
      <c r="G30" s="1">
        <v>3.94</v>
      </c>
      <c r="H30" s="1">
        <v>3.18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43739.758645833332</v>
      </c>
      <c r="B31" s="1" t="s">
        <v>2704</v>
      </c>
      <c r="C31" s="1" t="s">
        <v>2780</v>
      </c>
      <c r="D31" s="1" t="s">
        <v>2778</v>
      </c>
      <c r="E31" s="1" t="s">
        <v>2709</v>
      </c>
      <c r="F31" s="1">
        <v>3.71</v>
      </c>
      <c r="G31" s="1">
        <v>3.94</v>
      </c>
      <c r="H31" s="1">
        <v>3.18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43739.758831018517</v>
      </c>
      <c r="B32" s="1" t="s">
        <v>2704</v>
      </c>
      <c r="C32" s="1" t="s">
        <v>2817</v>
      </c>
      <c r="D32" s="1"/>
      <c r="E32" s="10" t="s">
        <v>2709</v>
      </c>
      <c r="F32" s="1">
        <v>3.71</v>
      </c>
      <c r="G32" s="1">
        <v>3.94</v>
      </c>
      <c r="H32" s="1">
        <v>3.18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1</v>
      </c>
    </row>
    <row r="33" spans="1:15" ht="15.95" customHeight="1" x14ac:dyDescent="0.25">
      <c r="A33" s="4">
        <v>43739.758831018517</v>
      </c>
      <c r="B33" s="1" t="s">
        <v>2704</v>
      </c>
      <c r="C33" s="1" t="s">
        <v>2780</v>
      </c>
      <c r="D33" s="1" t="s">
        <v>2778</v>
      </c>
      <c r="E33" s="1" t="s">
        <v>2709</v>
      </c>
      <c r="F33" s="1">
        <v>3.71</v>
      </c>
      <c r="G33" s="1">
        <v>3.94</v>
      </c>
      <c r="H33" s="1">
        <v>3.18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1</v>
      </c>
    </row>
    <row r="34" spans="1:15" ht="15.95" customHeight="1" x14ac:dyDescent="0.25">
      <c r="A34" s="4">
        <v>43739.758900462963</v>
      </c>
      <c r="B34" s="1" t="s">
        <v>2704</v>
      </c>
      <c r="C34" s="1" t="s">
        <v>2817</v>
      </c>
      <c r="D34" s="1"/>
      <c r="E34" s="1" t="s">
        <v>2709</v>
      </c>
      <c r="F34" s="1">
        <v>3.71</v>
      </c>
      <c r="G34" s="1">
        <v>3.94</v>
      </c>
      <c r="H34" s="1">
        <v>3.18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43739.758912037039</v>
      </c>
      <c r="B35" s="1" t="s">
        <v>2704</v>
      </c>
      <c r="C35" s="1" t="s">
        <v>2780</v>
      </c>
      <c r="D35" s="1" t="s">
        <v>2778</v>
      </c>
      <c r="E35" s="1" t="s">
        <v>2709</v>
      </c>
      <c r="F35" s="1">
        <v>3.71</v>
      </c>
      <c r="G35" s="1">
        <v>3.94</v>
      </c>
      <c r="H35" s="1">
        <v>3.18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43739.760138888887</v>
      </c>
      <c r="B36" s="1" t="s">
        <v>2704</v>
      </c>
      <c r="C36" s="1" t="s">
        <v>2817</v>
      </c>
      <c r="D36" s="1"/>
      <c r="E36" s="1" t="s">
        <v>2709</v>
      </c>
      <c r="F36" s="1">
        <v>3.71</v>
      </c>
      <c r="G36" s="1">
        <v>3.94</v>
      </c>
      <c r="H36" s="1">
        <v>3.18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43739.760150462964</v>
      </c>
      <c r="B37" s="1" t="s">
        <v>2704</v>
      </c>
      <c r="C37" s="1" t="s">
        <v>2780</v>
      </c>
      <c r="D37" s="1" t="s">
        <v>2778</v>
      </c>
      <c r="E37" s="10" t="s">
        <v>2709</v>
      </c>
      <c r="F37" s="1">
        <v>3.71</v>
      </c>
      <c r="G37" s="1">
        <v>3.94</v>
      </c>
      <c r="H37" s="1">
        <v>3.18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43739.760196759256</v>
      </c>
      <c r="B38" s="1" t="s">
        <v>2704</v>
      </c>
      <c r="C38" s="1" t="s">
        <v>2817</v>
      </c>
      <c r="D38" s="1"/>
      <c r="E38" s="10" t="s">
        <v>2705</v>
      </c>
      <c r="F38" s="1">
        <v>3.71</v>
      </c>
      <c r="G38" s="1">
        <v>3.94</v>
      </c>
      <c r="H38" s="1">
        <v>3.18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43739.76048611111</v>
      </c>
      <c r="B39" s="1" t="s">
        <v>2704</v>
      </c>
      <c r="C39" s="1" t="s">
        <v>2817</v>
      </c>
      <c r="D39" s="1"/>
      <c r="E39" s="10" t="s">
        <v>2709</v>
      </c>
      <c r="F39" s="1">
        <v>3.71</v>
      </c>
      <c r="G39" s="1">
        <v>3.94</v>
      </c>
      <c r="H39" s="1">
        <v>3.18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43739.760497685187</v>
      </c>
      <c r="B40" s="1" t="s">
        <v>2704</v>
      </c>
      <c r="C40" s="1" t="s">
        <v>2780</v>
      </c>
      <c r="D40" s="1" t="s">
        <v>2778</v>
      </c>
      <c r="E40" s="1" t="s">
        <v>2709</v>
      </c>
      <c r="F40" s="1">
        <v>3.71</v>
      </c>
      <c r="G40" s="1">
        <v>3.94</v>
      </c>
      <c r="H40" s="1">
        <v>3.18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43739.761203703703</v>
      </c>
      <c r="B41" s="1" t="s">
        <v>2704</v>
      </c>
      <c r="C41" s="1" t="s">
        <v>2817</v>
      </c>
      <c r="D41" s="1"/>
      <c r="E41" s="1" t="s">
        <v>2709</v>
      </c>
      <c r="F41" s="1">
        <v>3.71</v>
      </c>
      <c r="G41" s="1">
        <v>3.94</v>
      </c>
      <c r="H41" s="1">
        <v>3.18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43739.76121527778</v>
      </c>
      <c r="B42" s="1" t="s">
        <v>2704</v>
      </c>
      <c r="C42" s="1" t="s">
        <v>2780</v>
      </c>
      <c r="D42" s="1" t="s">
        <v>2778</v>
      </c>
      <c r="E42" s="1" t="s">
        <v>2709</v>
      </c>
      <c r="F42" s="1">
        <v>3.71</v>
      </c>
      <c r="G42" s="1">
        <v>3.94</v>
      </c>
      <c r="H42" s="1">
        <v>3.18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43739.761412037034</v>
      </c>
      <c r="B43" s="1" t="s">
        <v>2704</v>
      </c>
      <c r="C43" s="1" t="s">
        <v>2817</v>
      </c>
      <c r="D43" s="1"/>
      <c r="E43" s="10" t="s">
        <v>2709</v>
      </c>
      <c r="F43" s="1">
        <v>3.71</v>
      </c>
      <c r="G43" s="1">
        <v>3.94</v>
      </c>
      <c r="H43" s="1">
        <v>3.18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1</v>
      </c>
    </row>
    <row r="44" spans="1:15" ht="15.95" customHeight="1" x14ac:dyDescent="0.25">
      <c r="A44" s="4">
        <v>43739.761423611111</v>
      </c>
      <c r="B44" s="1" t="s">
        <v>2704</v>
      </c>
      <c r="C44" s="1" t="s">
        <v>2780</v>
      </c>
      <c r="D44" s="1" t="s">
        <v>2778</v>
      </c>
      <c r="E44" s="10" t="s">
        <v>2709</v>
      </c>
      <c r="F44" s="1">
        <v>3.71</v>
      </c>
      <c r="G44" s="1">
        <v>3.94</v>
      </c>
      <c r="H44" s="1">
        <v>3.18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1</v>
      </c>
    </row>
    <row r="45" spans="1:15" ht="15.95" customHeight="1" x14ac:dyDescent="0.25">
      <c r="A45" s="4">
        <v>43739.763611111113</v>
      </c>
      <c r="B45" s="1" t="s">
        <v>2704</v>
      </c>
      <c r="C45" s="1" t="s">
        <v>2817</v>
      </c>
      <c r="D45" s="1"/>
      <c r="E45" s="10" t="s">
        <v>2709</v>
      </c>
      <c r="F45" s="1">
        <v>3.71</v>
      </c>
      <c r="G45" s="1">
        <v>3.94</v>
      </c>
      <c r="H45" s="1">
        <v>3.18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43739.763611111113</v>
      </c>
      <c r="B46" s="1" t="s">
        <v>2704</v>
      </c>
      <c r="C46" s="1" t="s">
        <v>2780</v>
      </c>
      <c r="D46" s="1" t="s">
        <v>2778</v>
      </c>
      <c r="E46" s="10" t="s">
        <v>2709</v>
      </c>
      <c r="F46" s="1">
        <v>3.71</v>
      </c>
      <c r="G46" s="1">
        <v>3.94</v>
      </c>
      <c r="H46" s="1">
        <v>3.18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43739.765277777777</v>
      </c>
      <c r="B47" s="1" t="s">
        <v>2704</v>
      </c>
      <c r="C47" s="1" t="s">
        <v>2817</v>
      </c>
      <c r="D47" s="1"/>
      <c r="E47" s="1" t="s">
        <v>2709</v>
      </c>
      <c r="F47" s="1">
        <v>3.71</v>
      </c>
      <c r="G47" s="1">
        <v>3.94</v>
      </c>
      <c r="H47" s="1">
        <v>3.18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1</v>
      </c>
    </row>
    <row r="48" spans="1:15" ht="15.95" customHeight="1" x14ac:dyDescent="0.25">
      <c r="A48" s="4">
        <v>43739.765289351853</v>
      </c>
      <c r="B48" s="1" t="s">
        <v>2704</v>
      </c>
      <c r="C48" s="1" t="s">
        <v>2780</v>
      </c>
      <c r="D48" s="1" t="s">
        <v>2778</v>
      </c>
      <c r="E48" s="1" t="s">
        <v>2709</v>
      </c>
      <c r="F48" s="1">
        <v>3.71</v>
      </c>
      <c r="G48" s="1">
        <v>3.94</v>
      </c>
      <c r="H48" s="1">
        <v>3.18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1</v>
      </c>
    </row>
    <row r="49" spans="1:15" ht="15.95" customHeight="1" x14ac:dyDescent="0.25">
      <c r="A49" s="4">
        <v>43739.766250000001</v>
      </c>
      <c r="B49" s="1" t="s">
        <v>2704</v>
      </c>
      <c r="C49" s="1" t="s">
        <v>2817</v>
      </c>
      <c r="D49" s="1"/>
      <c r="E49" s="1" t="s">
        <v>2709</v>
      </c>
      <c r="F49" s="1">
        <v>3.71</v>
      </c>
      <c r="G49" s="1">
        <v>3.94</v>
      </c>
      <c r="H49" s="1">
        <v>3.18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43739.766261574077</v>
      </c>
      <c r="B50" s="1" t="s">
        <v>2704</v>
      </c>
      <c r="C50" s="1" t="s">
        <v>2780</v>
      </c>
      <c r="D50" s="1" t="s">
        <v>2778</v>
      </c>
      <c r="E50" s="10" t="s">
        <v>2709</v>
      </c>
      <c r="F50" s="1">
        <v>3.71</v>
      </c>
      <c r="G50" s="1">
        <v>3.94</v>
      </c>
      <c r="H50" s="1">
        <v>3.18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43739.767743055556</v>
      </c>
      <c r="B51" s="1" t="s">
        <v>2704</v>
      </c>
      <c r="C51" s="1" t="s">
        <v>2817</v>
      </c>
      <c r="D51" s="1"/>
      <c r="E51" s="10" t="s">
        <v>2709</v>
      </c>
      <c r="F51" s="1">
        <v>3.71</v>
      </c>
      <c r="G51" s="1">
        <v>3.94</v>
      </c>
      <c r="H51" s="1">
        <v>3.18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1</v>
      </c>
    </row>
    <row r="52" spans="1:15" ht="15.95" customHeight="1" x14ac:dyDescent="0.25">
      <c r="A52" s="4">
        <v>43739.767754629633</v>
      </c>
      <c r="B52" s="1" t="s">
        <v>2704</v>
      </c>
      <c r="C52" s="1" t="s">
        <v>2780</v>
      </c>
      <c r="D52" s="1" t="s">
        <v>2778</v>
      </c>
      <c r="E52" s="10" t="s">
        <v>2709</v>
      </c>
      <c r="F52" s="1">
        <v>3.71</v>
      </c>
      <c r="G52" s="1">
        <v>3.94</v>
      </c>
      <c r="H52" s="1">
        <v>3.18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1</v>
      </c>
    </row>
    <row r="53" spans="1:15" ht="15.95" customHeight="1" x14ac:dyDescent="0.25">
      <c r="A53" s="4">
        <v>43739.76798611111</v>
      </c>
      <c r="B53" s="1" t="s">
        <v>2704</v>
      </c>
      <c r="C53" s="1" t="s">
        <v>2817</v>
      </c>
      <c r="D53" s="1"/>
      <c r="E53" s="10" t="s">
        <v>2709</v>
      </c>
      <c r="F53" s="1">
        <v>3.71</v>
      </c>
      <c r="G53" s="1">
        <v>3.94</v>
      </c>
      <c r="H53" s="1">
        <v>3.18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1</v>
      </c>
    </row>
    <row r="54" spans="1:15" ht="15.95" customHeight="1" x14ac:dyDescent="0.25">
      <c r="A54" s="4">
        <v>43739.767997685187</v>
      </c>
      <c r="B54" s="1" t="s">
        <v>2704</v>
      </c>
      <c r="C54" s="1" t="s">
        <v>2780</v>
      </c>
      <c r="D54" s="1" t="s">
        <v>2778</v>
      </c>
      <c r="E54" s="1" t="s">
        <v>2709</v>
      </c>
      <c r="F54" s="1">
        <v>3.71</v>
      </c>
      <c r="G54" s="1">
        <v>3.94</v>
      </c>
      <c r="H54" s="1">
        <v>3.18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1</v>
      </c>
    </row>
    <row r="55" spans="1:15" ht="15.95" customHeight="1" x14ac:dyDescent="0.25">
      <c r="A55" s="4">
        <v>43739.768101851849</v>
      </c>
      <c r="B55" s="1" t="s">
        <v>2704</v>
      </c>
      <c r="C55" s="1" t="s">
        <v>2817</v>
      </c>
      <c r="D55" s="1"/>
      <c r="E55" s="1" t="s">
        <v>2709</v>
      </c>
      <c r="F55" s="1">
        <v>3.71</v>
      </c>
      <c r="G55" s="1">
        <v>3.94</v>
      </c>
      <c r="H55" s="1">
        <v>3.18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1</v>
      </c>
    </row>
    <row r="56" spans="1:15" ht="15.95" customHeight="1" x14ac:dyDescent="0.25">
      <c r="A56" s="4">
        <v>43739.768113425926</v>
      </c>
      <c r="B56" s="1" t="s">
        <v>2704</v>
      </c>
      <c r="C56" s="1" t="s">
        <v>2780</v>
      </c>
      <c r="D56" s="1" t="s">
        <v>2778</v>
      </c>
      <c r="E56" s="1" t="s">
        <v>2709</v>
      </c>
      <c r="F56" s="1">
        <v>3.71</v>
      </c>
      <c r="G56" s="1">
        <v>3.94</v>
      </c>
      <c r="H56" s="1">
        <v>3.18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1</v>
      </c>
    </row>
    <row r="57" spans="1:15" ht="15.95" customHeight="1" x14ac:dyDescent="0.25">
      <c r="A57" s="4">
        <v>43739.76840277778</v>
      </c>
      <c r="B57" s="1" t="s">
        <v>2704</v>
      </c>
      <c r="C57" s="1" t="s">
        <v>2817</v>
      </c>
      <c r="D57" s="1"/>
      <c r="E57" s="10" t="s">
        <v>2709</v>
      </c>
      <c r="F57" s="1">
        <v>3.71</v>
      </c>
      <c r="G57" s="1">
        <v>3.94</v>
      </c>
      <c r="H57" s="1">
        <v>3.18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1</v>
      </c>
    </row>
    <row r="58" spans="1:15" ht="15.95" customHeight="1" x14ac:dyDescent="0.25">
      <c r="A58" s="4">
        <v>43739.76840277778</v>
      </c>
      <c r="B58" s="1" t="s">
        <v>2704</v>
      </c>
      <c r="C58" s="1" t="s">
        <v>2780</v>
      </c>
      <c r="D58" s="1" t="s">
        <v>2778</v>
      </c>
      <c r="E58" s="10" t="s">
        <v>2709</v>
      </c>
      <c r="F58" s="1">
        <v>3.71</v>
      </c>
      <c r="G58" s="1">
        <v>3.94</v>
      </c>
      <c r="H58" s="1">
        <v>3.18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1</v>
      </c>
    </row>
    <row r="59" spans="1:15" ht="15.95" customHeight="1" x14ac:dyDescent="0.25">
      <c r="A59" s="4">
        <v>43739.768703703703</v>
      </c>
      <c r="B59" s="1" t="s">
        <v>2704</v>
      </c>
      <c r="C59" s="1" t="s">
        <v>2817</v>
      </c>
      <c r="D59" s="1"/>
      <c r="E59" s="1" t="s">
        <v>2709</v>
      </c>
      <c r="F59" s="1">
        <v>3.71</v>
      </c>
      <c r="G59" s="1">
        <v>3.94</v>
      </c>
      <c r="H59" s="1">
        <v>3.18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1</v>
      </c>
    </row>
    <row r="60" spans="1:15" ht="15.95" customHeight="1" x14ac:dyDescent="0.25">
      <c r="A60" s="4">
        <v>43739.76871527778</v>
      </c>
      <c r="B60" s="1" t="s">
        <v>2704</v>
      </c>
      <c r="C60" s="1" t="s">
        <v>2780</v>
      </c>
      <c r="D60" s="1" t="s">
        <v>2778</v>
      </c>
      <c r="E60" s="10" t="s">
        <v>2709</v>
      </c>
      <c r="F60" s="1">
        <v>3.71</v>
      </c>
      <c r="G60" s="1">
        <v>3.94</v>
      </c>
      <c r="H60" s="1">
        <v>3.18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1</v>
      </c>
    </row>
    <row r="61" spans="1:15" ht="15.95" customHeight="1" x14ac:dyDescent="0.25">
      <c r="A61" s="4">
        <v>43739.77412037037</v>
      </c>
      <c r="B61" s="1" t="s">
        <v>2704</v>
      </c>
      <c r="C61" s="1" t="s">
        <v>2817</v>
      </c>
      <c r="D61" s="1"/>
      <c r="E61" s="1" t="s">
        <v>2709</v>
      </c>
      <c r="F61" s="1">
        <v>3.71</v>
      </c>
      <c r="G61" s="1">
        <v>3.94</v>
      </c>
      <c r="H61" s="1">
        <v>3.18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1</v>
      </c>
    </row>
    <row r="62" spans="1:15" ht="15.95" customHeight="1" x14ac:dyDescent="0.25">
      <c r="A62" s="4">
        <v>43739.774131944447</v>
      </c>
      <c r="B62" s="1" t="s">
        <v>2704</v>
      </c>
      <c r="C62" s="1" t="s">
        <v>2780</v>
      </c>
      <c r="D62" s="1" t="s">
        <v>2778</v>
      </c>
      <c r="E62" s="1" t="s">
        <v>2709</v>
      </c>
      <c r="F62" s="1">
        <v>3.71</v>
      </c>
      <c r="G62" s="1">
        <v>3.94</v>
      </c>
      <c r="H62" s="1">
        <v>3.18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1</v>
      </c>
    </row>
    <row r="63" spans="1:15" ht="15.95" customHeight="1" x14ac:dyDescent="0.25">
      <c r="A63" s="4">
        <v>43739.774918981479</v>
      </c>
      <c r="B63" s="1" t="s">
        <v>2704</v>
      </c>
      <c r="C63" s="1" t="s">
        <v>2817</v>
      </c>
      <c r="D63" s="1"/>
      <c r="E63" s="1" t="s">
        <v>2709</v>
      </c>
      <c r="F63" s="1">
        <v>3.71</v>
      </c>
      <c r="G63" s="1">
        <v>3.94</v>
      </c>
      <c r="H63" s="1">
        <v>3.18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1</v>
      </c>
    </row>
    <row r="64" spans="1:15" ht="15.95" customHeight="1" x14ac:dyDescent="0.25">
      <c r="A64" s="4">
        <v>43739.774918981479</v>
      </c>
      <c r="B64" s="1" t="s">
        <v>2704</v>
      </c>
      <c r="C64" s="1" t="s">
        <v>2780</v>
      </c>
      <c r="D64" s="1" t="s">
        <v>2778</v>
      </c>
      <c r="E64" s="1" t="s">
        <v>2709</v>
      </c>
      <c r="F64" s="1">
        <v>3.71</v>
      </c>
      <c r="G64" s="1">
        <v>3.94</v>
      </c>
      <c r="H64" s="1">
        <v>3.18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1</v>
      </c>
    </row>
    <row r="65" spans="1:15" ht="15.95" customHeight="1" x14ac:dyDescent="0.25">
      <c r="A65" s="4">
        <v>43739.775659722225</v>
      </c>
      <c r="B65" s="1" t="s">
        <v>2704</v>
      </c>
      <c r="C65" s="1" t="s">
        <v>2817</v>
      </c>
      <c r="D65" s="1"/>
      <c r="E65" s="10" t="s">
        <v>2709</v>
      </c>
      <c r="F65" s="1">
        <v>3.71</v>
      </c>
      <c r="G65" s="1">
        <v>3.94</v>
      </c>
      <c r="H65" s="1">
        <v>3.18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1</v>
      </c>
    </row>
    <row r="66" spans="1:15" ht="15.95" customHeight="1" x14ac:dyDescent="0.25">
      <c r="A66" s="4">
        <v>43739.775659722225</v>
      </c>
      <c r="B66" s="1" t="s">
        <v>2704</v>
      </c>
      <c r="C66" s="1" t="s">
        <v>2780</v>
      </c>
      <c r="D66" s="1" t="s">
        <v>2778</v>
      </c>
      <c r="E66" s="1" t="s">
        <v>2709</v>
      </c>
      <c r="F66" s="1">
        <v>3.71</v>
      </c>
      <c r="G66" s="1">
        <v>3.94</v>
      </c>
      <c r="H66" s="1">
        <v>3.18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1</v>
      </c>
    </row>
    <row r="67" spans="1:15" ht="15.95" customHeight="1" x14ac:dyDescent="0.25">
      <c r="A67" s="4">
        <v>43739.776446759257</v>
      </c>
      <c r="B67" s="1" t="s">
        <v>2704</v>
      </c>
      <c r="C67" s="1" t="s">
        <v>2817</v>
      </c>
      <c r="D67" s="1"/>
      <c r="E67" s="10" t="s">
        <v>2709</v>
      </c>
      <c r="F67" s="1">
        <v>3.71</v>
      </c>
      <c r="G67" s="1">
        <v>3.94</v>
      </c>
      <c r="H67" s="1">
        <v>3.18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1</v>
      </c>
    </row>
    <row r="68" spans="1:15" ht="15.95" customHeight="1" x14ac:dyDescent="0.25">
      <c r="A68" s="4">
        <v>43739.776458333334</v>
      </c>
      <c r="B68" s="1" t="s">
        <v>2704</v>
      </c>
      <c r="C68" s="1" t="s">
        <v>2780</v>
      </c>
      <c r="D68" s="1" t="s">
        <v>2778</v>
      </c>
      <c r="E68" s="1" t="s">
        <v>2709</v>
      </c>
      <c r="F68" s="1">
        <v>3.71</v>
      </c>
      <c r="G68" s="1">
        <v>3.94</v>
      </c>
      <c r="H68" s="1">
        <v>3.18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1</v>
      </c>
    </row>
    <row r="69" spans="1:15" ht="15.95" customHeight="1" x14ac:dyDescent="0.25">
      <c r="A69" s="4">
        <v>43739.778877314813</v>
      </c>
      <c r="B69" s="1" t="s">
        <v>2704</v>
      </c>
      <c r="C69" s="1" t="s">
        <v>2817</v>
      </c>
      <c r="D69" s="1"/>
      <c r="E69" s="1" t="s">
        <v>2709</v>
      </c>
      <c r="F69" s="1">
        <v>3.71</v>
      </c>
      <c r="G69" s="1">
        <v>3.94</v>
      </c>
      <c r="H69" s="1">
        <v>3.18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1</v>
      </c>
    </row>
    <row r="70" spans="1:15" ht="15.95" customHeight="1" x14ac:dyDescent="0.25">
      <c r="A70" s="4">
        <v>43739.778877314813</v>
      </c>
      <c r="B70" s="1" t="s">
        <v>2704</v>
      </c>
      <c r="C70" s="1" t="s">
        <v>2780</v>
      </c>
      <c r="D70" s="1" t="s">
        <v>2778</v>
      </c>
      <c r="E70" s="10" t="s">
        <v>2709</v>
      </c>
      <c r="F70" s="1">
        <v>3.71</v>
      </c>
      <c r="G70" s="1">
        <v>3.94</v>
      </c>
      <c r="H70" s="1">
        <v>3.18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1</v>
      </c>
    </row>
    <row r="71" spans="1:15" ht="15.95" customHeight="1" x14ac:dyDescent="0.25">
      <c r="A71" s="4">
        <v>43739.78328703704</v>
      </c>
      <c r="B71" s="1" t="s">
        <v>2704</v>
      </c>
      <c r="C71" s="1" t="s">
        <v>2817</v>
      </c>
      <c r="D71" s="1"/>
      <c r="E71" s="1" t="s">
        <v>2709</v>
      </c>
      <c r="F71" s="1">
        <v>3.71</v>
      </c>
      <c r="G71" s="1">
        <v>3.94</v>
      </c>
      <c r="H71" s="1">
        <v>3.18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1</v>
      </c>
    </row>
    <row r="72" spans="1:15" ht="15.95" customHeight="1" x14ac:dyDescent="0.25">
      <c r="A72" s="4">
        <v>43739.78329861111</v>
      </c>
      <c r="B72" s="1" t="s">
        <v>2704</v>
      </c>
      <c r="C72" s="1" t="s">
        <v>2780</v>
      </c>
      <c r="D72" s="1" t="s">
        <v>2778</v>
      </c>
      <c r="E72" s="10" t="s">
        <v>2709</v>
      </c>
      <c r="F72" s="1">
        <v>3.71</v>
      </c>
      <c r="G72" s="1">
        <v>3.94</v>
      </c>
      <c r="H72" s="1">
        <v>3.18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1</v>
      </c>
    </row>
    <row r="73" spans="1:15" ht="15.95" customHeight="1" x14ac:dyDescent="0.25">
      <c r="A73" s="4">
        <v>43740.450173611112</v>
      </c>
      <c r="B73" s="1" t="s">
        <v>2704</v>
      </c>
      <c r="C73" s="1" t="s">
        <v>2784</v>
      </c>
      <c r="D73" s="1" t="s">
        <v>2818</v>
      </c>
      <c r="E73" s="1" t="s">
        <v>2709</v>
      </c>
      <c r="F73" s="1">
        <v>3.71</v>
      </c>
      <c r="G73" s="1">
        <v>3.94</v>
      </c>
      <c r="H73" s="1">
        <v>3.18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43740.450266203705</v>
      </c>
      <c r="B74" s="1" t="s">
        <v>2704</v>
      </c>
      <c r="C74" s="1" t="s">
        <v>2784</v>
      </c>
      <c r="D74" s="1"/>
      <c r="E74" s="10" t="s">
        <v>2709</v>
      </c>
      <c r="F74" s="1">
        <v>3.71</v>
      </c>
      <c r="G74" s="1">
        <v>3.94</v>
      </c>
      <c r="H74" s="1">
        <v>3.18</v>
      </c>
      <c r="I74" s="1">
        <v>1</v>
      </c>
      <c r="J74" s="1" t="b">
        <v>1</v>
      </c>
      <c r="K74" s="1" t="b">
        <v>1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43740.467962962961</v>
      </c>
      <c r="B75" s="1" t="s">
        <v>2704</v>
      </c>
      <c r="C75" s="1" t="s">
        <v>2782</v>
      </c>
      <c r="D75" s="1"/>
      <c r="E75" s="10" t="s">
        <v>2709</v>
      </c>
      <c r="F75" s="1">
        <v>3.71</v>
      </c>
      <c r="G75" s="1">
        <v>3.94</v>
      </c>
      <c r="H75" s="1">
        <v>3.18</v>
      </c>
      <c r="I75" s="1">
        <v>1</v>
      </c>
      <c r="J75" s="1" t="b">
        <v>1</v>
      </c>
      <c r="K75" s="1" t="b">
        <v>1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43740.486064814817</v>
      </c>
      <c r="B76" s="1" t="s">
        <v>2704</v>
      </c>
      <c r="C76" s="1" t="s">
        <v>2817</v>
      </c>
      <c r="D76" s="1"/>
      <c r="E76" s="1" t="s">
        <v>2709</v>
      </c>
      <c r="F76" s="1">
        <v>3.71</v>
      </c>
      <c r="G76" s="1">
        <v>3.94</v>
      </c>
      <c r="H76" s="1">
        <v>3.18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1</v>
      </c>
    </row>
    <row r="77" spans="1:15" ht="15.95" customHeight="1" x14ac:dyDescent="0.25">
      <c r="A77" s="4">
        <v>43740.486076388886</v>
      </c>
      <c r="B77" s="1" t="s">
        <v>2704</v>
      </c>
      <c r="C77" s="1" t="s">
        <v>2780</v>
      </c>
      <c r="D77" s="1" t="s">
        <v>2778</v>
      </c>
      <c r="E77" s="10" t="s">
        <v>2709</v>
      </c>
      <c r="F77" s="1">
        <v>3.71</v>
      </c>
      <c r="G77" s="1">
        <v>3.94</v>
      </c>
      <c r="H77" s="1">
        <v>3.18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1</v>
      </c>
    </row>
    <row r="78" spans="1:15" ht="15.95" customHeight="1" x14ac:dyDescent="0.25">
      <c r="A78" s="4">
        <v>43740.486678240741</v>
      </c>
      <c r="B78" s="1" t="s">
        <v>2704</v>
      </c>
      <c r="C78" s="1" t="s">
        <v>2817</v>
      </c>
      <c r="D78" s="1"/>
      <c r="E78" s="1" t="s">
        <v>2709</v>
      </c>
      <c r="F78" s="1">
        <v>3.71</v>
      </c>
      <c r="G78" s="1">
        <v>3.94</v>
      </c>
      <c r="H78" s="1">
        <v>3.18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1</v>
      </c>
    </row>
    <row r="79" spans="1:15" ht="15.95" customHeight="1" x14ac:dyDescent="0.25">
      <c r="A79" s="4">
        <v>43740.486678240741</v>
      </c>
      <c r="B79" s="1" t="s">
        <v>2704</v>
      </c>
      <c r="C79" s="1" t="s">
        <v>2780</v>
      </c>
      <c r="D79" s="1" t="s">
        <v>2778</v>
      </c>
      <c r="E79" s="10" t="s">
        <v>2709</v>
      </c>
      <c r="F79" s="1">
        <v>3.71</v>
      </c>
      <c r="G79" s="1">
        <v>3.94</v>
      </c>
      <c r="H79" s="1">
        <v>3.18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1</v>
      </c>
    </row>
    <row r="80" spans="1:15" ht="15.95" customHeight="1" x14ac:dyDescent="0.25">
      <c r="A80" s="4">
        <v>43740.487858796296</v>
      </c>
      <c r="B80" s="1" t="s">
        <v>2704</v>
      </c>
      <c r="C80" s="1" t="s">
        <v>2817</v>
      </c>
      <c r="D80" s="1"/>
      <c r="E80" s="1" t="s">
        <v>2709</v>
      </c>
      <c r="F80" s="1">
        <v>3.71</v>
      </c>
      <c r="G80" s="1">
        <v>3.94</v>
      </c>
      <c r="H80" s="1">
        <v>3.18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1</v>
      </c>
    </row>
    <row r="81" spans="1:15" ht="15.95" customHeight="1" x14ac:dyDescent="0.25">
      <c r="A81" s="4">
        <v>43740.487870370373</v>
      </c>
      <c r="B81" s="1" t="s">
        <v>2704</v>
      </c>
      <c r="C81" s="1" t="s">
        <v>2780</v>
      </c>
      <c r="D81" s="1" t="s">
        <v>2778</v>
      </c>
      <c r="E81" s="10" t="s">
        <v>2709</v>
      </c>
      <c r="F81" s="1">
        <v>3.71</v>
      </c>
      <c r="G81" s="1">
        <v>3.94</v>
      </c>
      <c r="H81" s="1">
        <v>3.18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1</v>
      </c>
    </row>
    <row r="82" spans="1:15" ht="15.95" customHeight="1" x14ac:dyDescent="0.25">
      <c r="A82" s="4">
        <v>43740.488275462965</v>
      </c>
      <c r="B82" s="1" t="s">
        <v>2704</v>
      </c>
      <c r="C82" s="1" t="s">
        <v>2817</v>
      </c>
      <c r="D82" s="1"/>
      <c r="E82" s="10" t="s">
        <v>2709</v>
      </c>
      <c r="F82" s="1">
        <v>3.71</v>
      </c>
      <c r="G82" s="1">
        <v>3.94</v>
      </c>
      <c r="H82" s="1">
        <v>3.18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1</v>
      </c>
    </row>
    <row r="83" spans="1:15" ht="15.95" customHeight="1" x14ac:dyDescent="0.25">
      <c r="A83" s="4">
        <v>43740.488287037035</v>
      </c>
      <c r="B83" s="1" t="s">
        <v>2704</v>
      </c>
      <c r="C83" s="1" t="s">
        <v>2780</v>
      </c>
      <c r="D83" s="1" t="s">
        <v>2778</v>
      </c>
      <c r="E83" s="1" t="s">
        <v>2709</v>
      </c>
      <c r="F83" s="1">
        <v>3.71</v>
      </c>
      <c r="G83" s="1">
        <v>3.94</v>
      </c>
      <c r="H83" s="1">
        <v>3.18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1</v>
      </c>
    </row>
    <row r="84" spans="1:15" ht="15.95" customHeight="1" x14ac:dyDescent="0.25">
      <c r="A84" s="4">
        <v>43740.489050925928</v>
      </c>
      <c r="B84" s="1" t="s">
        <v>2704</v>
      </c>
      <c r="C84" s="1" t="s">
        <v>2817</v>
      </c>
      <c r="D84" s="1"/>
      <c r="E84" s="1" t="s">
        <v>2709</v>
      </c>
      <c r="F84" s="1">
        <v>3.71</v>
      </c>
      <c r="G84" s="1">
        <v>3.94</v>
      </c>
      <c r="H84" s="1">
        <v>3.18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1</v>
      </c>
    </row>
    <row r="85" spans="1:15" ht="15.95" customHeight="1" x14ac:dyDescent="0.25">
      <c r="A85" s="4">
        <v>43740.489062499997</v>
      </c>
      <c r="B85" s="1" t="s">
        <v>2704</v>
      </c>
      <c r="C85" s="1" t="s">
        <v>2780</v>
      </c>
      <c r="D85" s="1" t="s">
        <v>2778</v>
      </c>
      <c r="E85" s="1" t="s">
        <v>2709</v>
      </c>
      <c r="F85" s="1">
        <v>3.71</v>
      </c>
      <c r="G85" s="1">
        <v>3.94</v>
      </c>
      <c r="H85" s="1">
        <v>3.18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1</v>
      </c>
    </row>
    <row r="86" spans="1:15" ht="15.95" customHeight="1" x14ac:dyDescent="0.25">
      <c r="A86" s="4">
        <v>43740.491064814814</v>
      </c>
      <c r="B86" s="1" t="s">
        <v>2704</v>
      </c>
      <c r="C86" s="1" t="s">
        <v>2782</v>
      </c>
      <c r="D86" s="1"/>
      <c r="E86" s="10" t="s">
        <v>2709</v>
      </c>
      <c r="F86" s="1">
        <v>3.71</v>
      </c>
      <c r="G86" s="1">
        <v>3.94</v>
      </c>
      <c r="H86" s="1">
        <v>3.18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43740.493495370371</v>
      </c>
      <c r="B87" s="1" t="s">
        <v>2704</v>
      </c>
      <c r="C87" s="1" t="s">
        <v>2782</v>
      </c>
      <c r="D87" s="1"/>
      <c r="E87" s="1" t="s">
        <v>2709</v>
      </c>
      <c r="F87" s="1">
        <v>3.71</v>
      </c>
      <c r="G87" s="1">
        <v>3.94</v>
      </c>
      <c r="H87" s="1">
        <v>3.18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43740.493703703702</v>
      </c>
      <c r="B88" s="1" t="s">
        <v>2704</v>
      </c>
      <c r="C88" s="1" t="s">
        <v>2782</v>
      </c>
      <c r="D88" s="1"/>
      <c r="E88" s="1" t="s">
        <v>2709</v>
      </c>
      <c r="F88" s="1">
        <v>3.71</v>
      </c>
      <c r="G88" s="1">
        <v>3.94</v>
      </c>
      <c r="H88" s="1">
        <v>3.18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43740.494155092594</v>
      </c>
      <c r="B89" s="1" t="s">
        <v>2704</v>
      </c>
      <c r="C89" s="1" t="s">
        <v>2782</v>
      </c>
      <c r="D89" s="1"/>
      <c r="E89" s="1" t="s">
        <v>2709</v>
      </c>
      <c r="F89" s="1">
        <v>3.71</v>
      </c>
      <c r="G89" s="1">
        <v>3.94</v>
      </c>
      <c r="H89" s="1">
        <v>3.18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43740.495497685188</v>
      </c>
      <c r="B90" s="1" t="s">
        <v>2704</v>
      </c>
      <c r="C90" s="1" t="s">
        <v>2782</v>
      </c>
      <c r="D90" s="1"/>
      <c r="E90" s="1" t="s">
        <v>2709</v>
      </c>
      <c r="F90" s="1">
        <v>3.71</v>
      </c>
      <c r="G90" s="1">
        <v>3.94</v>
      </c>
      <c r="H90" s="1">
        <v>3.18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43740.495555555557</v>
      </c>
      <c r="B91" s="1" t="s">
        <v>2704</v>
      </c>
      <c r="C91" s="1" t="s">
        <v>2782</v>
      </c>
      <c r="D91" s="1"/>
      <c r="E91" s="10" t="s">
        <v>2709</v>
      </c>
      <c r="F91" s="1">
        <v>3.71</v>
      </c>
      <c r="G91" s="1">
        <v>3.94</v>
      </c>
      <c r="H91" s="1">
        <v>3.18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43740.496134259258</v>
      </c>
      <c r="B92" s="1" t="s">
        <v>2704</v>
      </c>
      <c r="C92" s="1" t="s">
        <v>2782</v>
      </c>
      <c r="D92" s="1"/>
      <c r="E92" s="1" t="s">
        <v>2709</v>
      </c>
      <c r="F92" s="1">
        <v>3.71</v>
      </c>
      <c r="G92" s="1">
        <v>3.94</v>
      </c>
      <c r="H92" s="1">
        <v>3.18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43740.497152777774</v>
      </c>
      <c r="B93" s="1" t="s">
        <v>2704</v>
      </c>
      <c r="C93" s="1" t="s">
        <v>2782</v>
      </c>
      <c r="D93" s="1"/>
      <c r="E93" s="10" t="s">
        <v>2709</v>
      </c>
      <c r="F93" s="1">
        <v>3.71</v>
      </c>
      <c r="G93" s="1">
        <v>3.94</v>
      </c>
      <c r="H93" s="1">
        <v>3.18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43740.49827546296</v>
      </c>
      <c r="B94" s="1" t="s">
        <v>2704</v>
      </c>
      <c r="C94" s="1" t="s">
        <v>2782</v>
      </c>
      <c r="D94" s="1"/>
      <c r="E94" s="1" t="s">
        <v>2709</v>
      </c>
      <c r="F94" s="1">
        <v>3.71</v>
      </c>
      <c r="G94" s="1">
        <v>3.94</v>
      </c>
      <c r="H94" s="1">
        <v>3.18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43740.498576388891</v>
      </c>
      <c r="B95" s="1" t="s">
        <v>2704</v>
      </c>
      <c r="C95" s="1" t="s">
        <v>2782</v>
      </c>
      <c r="D95" s="1"/>
      <c r="E95" s="1" t="s">
        <v>2709</v>
      </c>
      <c r="F95" s="1">
        <v>3.71</v>
      </c>
      <c r="G95" s="1">
        <v>3.94</v>
      </c>
      <c r="H95" s="1">
        <v>3.18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43740.499039351853</v>
      </c>
      <c r="B96" s="1" t="s">
        <v>2704</v>
      </c>
      <c r="C96" s="1" t="s">
        <v>2782</v>
      </c>
      <c r="D96" s="1"/>
      <c r="E96" s="1" t="s">
        <v>2709</v>
      </c>
      <c r="F96" s="1">
        <v>3.71</v>
      </c>
      <c r="G96" s="1">
        <v>3.94</v>
      </c>
      <c r="H96" s="1">
        <v>3.18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43740.499594907407</v>
      </c>
      <c r="B97" s="1" t="s">
        <v>2704</v>
      </c>
      <c r="C97" s="1" t="s">
        <v>2782</v>
      </c>
      <c r="D97" s="1"/>
      <c r="E97" s="1" t="s">
        <v>2709</v>
      </c>
      <c r="F97" s="1">
        <v>3.71</v>
      </c>
      <c r="G97" s="1">
        <v>3.94</v>
      </c>
      <c r="H97" s="1">
        <v>3.18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43740.499699074076</v>
      </c>
      <c r="B98" s="1" t="s">
        <v>2704</v>
      </c>
      <c r="C98" s="1" t="s">
        <v>2782</v>
      </c>
      <c r="D98" s="1"/>
      <c r="E98" s="10" t="s">
        <v>2709</v>
      </c>
      <c r="F98" s="1">
        <v>3.71</v>
      </c>
      <c r="G98" s="1">
        <v>3.94</v>
      </c>
      <c r="H98" s="1">
        <v>3.18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43740.500231481485</v>
      </c>
      <c r="B99" s="1" t="s">
        <v>2704</v>
      </c>
      <c r="C99" s="1" t="s">
        <v>2782</v>
      </c>
      <c r="D99" s="1"/>
      <c r="E99" s="1" t="s">
        <v>2709</v>
      </c>
      <c r="F99" s="1">
        <v>3.71</v>
      </c>
      <c r="G99" s="1">
        <v>3.94</v>
      </c>
      <c r="H99" s="1">
        <v>3.18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43740.500543981485</v>
      </c>
      <c r="B100" s="1" t="s">
        <v>2704</v>
      </c>
      <c r="C100" s="1" t="s">
        <v>2782</v>
      </c>
      <c r="D100" s="1"/>
      <c r="E100" s="1" t="s">
        <v>2709</v>
      </c>
      <c r="F100" s="1">
        <v>3.71</v>
      </c>
      <c r="G100" s="1">
        <v>3.94</v>
      </c>
      <c r="H100" s="1">
        <v>3.18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43740.510127314818</v>
      </c>
      <c r="B101" s="1" t="s">
        <v>2704</v>
      </c>
      <c r="C101" s="1" t="s">
        <v>2782</v>
      </c>
      <c r="D101" s="1"/>
      <c r="E101" s="1" t="s">
        <v>2709</v>
      </c>
      <c r="F101" s="1">
        <v>3.71</v>
      </c>
      <c r="G101" s="1">
        <v>3.94</v>
      </c>
      <c r="H101" s="1">
        <v>3.18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43740.512071759258</v>
      </c>
      <c r="B102" s="1" t="s">
        <v>2704</v>
      </c>
      <c r="C102" s="1" t="s">
        <v>2782</v>
      </c>
      <c r="D102" s="1"/>
      <c r="E102" s="10" t="s">
        <v>2709</v>
      </c>
      <c r="F102" s="1">
        <v>3.71</v>
      </c>
      <c r="G102" s="1">
        <v>3.94</v>
      </c>
      <c r="H102" s="1">
        <v>3.18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43740.515879629631</v>
      </c>
      <c r="B103" s="1" t="s">
        <v>2704</v>
      </c>
      <c r="C103" s="1" t="s">
        <v>2782</v>
      </c>
      <c r="D103" s="1"/>
      <c r="E103" s="1" t="s">
        <v>2709</v>
      </c>
      <c r="F103" s="1">
        <v>3.71</v>
      </c>
      <c r="G103" s="1">
        <v>3.94</v>
      </c>
      <c r="H103" s="1">
        <v>3.18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43740.516435185185</v>
      </c>
      <c r="B104" s="1" t="s">
        <v>2704</v>
      </c>
      <c r="C104" s="1" t="s">
        <v>2782</v>
      </c>
      <c r="D104" s="1"/>
      <c r="E104" s="1" t="s">
        <v>2709</v>
      </c>
      <c r="F104" s="1">
        <v>3.71</v>
      </c>
      <c r="G104" s="1">
        <v>3.94</v>
      </c>
      <c r="H104" s="1">
        <v>3.18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43740.517939814818</v>
      </c>
      <c r="B105" s="1" t="s">
        <v>2704</v>
      </c>
      <c r="C105" s="1" t="s">
        <v>2782</v>
      </c>
      <c r="D105" s="1"/>
      <c r="E105" s="1" t="s">
        <v>2709</v>
      </c>
      <c r="F105" s="1">
        <v>3.71</v>
      </c>
      <c r="G105" s="1">
        <v>3.94</v>
      </c>
      <c r="H105" s="1">
        <v>3.18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43740.519687499997</v>
      </c>
      <c r="B106" s="1" t="s">
        <v>2704</v>
      </c>
      <c r="C106" s="1" t="s">
        <v>2782</v>
      </c>
      <c r="D106" s="1"/>
      <c r="E106" s="1" t="s">
        <v>2709</v>
      </c>
      <c r="F106" s="1">
        <v>3.71</v>
      </c>
      <c r="G106" s="1">
        <v>3.94</v>
      </c>
      <c r="H106" s="1">
        <v>3.18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43740.520150462966</v>
      </c>
      <c r="B107" s="1" t="s">
        <v>2704</v>
      </c>
      <c r="C107" s="1" t="s">
        <v>2782</v>
      </c>
      <c r="D107" s="1"/>
      <c r="E107" s="10" t="s">
        <v>2709</v>
      </c>
      <c r="F107" s="1">
        <v>3.71</v>
      </c>
      <c r="G107" s="1">
        <v>3.94</v>
      </c>
      <c r="H107" s="1">
        <v>3.18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43740.520335648151</v>
      </c>
      <c r="B108" s="1" t="s">
        <v>2704</v>
      </c>
      <c r="C108" s="1" t="s">
        <v>2783</v>
      </c>
      <c r="D108" s="1" t="s">
        <v>2777</v>
      </c>
      <c r="E108" s="1" t="s">
        <v>2709</v>
      </c>
      <c r="F108" s="1">
        <v>3.71</v>
      </c>
      <c r="G108" s="1">
        <v>3.94</v>
      </c>
      <c r="H108" s="1">
        <v>3.18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43740.522060185183</v>
      </c>
      <c r="B109" s="1" t="s">
        <v>2704</v>
      </c>
      <c r="C109" s="1" t="s">
        <v>2783</v>
      </c>
      <c r="D109" s="1"/>
      <c r="E109" s="10" t="s">
        <v>2709</v>
      </c>
      <c r="F109" s="1">
        <v>3.71</v>
      </c>
      <c r="G109" s="1">
        <v>3.94</v>
      </c>
      <c r="H109" s="1">
        <v>3.18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43740.522280092591</v>
      </c>
      <c r="B110" s="1" t="s">
        <v>2704</v>
      </c>
      <c r="C110" s="1" t="s">
        <v>2783</v>
      </c>
      <c r="D110" s="1"/>
      <c r="E110" s="1" t="s">
        <v>2709</v>
      </c>
      <c r="F110" s="1">
        <v>3.71</v>
      </c>
      <c r="G110" s="1">
        <v>3.94</v>
      </c>
      <c r="H110" s="1">
        <v>3.18</v>
      </c>
      <c r="I110" s="1">
        <v>1</v>
      </c>
      <c r="J110" s="1" t="b">
        <v>1</v>
      </c>
      <c r="K110" s="1" t="b">
        <v>1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43740.522418981483</v>
      </c>
      <c r="B111" s="1" t="s">
        <v>2704</v>
      </c>
      <c r="C111" s="1" t="s">
        <v>2783</v>
      </c>
      <c r="D111" s="1"/>
      <c r="E111" s="1" t="s">
        <v>2709</v>
      </c>
      <c r="F111" s="1">
        <v>3.71</v>
      </c>
      <c r="G111" s="1">
        <v>3.94</v>
      </c>
      <c r="H111" s="1">
        <v>3.18</v>
      </c>
      <c r="I111" s="1">
        <v>1</v>
      </c>
      <c r="J111" s="1" t="b">
        <v>1</v>
      </c>
      <c r="K111" s="1" t="b">
        <v>1</v>
      </c>
      <c r="L111" s="1" t="b">
        <v>1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43740.522673611114</v>
      </c>
      <c r="B112" s="1" t="s">
        <v>2704</v>
      </c>
      <c r="C112" s="1" t="s">
        <v>2783</v>
      </c>
      <c r="D112" s="1"/>
      <c r="E112" s="1" t="s">
        <v>2709</v>
      </c>
      <c r="F112" s="1">
        <v>3.71</v>
      </c>
      <c r="G112" s="1">
        <v>3.94</v>
      </c>
      <c r="H112" s="1">
        <v>3.18</v>
      </c>
      <c r="I112" s="1">
        <v>1</v>
      </c>
      <c r="J112" s="1" t="b">
        <v>1</v>
      </c>
      <c r="K112" s="1" t="b">
        <v>1</v>
      </c>
      <c r="L112" s="1" t="b">
        <v>1</v>
      </c>
      <c r="M112" s="1" t="b">
        <v>1</v>
      </c>
      <c r="N112" s="1" t="b">
        <v>1</v>
      </c>
      <c r="O112" s="1" t="b">
        <v>0</v>
      </c>
    </row>
    <row r="113" spans="1:15" ht="15.95" customHeight="1" x14ac:dyDescent="0.25">
      <c r="A113" s="4">
        <v>43740.523738425924</v>
      </c>
      <c r="B113" s="1" t="s">
        <v>2704</v>
      </c>
      <c r="C113" s="1" t="s">
        <v>2783</v>
      </c>
      <c r="D113" s="1"/>
      <c r="E113" s="1" t="s">
        <v>2709</v>
      </c>
      <c r="F113" s="1">
        <v>3.71</v>
      </c>
      <c r="G113" s="1">
        <v>3.94</v>
      </c>
      <c r="H113" s="1">
        <v>3.18</v>
      </c>
      <c r="I113" s="1">
        <v>1</v>
      </c>
      <c r="J113" s="1" t="b">
        <v>1</v>
      </c>
      <c r="K113" s="1" t="b">
        <v>1</v>
      </c>
      <c r="L113" s="1" t="b">
        <v>1</v>
      </c>
      <c r="M113" s="1" t="b">
        <v>1</v>
      </c>
      <c r="N113" s="1" t="b">
        <v>1</v>
      </c>
      <c r="O113" s="1" t="b">
        <v>0</v>
      </c>
    </row>
    <row r="114" spans="1:15" ht="15.95" customHeight="1" x14ac:dyDescent="0.25">
      <c r="A114" s="4">
        <v>43740.525092592594</v>
      </c>
      <c r="B114" s="1" t="s">
        <v>2704</v>
      </c>
      <c r="C114" s="1" t="s">
        <v>2783</v>
      </c>
      <c r="D114" s="1"/>
      <c r="E114" s="10" t="s">
        <v>2709</v>
      </c>
      <c r="F114" s="1">
        <v>3.71</v>
      </c>
      <c r="G114" s="1">
        <v>3.94</v>
      </c>
      <c r="H114" s="1">
        <v>3.18</v>
      </c>
      <c r="I114" s="1">
        <v>1</v>
      </c>
      <c r="J114" s="1" t="b">
        <v>1</v>
      </c>
      <c r="K114" s="1" t="b">
        <v>1</v>
      </c>
      <c r="L114" s="1" t="b">
        <v>1</v>
      </c>
      <c r="M114" s="1" t="b">
        <v>1</v>
      </c>
      <c r="N114" s="1" t="b">
        <v>1</v>
      </c>
      <c r="O114" s="1" t="b">
        <v>0</v>
      </c>
    </row>
    <row r="115" spans="1:15" ht="15.95" customHeight="1" x14ac:dyDescent="0.25">
      <c r="A115" s="4">
        <v>43740.525520833333</v>
      </c>
      <c r="B115" s="1" t="s">
        <v>2704</v>
      </c>
      <c r="C115" s="1" t="s">
        <v>2783</v>
      </c>
      <c r="D115" s="1"/>
      <c r="E115" s="1" t="s">
        <v>2709</v>
      </c>
      <c r="F115" s="1">
        <v>3.71</v>
      </c>
      <c r="G115" s="1">
        <v>3.94</v>
      </c>
      <c r="H115" s="1">
        <v>3.18</v>
      </c>
      <c r="I115" s="1">
        <v>1</v>
      </c>
      <c r="J115" s="1" t="b">
        <v>1</v>
      </c>
      <c r="K115" s="1" t="b">
        <v>1</v>
      </c>
      <c r="L115" s="1" t="b">
        <v>1</v>
      </c>
      <c r="M115" s="1" t="b">
        <v>1</v>
      </c>
      <c r="N115" s="1" t="b">
        <v>1</v>
      </c>
      <c r="O115" s="1" t="b">
        <v>0</v>
      </c>
    </row>
    <row r="116" spans="1:15" ht="15.95" customHeight="1" x14ac:dyDescent="0.25">
      <c r="A116" s="4">
        <v>43740.525902777779</v>
      </c>
      <c r="B116" s="1" t="s">
        <v>2704</v>
      </c>
      <c r="C116" s="1" t="s">
        <v>2783</v>
      </c>
      <c r="D116" s="1"/>
      <c r="E116" s="10" t="s">
        <v>2709</v>
      </c>
      <c r="F116" s="1">
        <v>3.71</v>
      </c>
      <c r="G116" s="1">
        <v>3.94</v>
      </c>
      <c r="H116" s="1">
        <v>3.18</v>
      </c>
      <c r="I116" s="1">
        <v>1</v>
      </c>
      <c r="J116" s="1" t="b">
        <v>1</v>
      </c>
      <c r="K116" s="1" t="b">
        <v>1</v>
      </c>
      <c r="L116" s="1" t="b">
        <v>1</v>
      </c>
      <c r="M116" s="1" t="b">
        <v>1</v>
      </c>
      <c r="N116" s="1" t="b">
        <v>1</v>
      </c>
      <c r="O116" s="1" t="b">
        <v>0</v>
      </c>
    </row>
    <row r="117" spans="1:15" ht="15.95" customHeight="1" x14ac:dyDescent="0.25">
      <c r="A117" s="4">
        <v>43740.526782407411</v>
      </c>
      <c r="B117" s="1" t="s">
        <v>2704</v>
      </c>
      <c r="C117" s="1" t="s">
        <v>2783</v>
      </c>
      <c r="D117" s="1"/>
      <c r="E117" s="1" t="s">
        <v>2709</v>
      </c>
      <c r="F117" s="1">
        <v>3.71</v>
      </c>
      <c r="G117" s="1">
        <v>3.94</v>
      </c>
      <c r="H117" s="1">
        <v>3.18</v>
      </c>
      <c r="I117" s="1">
        <v>1</v>
      </c>
      <c r="J117" s="1" t="b">
        <v>1</v>
      </c>
      <c r="K117" s="1" t="b">
        <v>1</v>
      </c>
      <c r="L117" s="1" t="b">
        <v>1</v>
      </c>
      <c r="M117" s="1" t="b">
        <v>1</v>
      </c>
      <c r="N117" s="1" t="b">
        <v>1</v>
      </c>
      <c r="O117" s="1" t="b">
        <v>0</v>
      </c>
    </row>
    <row r="118" spans="1:15" ht="15.95" customHeight="1" x14ac:dyDescent="0.25">
      <c r="A118" s="4">
        <v>43740.526932870373</v>
      </c>
      <c r="B118" s="1" t="s">
        <v>2704</v>
      </c>
      <c r="C118" s="1" t="s">
        <v>2783</v>
      </c>
      <c r="D118" s="1"/>
      <c r="E118" s="1" t="s">
        <v>2709</v>
      </c>
      <c r="F118" s="1">
        <v>3.71</v>
      </c>
      <c r="G118" s="1">
        <v>3.94</v>
      </c>
      <c r="H118" s="1">
        <v>3.18</v>
      </c>
      <c r="I118" s="1">
        <v>1</v>
      </c>
      <c r="J118" s="1" t="b">
        <v>1</v>
      </c>
      <c r="K118" s="1" t="b">
        <v>1</v>
      </c>
      <c r="L118" s="1" t="b">
        <v>1</v>
      </c>
      <c r="M118" s="1" t="b">
        <v>1</v>
      </c>
      <c r="N118" s="1" t="b">
        <v>1</v>
      </c>
      <c r="O118" s="1" t="b">
        <v>0</v>
      </c>
    </row>
    <row r="119" spans="1:15" ht="15.95" customHeight="1" x14ac:dyDescent="0.25">
      <c r="A119" s="4">
        <v>43740.527060185188</v>
      </c>
      <c r="B119" s="1" t="s">
        <v>2704</v>
      </c>
      <c r="C119" s="1" t="s">
        <v>2783</v>
      </c>
      <c r="D119" s="1"/>
      <c r="E119" s="1" t="s">
        <v>2709</v>
      </c>
      <c r="F119" s="1">
        <v>3.71</v>
      </c>
      <c r="G119" s="1">
        <v>3.94</v>
      </c>
      <c r="H119" s="1">
        <v>3.18</v>
      </c>
      <c r="I119" s="1">
        <v>1</v>
      </c>
      <c r="J119" s="1" t="b">
        <v>1</v>
      </c>
      <c r="K119" s="1" t="b">
        <v>1</v>
      </c>
      <c r="L119" s="1" t="b">
        <v>1</v>
      </c>
      <c r="M119" s="1" t="b">
        <v>1</v>
      </c>
      <c r="N119" s="1" t="b">
        <v>1</v>
      </c>
      <c r="O119" s="1" t="b">
        <v>0</v>
      </c>
    </row>
    <row r="120" spans="1:15" ht="15.95" customHeight="1" x14ac:dyDescent="0.25">
      <c r="A120" s="4">
        <v>43740.528055555558</v>
      </c>
      <c r="B120" s="1" t="s">
        <v>2704</v>
      </c>
      <c r="C120" s="1" t="s">
        <v>2783</v>
      </c>
      <c r="D120" s="1"/>
      <c r="E120" s="1" t="s">
        <v>2709</v>
      </c>
      <c r="F120" s="1">
        <v>3.71</v>
      </c>
      <c r="G120" s="1">
        <v>3.94</v>
      </c>
      <c r="H120" s="1">
        <v>3.18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43740.528171296297</v>
      </c>
      <c r="B121" s="1" t="s">
        <v>2704</v>
      </c>
      <c r="C121" s="1" t="s">
        <v>2783</v>
      </c>
      <c r="D121" s="1"/>
      <c r="E121" s="10" t="s">
        <v>2709</v>
      </c>
      <c r="F121" s="1">
        <v>3.71</v>
      </c>
      <c r="G121" s="1">
        <v>3.94</v>
      </c>
      <c r="H121" s="1">
        <v>3.18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43740.528252314813</v>
      </c>
      <c r="B122" s="1" t="s">
        <v>2704</v>
      </c>
      <c r="C122" s="1" t="s">
        <v>2783</v>
      </c>
      <c r="D122" s="1"/>
      <c r="E122" s="1" t="s">
        <v>2709</v>
      </c>
      <c r="F122" s="1">
        <v>3.71</v>
      </c>
      <c r="G122" s="1">
        <v>3.94</v>
      </c>
      <c r="H122" s="1">
        <v>3.18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1</v>
      </c>
      <c r="N122" s="1" t="b">
        <v>1</v>
      </c>
      <c r="O122" s="1" t="b">
        <v>0</v>
      </c>
    </row>
    <row r="123" spans="1:15" ht="15.95" customHeight="1" x14ac:dyDescent="0.25">
      <c r="A123" s="4">
        <v>43740.529247685183</v>
      </c>
      <c r="B123" s="1" t="s">
        <v>2704</v>
      </c>
      <c r="C123" s="1" t="s">
        <v>2783</v>
      </c>
      <c r="D123" s="1"/>
      <c r="E123" s="10" t="s">
        <v>2709</v>
      </c>
      <c r="F123" s="1">
        <v>3.71</v>
      </c>
      <c r="G123" s="1">
        <v>3.94</v>
      </c>
      <c r="H123" s="1">
        <v>3.18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1</v>
      </c>
      <c r="N123" s="1" t="b">
        <v>1</v>
      </c>
      <c r="O123" s="1" t="b">
        <v>0</v>
      </c>
    </row>
    <row r="124" spans="1:15" ht="15.95" customHeight="1" x14ac:dyDescent="0.25">
      <c r="A124" s="4">
        <v>43740.529513888891</v>
      </c>
      <c r="B124" s="1" t="s">
        <v>2704</v>
      </c>
      <c r="C124" s="1" t="s">
        <v>2783</v>
      </c>
      <c r="D124" s="1"/>
      <c r="E124" s="1" t="s">
        <v>2709</v>
      </c>
      <c r="F124" s="1">
        <v>3.71</v>
      </c>
      <c r="G124" s="1">
        <v>3.94</v>
      </c>
      <c r="H124" s="1">
        <v>3.18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1</v>
      </c>
      <c r="N124" s="1" t="b">
        <v>1</v>
      </c>
      <c r="O124" s="1" t="b">
        <v>0</v>
      </c>
    </row>
    <row r="125" spans="1:15" ht="15.95" customHeight="1" x14ac:dyDescent="0.25">
      <c r="A125" s="4">
        <v>43740.530243055553</v>
      </c>
      <c r="B125" s="1" t="s">
        <v>2704</v>
      </c>
      <c r="C125" s="1" t="s">
        <v>2783</v>
      </c>
      <c r="D125" s="1"/>
      <c r="E125" s="1" t="s">
        <v>2709</v>
      </c>
      <c r="F125" s="1">
        <v>3.71</v>
      </c>
      <c r="G125" s="1">
        <v>3.94</v>
      </c>
      <c r="H125" s="1">
        <v>3.18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1</v>
      </c>
      <c r="N125" s="1" t="b">
        <v>1</v>
      </c>
      <c r="O125" s="1" t="b">
        <v>0</v>
      </c>
    </row>
    <row r="126" spans="1:15" ht="15.95" customHeight="1" x14ac:dyDescent="0.25">
      <c r="A126" s="4">
        <v>43740.531689814816</v>
      </c>
      <c r="B126" s="1" t="s">
        <v>2704</v>
      </c>
      <c r="C126" s="1" t="s">
        <v>2783</v>
      </c>
      <c r="D126" s="1"/>
      <c r="E126" s="1" t="s">
        <v>2709</v>
      </c>
      <c r="F126" s="1">
        <v>3.71</v>
      </c>
      <c r="G126" s="1">
        <v>3.94</v>
      </c>
      <c r="H126" s="1">
        <v>3.18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1</v>
      </c>
      <c r="N126" s="1" t="b">
        <v>1</v>
      </c>
      <c r="O126" s="1" t="b">
        <v>0</v>
      </c>
    </row>
    <row r="127" spans="1:15" ht="15.95" customHeight="1" x14ac:dyDescent="0.25">
      <c r="A127" s="4">
        <v>43740.547465277778</v>
      </c>
      <c r="B127" s="1" t="s">
        <v>2704</v>
      </c>
      <c r="C127" s="1" t="s">
        <v>2783</v>
      </c>
      <c r="D127" s="1"/>
      <c r="E127" s="1" t="s">
        <v>2709</v>
      </c>
      <c r="F127" s="1">
        <v>3.71</v>
      </c>
      <c r="G127" s="1">
        <v>3.94</v>
      </c>
      <c r="H127" s="1">
        <v>3.18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43740.551828703705</v>
      </c>
      <c r="B128" s="1" t="s">
        <v>2704</v>
      </c>
      <c r="C128" s="1" t="s">
        <v>2783</v>
      </c>
      <c r="D128" s="1"/>
      <c r="E128" s="10" t="s">
        <v>2709</v>
      </c>
      <c r="F128" s="1">
        <v>3.71</v>
      </c>
      <c r="G128" s="1">
        <v>3.94</v>
      </c>
      <c r="H128" s="1">
        <v>3.18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43740.553622685184</v>
      </c>
      <c r="B129" s="1" t="s">
        <v>2704</v>
      </c>
      <c r="C129" s="1" t="s">
        <v>2783</v>
      </c>
      <c r="D129" s="1"/>
      <c r="E129" s="1" t="s">
        <v>2821</v>
      </c>
      <c r="F129" s="1">
        <v>3.71</v>
      </c>
      <c r="G129" s="1">
        <v>3.94</v>
      </c>
      <c r="H129" s="1">
        <v>3.18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43740.553622685184</v>
      </c>
      <c r="B130" s="1" t="s">
        <v>2704</v>
      </c>
      <c r="C130" s="1" t="s">
        <v>2783</v>
      </c>
      <c r="D130" s="1"/>
      <c r="E130" s="10" t="s">
        <v>2705</v>
      </c>
      <c r="F130" s="1">
        <v>3.71</v>
      </c>
      <c r="G130" s="1">
        <v>3.94</v>
      </c>
      <c r="H130" s="1">
        <v>3.18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43740.553657407407</v>
      </c>
      <c r="B131" s="1" t="s">
        <v>2704</v>
      </c>
      <c r="C131" s="1" t="s">
        <v>2783</v>
      </c>
      <c r="D131" s="1"/>
      <c r="E131" s="1" t="s">
        <v>2821</v>
      </c>
      <c r="F131" s="1">
        <v>3.71</v>
      </c>
      <c r="G131" s="1">
        <v>3.94</v>
      </c>
      <c r="H131" s="1">
        <v>3.18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43740.553657407407</v>
      </c>
      <c r="B132" s="1" t="s">
        <v>2704</v>
      </c>
      <c r="C132" s="1" t="s">
        <v>2783</v>
      </c>
      <c r="D132" s="1"/>
      <c r="E132" s="1" t="s">
        <v>2705</v>
      </c>
      <c r="F132" s="1">
        <v>3.71</v>
      </c>
      <c r="G132" s="1">
        <v>3.94</v>
      </c>
      <c r="H132" s="1">
        <v>3.18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43740.554560185185</v>
      </c>
      <c r="B133" s="1" t="s">
        <v>2704</v>
      </c>
      <c r="C133" s="1" t="s">
        <v>2783</v>
      </c>
      <c r="D133" s="1"/>
      <c r="E133" s="1" t="s">
        <v>2821</v>
      </c>
      <c r="F133" s="1">
        <v>3.71</v>
      </c>
      <c r="G133" s="1">
        <v>3.94</v>
      </c>
      <c r="H133" s="1">
        <v>3.18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43740.554560185185</v>
      </c>
      <c r="B134" s="1" t="s">
        <v>2704</v>
      </c>
      <c r="C134" s="1" t="s">
        <v>2783</v>
      </c>
      <c r="D134" s="1"/>
      <c r="E134" s="1" t="s">
        <v>2705</v>
      </c>
      <c r="F134" s="1">
        <v>3.71</v>
      </c>
      <c r="G134" s="1">
        <v>3.94</v>
      </c>
      <c r="H134" s="1">
        <v>3.18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43740.5546875</v>
      </c>
      <c r="B135" s="1" t="s">
        <v>2704</v>
      </c>
      <c r="C135" s="1" t="s">
        <v>2783</v>
      </c>
      <c r="D135" s="1"/>
      <c r="E135" s="10" t="s">
        <v>2709</v>
      </c>
      <c r="F135" s="1">
        <v>3.71</v>
      </c>
      <c r="G135" s="1">
        <v>3.94</v>
      </c>
      <c r="H135" s="1">
        <v>3.18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43740.598124999997</v>
      </c>
      <c r="B136" s="1" t="s">
        <v>2704</v>
      </c>
      <c r="C136" s="1" t="s">
        <v>2701</v>
      </c>
      <c r="D136" s="1" t="s">
        <v>2822</v>
      </c>
      <c r="E136" s="1">
        <v>0</v>
      </c>
      <c r="F136" s="1">
        <v>3.71</v>
      </c>
      <c r="G136" s="1">
        <v>3.94</v>
      </c>
      <c r="H136" s="1">
        <v>3.19</v>
      </c>
      <c r="I136" s="1">
        <v>0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43740.598171296297</v>
      </c>
      <c r="B137" s="1" t="s">
        <v>2704</v>
      </c>
      <c r="C137" s="1" t="s">
        <v>2701</v>
      </c>
      <c r="D137" s="1" t="s">
        <v>2822</v>
      </c>
      <c r="E137" s="10">
        <v>0</v>
      </c>
      <c r="F137" s="1">
        <v>3.71</v>
      </c>
      <c r="G137" s="1">
        <v>3.94</v>
      </c>
      <c r="H137" s="1">
        <v>3.19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43740.599745370368</v>
      </c>
      <c r="B138" s="1" t="s">
        <v>2704</v>
      </c>
      <c r="C138" s="1" t="s">
        <v>2824</v>
      </c>
      <c r="D138" s="1" t="s">
        <v>2825</v>
      </c>
      <c r="E138" s="1" t="s">
        <v>2709</v>
      </c>
      <c r="F138" s="1">
        <v>3.71</v>
      </c>
      <c r="G138" s="1">
        <v>3.94</v>
      </c>
      <c r="H138" s="1">
        <v>3.19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43740.599780092591</v>
      </c>
      <c r="B139" s="1" t="s">
        <v>2704</v>
      </c>
      <c r="C139" s="1" t="s">
        <v>2701</v>
      </c>
      <c r="D139" s="1" t="s">
        <v>2822</v>
      </c>
      <c r="E139" s="1">
        <v>0</v>
      </c>
      <c r="F139" s="1">
        <v>3.71</v>
      </c>
      <c r="G139" s="1">
        <v>3.94</v>
      </c>
      <c r="H139" s="1">
        <v>3.19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43740.625381944446</v>
      </c>
      <c r="B140" s="1" t="s">
        <v>2704</v>
      </c>
      <c r="C140" s="1" t="s">
        <v>2701</v>
      </c>
      <c r="D140" s="1" t="s">
        <v>2822</v>
      </c>
      <c r="E140" s="1">
        <v>0</v>
      </c>
      <c r="F140" s="1">
        <v>3.71</v>
      </c>
      <c r="G140" s="1">
        <v>3.94</v>
      </c>
      <c r="H140" s="1">
        <v>3.19</v>
      </c>
      <c r="I140" s="1">
        <v>0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43740.625474537039</v>
      </c>
      <c r="B141" s="1" t="s">
        <v>2704</v>
      </c>
      <c r="C141" s="1" t="s">
        <v>2826</v>
      </c>
      <c r="D141" s="1" t="s">
        <v>2777</v>
      </c>
      <c r="E141" s="1" t="s">
        <v>2709</v>
      </c>
      <c r="F141" s="1">
        <v>3.71</v>
      </c>
      <c r="G141" s="1">
        <v>3.94</v>
      </c>
      <c r="H141" s="1">
        <v>3.19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43740.627835648149</v>
      </c>
      <c r="B142" s="1" t="s">
        <v>2704</v>
      </c>
      <c r="C142" s="1" t="s">
        <v>2826</v>
      </c>
      <c r="D142" s="1"/>
      <c r="E142" s="10" t="s">
        <v>2709</v>
      </c>
      <c r="F142" s="1">
        <v>3.71</v>
      </c>
      <c r="G142" s="1">
        <v>3.94</v>
      </c>
      <c r="H142" s="1">
        <v>3.19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43740.64770833333</v>
      </c>
      <c r="B143" s="1" t="s">
        <v>2704</v>
      </c>
      <c r="C143" s="1" t="s">
        <v>2826</v>
      </c>
      <c r="D143" s="1"/>
      <c r="E143" s="1" t="s">
        <v>2709</v>
      </c>
      <c r="F143" s="1">
        <v>3.71</v>
      </c>
      <c r="G143" s="1">
        <v>3.94</v>
      </c>
      <c r="H143" s="1">
        <v>3.19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43740.648368055554</v>
      </c>
      <c r="B144" s="1" t="s">
        <v>2704</v>
      </c>
      <c r="C144" s="1" t="s">
        <v>2826</v>
      </c>
      <c r="D144" s="1"/>
      <c r="E144" s="10" t="s">
        <v>2709</v>
      </c>
      <c r="F144" s="1">
        <v>3.71</v>
      </c>
      <c r="G144" s="1">
        <v>3.94</v>
      </c>
      <c r="H144" s="1">
        <v>3.19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43740.714872685188</v>
      </c>
      <c r="B145" s="1" t="s">
        <v>2704</v>
      </c>
      <c r="C145" s="1" t="s">
        <v>2826</v>
      </c>
      <c r="D145" s="1"/>
      <c r="E145" s="1" t="s">
        <v>2709</v>
      </c>
      <c r="F145" s="1">
        <v>3.71</v>
      </c>
      <c r="G145" s="1">
        <v>3.94</v>
      </c>
      <c r="H145" s="1">
        <v>3.19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43740.717557870368</v>
      </c>
      <c r="B146" s="1" t="s">
        <v>2704</v>
      </c>
      <c r="C146" s="1" t="s">
        <v>2826</v>
      </c>
      <c r="D146" s="1"/>
      <c r="E146" s="1" t="s">
        <v>2709</v>
      </c>
      <c r="F146" s="1">
        <v>3.71</v>
      </c>
      <c r="G146" s="1">
        <v>3.94</v>
      </c>
      <c r="H146" s="1">
        <v>3.19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43740.719699074078</v>
      </c>
      <c r="B147" s="1" t="s">
        <v>2704</v>
      </c>
      <c r="C147" s="1" t="s">
        <v>2826</v>
      </c>
      <c r="D147" s="1"/>
      <c r="E147" s="1" t="s">
        <v>2709</v>
      </c>
      <c r="F147" s="1">
        <v>3.71</v>
      </c>
      <c r="G147" s="1">
        <v>3.94</v>
      </c>
      <c r="H147" s="1">
        <v>3.19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43740.720254629632</v>
      </c>
      <c r="B148" s="1" t="s">
        <v>2704</v>
      </c>
      <c r="C148" s="1" t="s">
        <v>2826</v>
      </c>
      <c r="D148" s="1"/>
      <c r="E148" s="1" t="s">
        <v>2709</v>
      </c>
      <c r="F148" s="1">
        <v>3.71</v>
      </c>
      <c r="G148" s="1">
        <v>3.94</v>
      </c>
      <c r="H148" s="1">
        <v>3.19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43740.759236111109</v>
      </c>
      <c r="B149" s="1" t="s">
        <v>2704</v>
      </c>
      <c r="C149" s="1" t="s">
        <v>2826</v>
      </c>
      <c r="D149" s="1"/>
      <c r="E149" s="10" t="s">
        <v>2709</v>
      </c>
      <c r="F149" s="1">
        <v>3.71</v>
      </c>
      <c r="G149" s="1">
        <v>3.94</v>
      </c>
      <c r="H149" s="1">
        <v>3.19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43740.759398148148</v>
      </c>
      <c r="B150" s="1" t="s">
        <v>2704</v>
      </c>
      <c r="C150" s="1" t="s">
        <v>2826</v>
      </c>
      <c r="D150" s="1"/>
      <c r="E150" s="1" t="s">
        <v>2709</v>
      </c>
      <c r="F150" s="1">
        <v>3.71</v>
      </c>
      <c r="G150" s="1">
        <v>3.94</v>
      </c>
      <c r="H150" s="1">
        <v>3.19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43740.760671296295</v>
      </c>
      <c r="B151" s="1" t="s">
        <v>2704</v>
      </c>
      <c r="C151" s="1" t="s">
        <v>2826</v>
      </c>
      <c r="D151" s="1"/>
      <c r="E151" s="10" t="s">
        <v>2709</v>
      </c>
      <c r="F151" s="1">
        <v>3.71</v>
      </c>
      <c r="G151" s="1">
        <v>3.94</v>
      </c>
      <c r="H151" s="1">
        <v>3.19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43740.766111111108</v>
      </c>
      <c r="B152" s="1" t="s">
        <v>2704</v>
      </c>
      <c r="C152" s="1" t="s">
        <v>2826</v>
      </c>
      <c r="D152" s="1"/>
      <c r="E152" s="1" t="s">
        <v>2709</v>
      </c>
      <c r="F152" s="1">
        <v>3.71</v>
      </c>
      <c r="G152" s="1">
        <v>3.94</v>
      </c>
      <c r="H152" s="1">
        <v>3.19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43740.771990740737</v>
      </c>
      <c r="B153" s="1" t="s">
        <v>2704</v>
      </c>
      <c r="C153" s="1" t="s">
        <v>2826</v>
      </c>
      <c r="D153" s="1"/>
      <c r="E153" s="1" t="s">
        <v>2709</v>
      </c>
      <c r="F153" s="1">
        <v>3.71</v>
      </c>
      <c r="G153" s="1">
        <v>3.94</v>
      </c>
      <c r="H153" s="1">
        <v>3.19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43740.772060185183</v>
      </c>
      <c r="B154" s="1" t="s">
        <v>2704</v>
      </c>
      <c r="C154" s="1" t="s">
        <v>2826</v>
      </c>
      <c r="D154" s="1"/>
      <c r="E154" s="1" t="s">
        <v>2709</v>
      </c>
      <c r="F154" s="1">
        <v>3.71</v>
      </c>
      <c r="G154" s="1">
        <v>3.94</v>
      </c>
      <c r="H154" s="1">
        <v>3.19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43740.772210648145</v>
      </c>
      <c r="B155" s="1" t="s">
        <v>2704</v>
      </c>
      <c r="C155" s="1" t="s">
        <v>2826</v>
      </c>
      <c r="D155" s="1"/>
      <c r="E155" s="1" t="s">
        <v>2709</v>
      </c>
      <c r="F155" s="1">
        <v>3.71</v>
      </c>
      <c r="G155" s="1">
        <v>3.94</v>
      </c>
      <c r="H155" s="1">
        <v>3.19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43740.772430555553</v>
      </c>
      <c r="B156" s="1" t="s">
        <v>2704</v>
      </c>
      <c r="C156" s="1" t="s">
        <v>2826</v>
      </c>
      <c r="D156" s="1"/>
      <c r="E156" s="10" t="s">
        <v>2709</v>
      </c>
      <c r="F156" s="1">
        <v>3.71</v>
      </c>
      <c r="G156" s="1">
        <v>3.94</v>
      </c>
      <c r="H156" s="1">
        <v>3.19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1</v>
      </c>
    </row>
    <row r="157" spans="1:15" ht="15.95" customHeight="1" x14ac:dyDescent="0.25">
      <c r="A157" s="4">
        <v>43740.772488425922</v>
      </c>
      <c r="B157" s="1" t="s">
        <v>2704</v>
      </c>
      <c r="C157" s="1" t="s">
        <v>2826</v>
      </c>
      <c r="D157" s="1" t="s">
        <v>2777</v>
      </c>
      <c r="E157" s="1" t="s">
        <v>2834</v>
      </c>
      <c r="F157" s="1">
        <v>3.71</v>
      </c>
      <c r="G157" s="1">
        <v>3.94</v>
      </c>
      <c r="H157" s="1">
        <v>3.19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1</v>
      </c>
    </row>
    <row r="158" spans="1:15" ht="15.95" customHeight="1" x14ac:dyDescent="0.25">
      <c r="A158" s="4">
        <v>43740.772523148145</v>
      </c>
      <c r="B158" s="1" t="s">
        <v>2704</v>
      </c>
      <c r="C158" s="1" t="s">
        <v>2826</v>
      </c>
      <c r="D158" s="1"/>
      <c r="E158" s="1" t="s">
        <v>2709</v>
      </c>
      <c r="F158" s="1">
        <v>3.71</v>
      </c>
      <c r="G158" s="1">
        <v>3.94</v>
      </c>
      <c r="H158" s="1">
        <v>3.19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1</v>
      </c>
    </row>
    <row r="159" spans="1:15" ht="15.95" customHeight="1" x14ac:dyDescent="0.25">
      <c r="A159" s="4">
        <v>43740.772604166668</v>
      </c>
      <c r="B159" s="1" t="s">
        <v>2704</v>
      </c>
      <c r="C159" s="1" t="s">
        <v>2826</v>
      </c>
      <c r="D159" s="1" t="s">
        <v>2777</v>
      </c>
      <c r="E159" s="1" t="s">
        <v>2834</v>
      </c>
      <c r="F159" s="1">
        <v>3.71</v>
      </c>
      <c r="G159" s="1">
        <v>3.94</v>
      </c>
      <c r="H159" s="1">
        <v>3.19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1</v>
      </c>
    </row>
    <row r="160" spans="1:15" ht="15.95" customHeight="1" x14ac:dyDescent="0.25">
      <c r="A160" s="4">
        <v>43740.772650462961</v>
      </c>
      <c r="B160" s="1" t="s">
        <v>2704</v>
      </c>
      <c r="C160" s="1" t="s">
        <v>2826</v>
      </c>
      <c r="D160" s="1" t="s">
        <v>2777</v>
      </c>
      <c r="E160" s="10" t="s">
        <v>2709</v>
      </c>
      <c r="F160" s="1">
        <v>3.71</v>
      </c>
      <c r="G160" s="1">
        <v>3.94</v>
      </c>
      <c r="H160" s="1">
        <v>3.19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1</v>
      </c>
    </row>
    <row r="161" spans="1:15" ht="15.95" customHeight="1" x14ac:dyDescent="0.25">
      <c r="A161" s="4">
        <v>43740.772731481484</v>
      </c>
      <c r="B161" s="1" t="s">
        <v>2704</v>
      </c>
      <c r="C161" s="1" t="s">
        <v>2835</v>
      </c>
      <c r="D161" s="1"/>
      <c r="E161" s="1" t="s">
        <v>2709</v>
      </c>
      <c r="F161" s="1">
        <v>3.71</v>
      </c>
      <c r="G161" s="1">
        <v>3.94</v>
      </c>
      <c r="H161" s="1">
        <v>3.19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1</v>
      </c>
    </row>
    <row r="162" spans="1:15" ht="15.95" customHeight="1" x14ac:dyDescent="0.25">
      <c r="A162" s="4">
        <v>43740.775821759256</v>
      </c>
      <c r="B162" s="1" t="s">
        <v>2704</v>
      </c>
      <c r="C162" s="1" t="s">
        <v>2835</v>
      </c>
      <c r="D162" s="1"/>
      <c r="E162" s="1" t="s">
        <v>2709</v>
      </c>
      <c r="F162" s="1">
        <v>3.71</v>
      </c>
      <c r="G162" s="1">
        <v>3.94</v>
      </c>
      <c r="H162" s="1">
        <v>3.19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1</v>
      </c>
    </row>
    <row r="163" spans="1:15" ht="15.95" customHeight="1" x14ac:dyDescent="0.25">
      <c r="A163" s="4">
        <v>43740.777222222219</v>
      </c>
      <c r="B163" s="1" t="s">
        <v>2704</v>
      </c>
      <c r="C163" s="1" t="s">
        <v>2835</v>
      </c>
      <c r="D163" s="1"/>
      <c r="E163" s="1" t="s">
        <v>2709</v>
      </c>
      <c r="F163" s="1">
        <v>3.71</v>
      </c>
      <c r="G163" s="1">
        <v>3.94</v>
      </c>
      <c r="H163" s="1">
        <v>3.19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1</v>
      </c>
    </row>
    <row r="164" spans="1:15" ht="15.95" customHeight="1" x14ac:dyDescent="0.25">
      <c r="A164" s="4">
        <v>43740.779166666667</v>
      </c>
      <c r="B164" s="1" t="s">
        <v>2704</v>
      </c>
      <c r="C164" s="1" t="s">
        <v>2835</v>
      </c>
      <c r="D164" s="1"/>
      <c r="E164" s="1" t="s">
        <v>2709</v>
      </c>
      <c r="F164" s="1">
        <v>3.71</v>
      </c>
      <c r="G164" s="1">
        <v>3.94</v>
      </c>
      <c r="H164" s="1">
        <v>3.19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1</v>
      </c>
    </row>
    <row r="165" spans="1:15" ht="15.95" customHeight="1" x14ac:dyDescent="0.25">
      <c r="A165" s="4">
        <v>43740.77925925926</v>
      </c>
      <c r="B165" s="1" t="s">
        <v>2704</v>
      </c>
      <c r="C165" s="1" t="s">
        <v>2835</v>
      </c>
      <c r="D165" s="1"/>
      <c r="E165" s="10" t="s">
        <v>2709</v>
      </c>
      <c r="F165" s="1">
        <v>3.71</v>
      </c>
      <c r="G165" s="1">
        <v>3.94</v>
      </c>
      <c r="H165" s="1">
        <v>3.19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1</v>
      </c>
    </row>
    <row r="166" spans="1:15" ht="15.95" customHeight="1" x14ac:dyDescent="0.25">
      <c r="A166" s="4">
        <v>43740.779768518521</v>
      </c>
      <c r="B166" s="1" t="s">
        <v>2704</v>
      </c>
      <c r="C166" s="1" t="s">
        <v>2835</v>
      </c>
      <c r="D166" s="1"/>
      <c r="E166" s="1" t="s">
        <v>2709</v>
      </c>
      <c r="F166" s="1">
        <v>3.71</v>
      </c>
      <c r="G166" s="1">
        <v>3.94</v>
      </c>
      <c r="H166" s="1">
        <v>3.19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1</v>
      </c>
    </row>
    <row r="167" spans="1:15" ht="15.95" customHeight="1" x14ac:dyDescent="0.25">
      <c r="A167" s="4">
        <v>43740.779988425929</v>
      </c>
      <c r="B167" s="1" t="s">
        <v>2704</v>
      </c>
      <c r="C167" s="1" t="s">
        <v>2837</v>
      </c>
      <c r="D167" s="1" t="s">
        <v>2825</v>
      </c>
      <c r="E167" s="1" t="s">
        <v>2709</v>
      </c>
      <c r="F167" s="1">
        <v>3.71</v>
      </c>
      <c r="G167" s="1">
        <v>3.94</v>
      </c>
      <c r="H167" s="1">
        <v>3.19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1</v>
      </c>
    </row>
    <row r="168" spans="1:15" ht="15.95" customHeight="1" x14ac:dyDescent="0.25">
      <c r="A168" s="4">
        <v>43740.781412037039</v>
      </c>
      <c r="B168" s="1" t="s">
        <v>2704</v>
      </c>
      <c r="C168" s="1" t="s">
        <v>2835</v>
      </c>
      <c r="D168" s="1"/>
      <c r="E168" s="1" t="s">
        <v>2709</v>
      </c>
      <c r="F168" s="1">
        <v>3.71</v>
      </c>
      <c r="G168" s="1">
        <v>3.94</v>
      </c>
      <c r="H168" s="1">
        <v>3.19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1</v>
      </c>
    </row>
    <row r="169" spans="1:15" ht="15.95" customHeight="1" x14ac:dyDescent="0.25">
      <c r="A169" s="4">
        <v>43740.783935185187</v>
      </c>
      <c r="B169" s="1" t="s">
        <v>2704</v>
      </c>
      <c r="C169" s="1" t="s">
        <v>2835</v>
      </c>
      <c r="D169" s="1"/>
      <c r="E169" s="1" t="s">
        <v>2709</v>
      </c>
      <c r="F169" s="1">
        <v>3.71</v>
      </c>
      <c r="G169" s="1">
        <v>3.94</v>
      </c>
      <c r="H169" s="1">
        <v>3.19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1</v>
      </c>
    </row>
    <row r="170" spans="1:15" ht="15.95" customHeight="1" x14ac:dyDescent="0.25">
      <c r="A170" s="4">
        <v>43740.784016203703</v>
      </c>
      <c r="B170" s="1" t="s">
        <v>2704</v>
      </c>
      <c r="C170" s="1" t="s">
        <v>2835</v>
      </c>
      <c r="D170" s="1"/>
      <c r="E170" s="1" t="s">
        <v>2709</v>
      </c>
      <c r="F170" s="1">
        <v>3.71</v>
      </c>
      <c r="G170" s="1">
        <v>3.94</v>
      </c>
      <c r="H170" s="1">
        <v>3.19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1</v>
      </c>
    </row>
    <row r="171" spans="1:15" ht="15.95" customHeight="1" x14ac:dyDescent="0.25">
      <c r="A171" s="4">
        <v>43740.784178240741</v>
      </c>
      <c r="B171" s="1" t="s">
        <v>2704</v>
      </c>
      <c r="C171" s="1" t="s">
        <v>2835</v>
      </c>
      <c r="D171" s="1"/>
      <c r="E171" s="1" t="s">
        <v>2709</v>
      </c>
      <c r="F171" s="1">
        <v>3.71</v>
      </c>
      <c r="G171" s="1">
        <v>3.94</v>
      </c>
      <c r="H171" s="1">
        <v>3.19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1</v>
      </c>
    </row>
    <row r="172" spans="1:15" ht="15.95" customHeight="1" x14ac:dyDescent="0.25">
      <c r="A172" s="4">
        <v>43740.784918981481</v>
      </c>
      <c r="B172" s="1" t="s">
        <v>2704</v>
      </c>
      <c r="C172" s="1" t="s">
        <v>2835</v>
      </c>
      <c r="D172" s="1"/>
      <c r="E172" s="10" t="s">
        <v>2709</v>
      </c>
      <c r="F172" s="1">
        <v>3.71</v>
      </c>
      <c r="G172" s="1">
        <v>3.94</v>
      </c>
      <c r="H172" s="1">
        <v>3.19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1</v>
      </c>
    </row>
    <row r="173" spans="1:15" ht="15.95" customHeight="1" x14ac:dyDescent="0.25">
      <c r="A173" s="4">
        <v>43740.785254629627</v>
      </c>
      <c r="B173" s="1" t="s">
        <v>2704</v>
      </c>
      <c r="C173" s="1" t="s">
        <v>2835</v>
      </c>
      <c r="D173" s="1"/>
      <c r="E173" s="1" t="s">
        <v>2709</v>
      </c>
      <c r="F173" s="1">
        <v>3.71</v>
      </c>
      <c r="G173" s="1">
        <v>3.94</v>
      </c>
      <c r="H173" s="1">
        <v>3.19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1</v>
      </c>
    </row>
    <row r="174" spans="1:15" ht="15.95" customHeight="1" x14ac:dyDescent="0.25">
      <c r="A174" s="4">
        <v>43740.787557870368</v>
      </c>
      <c r="B174" s="1" t="s">
        <v>2704</v>
      </c>
      <c r="C174" s="1" t="s">
        <v>2835</v>
      </c>
      <c r="D174" s="1"/>
      <c r="E174" s="1" t="s">
        <v>2709</v>
      </c>
      <c r="F174" s="1">
        <v>3.71</v>
      </c>
      <c r="G174" s="1">
        <v>3.94</v>
      </c>
      <c r="H174" s="1">
        <v>3.19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1</v>
      </c>
    </row>
    <row r="175" spans="1:15" ht="15.95" customHeight="1" x14ac:dyDescent="0.25">
      <c r="A175" s="4">
        <v>43740.792129629626</v>
      </c>
      <c r="B175" s="1" t="s">
        <v>2704</v>
      </c>
      <c r="C175" s="1" t="s">
        <v>2835</v>
      </c>
      <c r="D175" s="1"/>
      <c r="E175" s="1" t="s">
        <v>2709</v>
      </c>
      <c r="F175" s="1">
        <v>3.71</v>
      </c>
      <c r="G175" s="1">
        <v>3.94</v>
      </c>
      <c r="H175" s="1">
        <v>3.19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1</v>
      </c>
    </row>
    <row r="176" spans="1:15" ht="15.95" customHeight="1" x14ac:dyDescent="0.25">
      <c r="A176" s="4">
        <v>43740.799803240741</v>
      </c>
      <c r="B176" s="1" t="s">
        <v>2704</v>
      </c>
      <c r="C176" s="1" t="s">
        <v>2835</v>
      </c>
      <c r="D176" s="1"/>
      <c r="E176" s="1" t="s">
        <v>2709</v>
      </c>
      <c r="F176" s="1">
        <v>3.71</v>
      </c>
      <c r="G176" s="1">
        <v>3.94</v>
      </c>
      <c r="H176" s="1">
        <v>3.19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1</v>
      </c>
    </row>
    <row r="177" spans="1:15" ht="15.95" customHeight="1" x14ac:dyDescent="0.25">
      <c r="A177" s="4">
        <v>43740.800046296295</v>
      </c>
      <c r="B177" s="1" t="s">
        <v>2704</v>
      </c>
      <c r="C177" s="1" t="s">
        <v>2835</v>
      </c>
      <c r="D177" s="1"/>
      <c r="E177" s="10" t="s">
        <v>2709</v>
      </c>
      <c r="F177" s="1">
        <v>3.71</v>
      </c>
      <c r="G177" s="1">
        <v>3.94</v>
      </c>
      <c r="H177" s="1">
        <v>3.19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1</v>
      </c>
    </row>
    <row r="178" spans="1:15" ht="15.95" customHeight="1" x14ac:dyDescent="0.25">
      <c r="A178" s="4">
        <v>43740.804340277777</v>
      </c>
      <c r="B178" s="1" t="s">
        <v>2704</v>
      </c>
      <c r="C178" s="1" t="s">
        <v>2835</v>
      </c>
      <c r="D178" s="1"/>
      <c r="E178" s="1" t="s">
        <v>2709</v>
      </c>
      <c r="F178" s="1">
        <v>3.71</v>
      </c>
      <c r="G178" s="1">
        <v>3.94</v>
      </c>
      <c r="H178" s="1">
        <v>3.19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1</v>
      </c>
    </row>
    <row r="179" spans="1:15" ht="15.95" customHeight="1" x14ac:dyDescent="0.25">
      <c r="A179" s="4">
        <v>43740.805219907408</v>
      </c>
      <c r="B179" s="1" t="s">
        <v>2704</v>
      </c>
      <c r="C179" s="1" t="s">
        <v>2835</v>
      </c>
      <c r="D179" s="1"/>
      <c r="E179" s="10" t="s">
        <v>2709</v>
      </c>
      <c r="F179" s="1">
        <v>3.71</v>
      </c>
      <c r="G179" s="1">
        <v>3.94</v>
      </c>
      <c r="H179" s="1">
        <v>3.19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1</v>
      </c>
    </row>
    <row r="180" spans="1:15" ht="15.95" customHeight="1" x14ac:dyDescent="0.25">
      <c r="A180" s="4">
        <v>43740.806238425925</v>
      </c>
      <c r="B180" s="1" t="s">
        <v>2704</v>
      </c>
      <c r="C180" s="1" t="s">
        <v>2835</v>
      </c>
      <c r="D180" s="1"/>
      <c r="E180" s="1" t="s">
        <v>2709</v>
      </c>
      <c r="F180" s="1">
        <v>3.71</v>
      </c>
      <c r="G180" s="1">
        <v>3.94</v>
      </c>
      <c r="H180" s="1">
        <v>3.19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1</v>
      </c>
    </row>
    <row r="181" spans="1:15" ht="15.95" customHeight="1" x14ac:dyDescent="0.25">
      <c r="A181" s="4">
        <v>43740.806284722225</v>
      </c>
      <c r="B181" s="1" t="s">
        <v>2704</v>
      </c>
      <c r="C181" s="1" t="s">
        <v>2835</v>
      </c>
      <c r="D181" s="1"/>
      <c r="E181" s="1" t="s">
        <v>2709</v>
      </c>
      <c r="F181" s="1">
        <v>3.71</v>
      </c>
      <c r="G181" s="1">
        <v>3.94</v>
      </c>
      <c r="H181" s="1">
        <v>3.19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1</v>
      </c>
    </row>
    <row r="182" spans="1:15" ht="15.95" customHeight="1" x14ac:dyDescent="0.25">
      <c r="A182" s="4">
        <v>43740.806493055556</v>
      </c>
      <c r="B182" s="1" t="s">
        <v>2704</v>
      </c>
      <c r="C182" s="1" t="s">
        <v>2835</v>
      </c>
      <c r="D182" s="1"/>
      <c r="E182" s="1" t="s">
        <v>2709</v>
      </c>
      <c r="F182" s="1">
        <v>3.71</v>
      </c>
      <c r="G182" s="1">
        <v>3.94</v>
      </c>
      <c r="H182" s="1">
        <v>3.19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43740.806631944448</v>
      </c>
      <c r="B183" s="1" t="s">
        <v>2704</v>
      </c>
      <c r="C183" s="1" t="s">
        <v>2826</v>
      </c>
      <c r="D183" s="1"/>
      <c r="E183" s="1" t="s">
        <v>2709</v>
      </c>
      <c r="F183" s="1">
        <v>3.71</v>
      </c>
      <c r="G183" s="1">
        <v>3.94</v>
      </c>
      <c r="H183" s="1">
        <v>3.19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43740.808182870373</v>
      </c>
      <c r="B184" s="1" t="s">
        <v>2704</v>
      </c>
      <c r="C184" s="1" t="s">
        <v>2826</v>
      </c>
      <c r="D184" s="1"/>
      <c r="E184" s="10" t="s">
        <v>2709</v>
      </c>
      <c r="F184" s="1">
        <v>3.71</v>
      </c>
      <c r="G184" s="1">
        <v>3.94</v>
      </c>
      <c r="H184" s="1">
        <v>3.19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43740.808622685188</v>
      </c>
      <c r="B185" s="1" t="s">
        <v>2704</v>
      </c>
      <c r="C185" s="1" t="s">
        <v>2826</v>
      </c>
      <c r="D185" s="1"/>
      <c r="E185" s="1" t="s">
        <v>2709</v>
      </c>
      <c r="F185" s="1">
        <v>3.71</v>
      </c>
      <c r="G185" s="1">
        <v>3.94</v>
      </c>
      <c r="H185" s="1">
        <v>3.19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43740.80945601852</v>
      </c>
      <c r="B186" s="1" t="s">
        <v>2704</v>
      </c>
      <c r="C186" s="1" t="s">
        <v>2826</v>
      </c>
      <c r="D186" s="1"/>
      <c r="E186" s="10" t="s">
        <v>2709</v>
      </c>
      <c r="F186" s="1">
        <v>3.71</v>
      </c>
      <c r="G186" s="1">
        <v>3.94</v>
      </c>
      <c r="H186" s="1">
        <v>3.19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43740.809641203705</v>
      </c>
      <c r="B187" s="1" t="s">
        <v>2704</v>
      </c>
      <c r="C187" s="1" t="s">
        <v>2826</v>
      </c>
      <c r="D187" s="1"/>
      <c r="E187" s="1" t="s">
        <v>2709</v>
      </c>
      <c r="F187" s="1">
        <v>3.71</v>
      </c>
      <c r="G187" s="1">
        <v>3.94</v>
      </c>
      <c r="H187" s="1">
        <v>3.19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43740.809872685182</v>
      </c>
      <c r="B188" s="1" t="s">
        <v>2704</v>
      </c>
      <c r="C188" s="1" t="s">
        <v>2826</v>
      </c>
      <c r="D188" s="1"/>
      <c r="E188" s="1" t="s">
        <v>2709</v>
      </c>
      <c r="F188" s="1">
        <v>3.71</v>
      </c>
      <c r="G188" s="1">
        <v>3.94</v>
      </c>
      <c r="H188" s="1">
        <v>3.19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43740.810115740744</v>
      </c>
      <c r="B189" s="1" t="s">
        <v>2704</v>
      </c>
      <c r="C189" s="1" t="s">
        <v>2826</v>
      </c>
      <c r="D189" s="1"/>
      <c r="E189" s="1" t="s">
        <v>2709</v>
      </c>
      <c r="F189" s="1">
        <v>3.71</v>
      </c>
      <c r="G189" s="1">
        <v>3.94</v>
      </c>
      <c r="H189" s="1">
        <v>3.19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43740.810347222221</v>
      </c>
      <c r="B190" s="1" t="s">
        <v>2704</v>
      </c>
      <c r="C190" s="1" t="s">
        <v>2826</v>
      </c>
      <c r="D190" s="1"/>
      <c r="E190" s="1" t="s">
        <v>2709</v>
      </c>
      <c r="F190" s="1">
        <v>3.71</v>
      </c>
      <c r="G190" s="1">
        <v>3.94</v>
      </c>
      <c r="H190" s="1">
        <v>3.19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1</v>
      </c>
      <c r="N190" s="1" t="b">
        <v>1</v>
      </c>
      <c r="O190" s="1" t="b">
        <v>0</v>
      </c>
    </row>
    <row r="191" spans="1:15" ht="15.95" customHeight="1" x14ac:dyDescent="0.25">
      <c r="A191" s="4">
        <v>43740.812280092592</v>
      </c>
      <c r="B191" s="1" t="s">
        <v>2704</v>
      </c>
      <c r="C191" s="1" t="s">
        <v>2826</v>
      </c>
      <c r="D191" s="1"/>
      <c r="E191" s="10" t="s">
        <v>2709</v>
      </c>
      <c r="F191" s="1">
        <v>3.71</v>
      </c>
      <c r="G191" s="1">
        <v>3.94</v>
      </c>
      <c r="H191" s="1">
        <v>3.19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1</v>
      </c>
      <c r="N191" s="1" t="b">
        <v>1</v>
      </c>
      <c r="O191" s="1" t="b">
        <v>0</v>
      </c>
    </row>
    <row r="192" spans="1:15" ht="15.95" customHeight="1" x14ac:dyDescent="0.25">
      <c r="A192" s="4">
        <v>43740.812488425923</v>
      </c>
      <c r="B192" s="1" t="s">
        <v>2704</v>
      </c>
      <c r="C192" s="1" t="s">
        <v>2826</v>
      </c>
      <c r="D192" s="1"/>
      <c r="E192" s="1" t="s">
        <v>2709</v>
      </c>
      <c r="F192" s="1">
        <v>3.71</v>
      </c>
      <c r="G192" s="1">
        <v>3.94</v>
      </c>
      <c r="H192" s="1">
        <v>3.19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0</v>
      </c>
      <c r="O192" s="1" t="b">
        <v>0</v>
      </c>
    </row>
    <row r="193" spans="1:15" ht="15.95" customHeight="1" x14ac:dyDescent="0.25">
      <c r="A193" s="4">
        <v>43740.812592592592</v>
      </c>
      <c r="B193" s="1" t="s">
        <v>2704</v>
      </c>
      <c r="C193" s="1" t="s">
        <v>2826</v>
      </c>
      <c r="D193" s="1"/>
      <c r="E193" s="10" t="s">
        <v>2709</v>
      </c>
      <c r="F193" s="1">
        <v>3.71</v>
      </c>
      <c r="G193" s="1">
        <v>3.94</v>
      </c>
      <c r="H193" s="1">
        <v>3.19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0</v>
      </c>
      <c r="O193" s="1" t="b">
        <v>1</v>
      </c>
    </row>
    <row r="194" spans="1:15" ht="15.95" customHeight="1" x14ac:dyDescent="0.25">
      <c r="A194" s="4">
        <v>43740.812719907408</v>
      </c>
      <c r="B194" s="1" t="s">
        <v>2704</v>
      </c>
      <c r="C194" s="1" t="s">
        <v>2835</v>
      </c>
      <c r="D194" s="1"/>
      <c r="E194" s="1" t="s">
        <v>2709</v>
      </c>
      <c r="F194" s="1">
        <v>3.71</v>
      </c>
      <c r="G194" s="1">
        <v>3.94</v>
      </c>
      <c r="H194" s="1">
        <v>3.19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1</v>
      </c>
    </row>
    <row r="195" spans="1:15" ht="15.95" customHeight="1" x14ac:dyDescent="0.25">
      <c r="A195" s="4">
        <v>43740.812835648147</v>
      </c>
      <c r="B195" s="1" t="s">
        <v>2704</v>
      </c>
      <c r="C195" s="1" t="s">
        <v>2835</v>
      </c>
      <c r="D195" s="1"/>
      <c r="E195" s="1" t="s">
        <v>2709</v>
      </c>
      <c r="F195" s="1">
        <v>3.71</v>
      </c>
      <c r="G195" s="1">
        <v>3.94</v>
      </c>
      <c r="H195" s="1">
        <v>3.19</v>
      </c>
      <c r="I195" s="1">
        <v>1</v>
      </c>
      <c r="J195" s="1" t="b">
        <v>1</v>
      </c>
      <c r="K195" s="1" t="b">
        <v>1</v>
      </c>
      <c r="L195" s="1" t="b">
        <v>0</v>
      </c>
      <c r="M195" s="1" t="b">
        <v>0</v>
      </c>
      <c r="N195" s="1" t="b">
        <v>1</v>
      </c>
      <c r="O195" s="1" t="b">
        <v>1</v>
      </c>
    </row>
    <row r="196" spans="1:15" ht="15.95" customHeight="1" x14ac:dyDescent="0.25">
      <c r="A196" s="4">
        <v>43740.818240740744</v>
      </c>
      <c r="B196" s="1" t="s">
        <v>2704</v>
      </c>
      <c r="C196" s="1" t="s">
        <v>2835</v>
      </c>
      <c r="D196" s="1"/>
      <c r="E196" s="1" t="s">
        <v>2709</v>
      </c>
      <c r="F196" s="1">
        <v>3.71</v>
      </c>
      <c r="G196" s="1">
        <v>3.94</v>
      </c>
      <c r="H196" s="1">
        <v>3.19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1</v>
      </c>
    </row>
    <row r="197" spans="1:15" ht="15.95" customHeight="1" x14ac:dyDescent="0.25">
      <c r="A197" s="4">
        <v>43740.818379629629</v>
      </c>
      <c r="B197" s="1" t="s">
        <v>2704</v>
      </c>
      <c r="C197" s="1" t="s">
        <v>2835</v>
      </c>
      <c r="D197" s="1"/>
      <c r="E197" s="1" t="s">
        <v>2709</v>
      </c>
      <c r="F197" s="1">
        <v>3.71</v>
      </c>
      <c r="G197" s="1">
        <v>3.94</v>
      </c>
      <c r="H197" s="1">
        <v>3.19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43740.81962962963</v>
      </c>
      <c r="B198" s="1" t="s">
        <v>2704</v>
      </c>
      <c r="C198" s="1" t="s">
        <v>2826</v>
      </c>
      <c r="D198" s="1"/>
      <c r="E198" s="10" t="s">
        <v>2709</v>
      </c>
      <c r="F198" s="1">
        <v>3.71</v>
      </c>
      <c r="G198" s="1">
        <v>3.94</v>
      </c>
      <c r="H198" s="1">
        <v>3.19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43740.821296296293</v>
      </c>
      <c r="B199" s="1" t="s">
        <v>2704</v>
      </c>
      <c r="C199" s="1" t="s">
        <v>2826</v>
      </c>
      <c r="D199" s="1"/>
      <c r="E199" s="1" t="s">
        <v>2709</v>
      </c>
      <c r="F199" s="1">
        <v>3.71</v>
      </c>
      <c r="G199" s="1">
        <v>3.94</v>
      </c>
      <c r="H199" s="1">
        <v>3.19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43740.833148148151</v>
      </c>
      <c r="B200" s="1" t="s">
        <v>2704</v>
      </c>
      <c r="C200" s="1" t="s">
        <v>2826</v>
      </c>
      <c r="D200" s="1"/>
      <c r="E200" s="1" t="s">
        <v>2709</v>
      </c>
      <c r="F200" s="1">
        <v>3.71</v>
      </c>
      <c r="G200" s="1">
        <v>3.94</v>
      </c>
      <c r="H200" s="1">
        <v>3.19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43740.833344907405</v>
      </c>
      <c r="B201" s="1" t="s">
        <v>2704</v>
      </c>
      <c r="C201" s="1" t="s">
        <v>2826</v>
      </c>
      <c r="D201" s="1"/>
      <c r="E201" s="1" t="s">
        <v>2709</v>
      </c>
      <c r="F201" s="1">
        <v>3.71</v>
      </c>
      <c r="G201" s="1">
        <v>3.94</v>
      </c>
      <c r="H201" s="1">
        <v>3.19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43740.834236111114</v>
      </c>
      <c r="B202" s="1" t="s">
        <v>2704</v>
      </c>
      <c r="C202" s="1" t="s">
        <v>2826</v>
      </c>
      <c r="D202" s="1" t="s">
        <v>2825</v>
      </c>
      <c r="E202" s="1" t="s">
        <v>2834</v>
      </c>
      <c r="F202" s="1">
        <v>3.71</v>
      </c>
      <c r="G202" s="1">
        <v>3.94</v>
      </c>
      <c r="H202" s="1">
        <v>3.19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43740.834328703706</v>
      </c>
      <c r="B203" s="1" t="s">
        <v>2704</v>
      </c>
      <c r="C203" s="1" t="s">
        <v>2837</v>
      </c>
      <c r="D203" s="1" t="s">
        <v>2825</v>
      </c>
      <c r="E203" s="1" t="s">
        <v>2709</v>
      </c>
      <c r="F203" s="1">
        <v>3.71</v>
      </c>
      <c r="G203" s="1">
        <v>3.94</v>
      </c>
      <c r="H203" s="1">
        <v>3.19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43740.838275462964</v>
      </c>
      <c r="B204" s="1" t="s">
        <v>2704</v>
      </c>
      <c r="C204" s="1" t="s">
        <v>2841</v>
      </c>
      <c r="D204" s="1" t="s">
        <v>2842</v>
      </c>
      <c r="E204" s="1" t="s">
        <v>2709</v>
      </c>
      <c r="F204" s="1">
        <v>3.71</v>
      </c>
      <c r="G204" s="1">
        <v>3.94</v>
      </c>
      <c r="H204" s="1">
        <v>3.19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1</v>
      </c>
    </row>
    <row r="205" spans="1:15" ht="15.95" customHeight="1" x14ac:dyDescent="0.25">
      <c r="A205" s="4">
        <v>43740.838483796295</v>
      </c>
      <c r="B205" s="1" t="s">
        <v>2704</v>
      </c>
      <c r="C205" s="1" t="s">
        <v>2701</v>
      </c>
      <c r="D205" s="1" t="s">
        <v>2822</v>
      </c>
      <c r="E205" s="1">
        <v>0</v>
      </c>
      <c r="F205" s="1">
        <v>3.71</v>
      </c>
      <c r="G205" s="1">
        <v>3.94</v>
      </c>
      <c r="H205" s="1">
        <v>3.19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1</v>
      </c>
    </row>
    <row r="206" spans="1:15" ht="15.95" customHeight="1" x14ac:dyDescent="0.25">
      <c r="A206" s="4">
        <v>43740.838692129626</v>
      </c>
      <c r="B206" s="1" t="s">
        <v>2704</v>
      </c>
      <c r="C206" s="1" t="s">
        <v>2824</v>
      </c>
      <c r="D206" s="1" t="s">
        <v>2825</v>
      </c>
      <c r="E206" s="1" t="s">
        <v>2709</v>
      </c>
      <c r="F206" s="1">
        <v>3.71</v>
      </c>
      <c r="G206" s="1">
        <v>3.94</v>
      </c>
      <c r="H206" s="1">
        <v>3.19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43740.838831018518</v>
      </c>
      <c r="B207" s="1" t="s">
        <v>2704</v>
      </c>
      <c r="C207" s="1" t="s">
        <v>2701</v>
      </c>
      <c r="D207" s="1" t="s">
        <v>2822</v>
      </c>
      <c r="E207" s="1">
        <v>0</v>
      </c>
      <c r="F207" s="1">
        <v>3.71</v>
      </c>
      <c r="G207" s="1">
        <v>3.94</v>
      </c>
      <c r="H207" s="1">
        <v>3.19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43740.838993055557</v>
      </c>
      <c r="B208" s="1" t="s">
        <v>2704</v>
      </c>
      <c r="C208" s="1" t="s">
        <v>2701</v>
      </c>
      <c r="D208" s="1" t="s">
        <v>2822</v>
      </c>
      <c r="E208" s="1">
        <v>0</v>
      </c>
      <c r="F208" s="1">
        <v>3.71</v>
      </c>
      <c r="G208" s="1">
        <v>3.94</v>
      </c>
      <c r="H208" s="1">
        <v>3.19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43740.839282407411</v>
      </c>
      <c r="B209" s="1" t="s">
        <v>2704</v>
      </c>
      <c r="C209" s="1" t="s">
        <v>2701</v>
      </c>
      <c r="D209" s="1" t="s">
        <v>2822</v>
      </c>
      <c r="E209" s="1">
        <v>0</v>
      </c>
      <c r="F209" s="1">
        <v>3.71</v>
      </c>
      <c r="G209" s="1">
        <v>3.94</v>
      </c>
      <c r="H209" s="1">
        <v>3.19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43740.839548611111</v>
      </c>
      <c r="B210" s="1" t="s">
        <v>2704</v>
      </c>
      <c r="C210" s="1" t="s">
        <v>2824</v>
      </c>
      <c r="D210" s="1" t="s">
        <v>2825</v>
      </c>
      <c r="E210" s="1" t="s">
        <v>2709</v>
      </c>
      <c r="F210" s="1">
        <v>3.71</v>
      </c>
      <c r="G210" s="1">
        <v>3.94</v>
      </c>
      <c r="H210" s="1">
        <v>3.19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43740.83965277778</v>
      </c>
      <c r="B211" s="1" t="s">
        <v>2704</v>
      </c>
      <c r="C211" s="1" t="s">
        <v>2701</v>
      </c>
      <c r="D211" s="1" t="s">
        <v>2822</v>
      </c>
      <c r="E211" s="1">
        <v>0</v>
      </c>
      <c r="F211" s="1">
        <v>3.71</v>
      </c>
      <c r="G211" s="1">
        <v>3.94</v>
      </c>
      <c r="H211" s="1">
        <v>3.19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43740.84238425926</v>
      </c>
      <c r="B212" s="1" t="s">
        <v>2704</v>
      </c>
      <c r="C212" s="1" t="s">
        <v>2701</v>
      </c>
      <c r="D212" s="1" t="s">
        <v>2822</v>
      </c>
      <c r="E212" s="1">
        <v>0</v>
      </c>
      <c r="F212" s="1">
        <v>3.72</v>
      </c>
      <c r="G212" s="1">
        <v>3.94</v>
      </c>
      <c r="H212" s="1">
        <v>3.21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43740.843055555553</v>
      </c>
      <c r="B213" s="1" t="s">
        <v>2704</v>
      </c>
      <c r="C213" s="1" t="s">
        <v>2844</v>
      </c>
      <c r="D213" s="1" t="s">
        <v>2845</v>
      </c>
      <c r="E213" s="1" t="s">
        <v>4</v>
      </c>
      <c r="F213" s="1">
        <v>3.72</v>
      </c>
      <c r="G213" s="1">
        <v>3.94</v>
      </c>
      <c r="H213" s="1">
        <v>3.21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43740.843055555553</v>
      </c>
      <c r="B214" s="1" t="s">
        <v>2704</v>
      </c>
      <c r="C214" s="1" t="s">
        <v>2844</v>
      </c>
      <c r="D214" s="1" t="s">
        <v>2846</v>
      </c>
      <c r="E214" s="1" t="s">
        <v>4</v>
      </c>
      <c r="F214" s="1">
        <v>3.72</v>
      </c>
      <c r="G214" s="1">
        <v>3.94</v>
      </c>
      <c r="H214" s="1">
        <v>3.21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43740.84306712963</v>
      </c>
      <c r="B215" s="1" t="s">
        <v>2704</v>
      </c>
      <c r="C215" s="1" t="s">
        <v>2847</v>
      </c>
      <c r="D215" s="1" t="s">
        <v>2708</v>
      </c>
      <c r="E215" s="1" t="s">
        <v>2709</v>
      </c>
      <c r="F215" s="1">
        <v>3.72</v>
      </c>
      <c r="G215" s="1">
        <v>3.94</v>
      </c>
      <c r="H215" s="1">
        <v>3.21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43740.843078703707</v>
      </c>
      <c r="B216" s="1" t="s">
        <v>2704</v>
      </c>
      <c r="C216" s="1" t="s">
        <v>2848</v>
      </c>
      <c r="D216" s="1" t="s">
        <v>2849</v>
      </c>
      <c r="E216" s="1" t="s">
        <v>2709</v>
      </c>
      <c r="F216" s="1">
        <v>3.72</v>
      </c>
      <c r="G216" s="1">
        <v>3.94</v>
      </c>
      <c r="H216" s="1">
        <v>3.21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43740.843136574076</v>
      </c>
      <c r="B217" s="1" t="s">
        <v>2704</v>
      </c>
      <c r="C217" s="1" t="s">
        <v>2824</v>
      </c>
      <c r="D217" s="1" t="s">
        <v>2825</v>
      </c>
      <c r="E217" s="1" t="s">
        <v>2709</v>
      </c>
      <c r="F217" s="1">
        <v>3.72</v>
      </c>
      <c r="G217" s="1">
        <v>3.94</v>
      </c>
      <c r="H217" s="1">
        <v>3.21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43740.843136574076</v>
      </c>
      <c r="B218" s="1" t="s">
        <v>2704</v>
      </c>
      <c r="C218" s="1" t="s">
        <v>2850</v>
      </c>
      <c r="D218" s="1" t="s">
        <v>2849</v>
      </c>
      <c r="E218" s="1" t="s">
        <v>2709</v>
      </c>
      <c r="F218" s="1">
        <v>3.72</v>
      </c>
      <c r="G218" s="1">
        <v>3.94</v>
      </c>
      <c r="H218" s="1">
        <v>3.21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43740.843159722222</v>
      </c>
      <c r="B219" s="1" t="s">
        <v>2704</v>
      </c>
      <c r="C219" s="1" t="s">
        <v>2844</v>
      </c>
      <c r="D219" s="1" t="s">
        <v>2851</v>
      </c>
      <c r="E219" s="1">
        <v>2</v>
      </c>
      <c r="F219" s="1">
        <v>3.72</v>
      </c>
      <c r="G219" s="1">
        <v>3.94</v>
      </c>
      <c r="H219" s="1">
        <v>3.21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43740.843298611115</v>
      </c>
      <c r="B220" s="1" t="s">
        <v>2704</v>
      </c>
      <c r="C220" s="1" t="s">
        <v>2852</v>
      </c>
      <c r="D220" s="1"/>
      <c r="E220" s="1">
        <v>1</v>
      </c>
      <c r="F220" s="1">
        <v>3.72</v>
      </c>
      <c r="G220" s="1">
        <v>3.94</v>
      </c>
      <c r="H220" s="1">
        <v>3.21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43740.843298611115</v>
      </c>
      <c r="B221" s="1" t="s">
        <v>2704</v>
      </c>
      <c r="C221" s="1" t="s">
        <v>2841</v>
      </c>
      <c r="D221" s="1"/>
      <c r="E221" s="1" t="s">
        <v>2853</v>
      </c>
      <c r="F221" s="1">
        <v>3.72</v>
      </c>
      <c r="G221" s="1">
        <v>3.94</v>
      </c>
      <c r="H221" s="1">
        <v>3.21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43740.843298611115</v>
      </c>
      <c r="B222" s="1" t="s">
        <v>2704</v>
      </c>
      <c r="C222" s="1" t="s">
        <v>2706</v>
      </c>
      <c r="D222" s="1"/>
      <c r="E222" s="1" t="s">
        <v>2853</v>
      </c>
      <c r="F222" s="1">
        <v>3.72</v>
      </c>
      <c r="G222" s="1">
        <v>3.94</v>
      </c>
      <c r="H222" s="1">
        <v>3.21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43740.843298611115</v>
      </c>
      <c r="B223" s="1" t="s">
        <v>2704</v>
      </c>
      <c r="C223" s="1" t="s">
        <v>2784</v>
      </c>
      <c r="D223" s="1"/>
      <c r="E223" s="1" t="s">
        <v>2853</v>
      </c>
      <c r="F223" s="1">
        <v>3.72</v>
      </c>
      <c r="G223" s="1">
        <v>3.94</v>
      </c>
      <c r="H223" s="1">
        <v>3.21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43740.843298611115</v>
      </c>
      <c r="B224" s="1" t="s">
        <v>2704</v>
      </c>
      <c r="C224" s="1" t="s">
        <v>2780</v>
      </c>
      <c r="D224" s="1"/>
      <c r="E224" s="1" t="s">
        <v>2853</v>
      </c>
      <c r="F224" s="1">
        <v>3.72</v>
      </c>
      <c r="G224" s="1">
        <v>3.94</v>
      </c>
      <c r="H224" s="1">
        <v>3.21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43740.843298611115</v>
      </c>
      <c r="B225" s="1" t="s">
        <v>2704</v>
      </c>
      <c r="C225" s="1" t="s">
        <v>2783</v>
      </c>
      <c r="D225" s="1"/>
      <c r="E225" s="1" t="s">
        <v>2853</v>
      </c>
      <c r="F225" s="1">
        <v>3.72</v>
      </c>
      <c r="G225" s="1">
        <v>3.94</v>
      </c>
      <c r="H225" s="1">
        <v>3.21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43740.843298611115</v>
      </c>
      <c r="B226" s="1" t="s">
        <v>2704</v>
      </c>
      <c r="C226" s="1" t="s">
        <v>2826</v>
      </c>
      <c r="D226" s="1"/>
      <c r="E226" s="1" t="s">
        <v>2853</v>
      </c>
      <c r="F226" s="1">
        <v>3.72</v>
      </c>
      <c r="G226" s="1">
        <v>3.94</v>
      </c>
      <c r="H226" s="1">
        <v>3.21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43740.843298611115</v>
      </c>
      <c r="B227" s="1" t="s">
        <v>2704</v>
      </c>
      <c r="C227" s="1" t="s">
        <v>2837</v>
      </c>
      <c r="D227" s="1"/>
      <c r="E227" s="1" t="s">
        <v>2853</v>
      </c>
      <c r="F227" s="1">
        <v>3.72</v>
      </c>
      <c r="G227" s="1">
        <v>3.94</v>
      </c>
      <c r="H227" s="1">
        <v>3.21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43740.843298611115</v>
      </c>
      <c r="B228" s="1" t="s">
        <v>2704</v>
      </c>
      <c r="C228" s="1" t="s">
        <v>2824</v>
      </c>
      <c r="D228" s="1"/>
      <c r="E228" s="1" t="s">
        <v>2853</v>
      </c>
      <c r="F228" s="1">
        <v>3.72</v>
      </c>
      <c r="G228" s="1">
        <v>3.94</v>
      </c>
      <c r="H228" s="1">
        <v>3.21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43740.843298611115</v>
      </c>
      <c r="B229" s="1" t="s">
        <v>2704</v>
      </c>
      <c r="C229" s="1" t="s">
        <v>2854</v>
      </c>
      <c r="D229" s="1"/>
      <c r="E229" s="1">
        <v>1</v>
      </c>
      <c r="F229" s="1">
        <v>3.72</v>
      </c>
      <c r="G229" s="1">
        <v>3.94</v>
      </c>
      <c r="H229" s="1">
        <v>3.21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43740.843506944446</v>
      </c>
      <c r="B230" s="1" t="s">
        <v>2704</v>
      </c>
      <c r="C230" s="1" t="s">
        <v>2701</v>
      </c>
      <c r="D230" s="1" t="s">
        <v>2822</v>
      </c>
      <c r="E230" s="1">
        <v>0</v>
      </c>
      <c r="F230" s="1">
        <v>3.72</v>
      </c>
      <c r="G230" s="1">
        <v>3.94</v>
      </c>
      <c r="H230" s="1">
        <v>3.21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43740.843692129631</v>
      </c>
      <c r="B231" s="1" t="s">
        <v>2704</v>
      </c>
      <c r="C231" s="1" t="s">
        <v>2835</v>
      </c>
      <c r="D231" s="1"/>
      <c r="E231" s="1" t="s">
        <v>2709</v>
      </c>
      <c r="F231" s="1">
        <v>3.72</v>
      </c>
      <c r="G231" s="1">
        <v>3.94</v>
      </c>
      <c r="H231" s="1">
        <v>3.21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43740.843831018516</v>
      </c>
      <c r="B232" s="1" t="s">
        <v>2704</v>
      </c>
      <c r="C232" s="1" t="s">
        <v>2835</v>
      </c>
      <c r="D232" s="1"/>
      <c r="E232" s="1" t="s">
        <v>2709</v>
      </c>
      <c r="F232" s="1">
        <v>3.72</v>
      </c>
      <c r="G232" s="1">
        <v>3.94</v>
      </c>
      <c r="H232" s="1">
        <v>3.21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43740.843888888892</v>
      </c>
      <c r="B233" s="1" t="s">
        <v>2704</v>
      </c>
      <c r="C233" s="1" t="s">
        <v>2826</v>
      </c>
      <c r="D233" s="1" t="s">
        <v>2777</v>
      </c>
      <c r="E233" s="1" t="s">
        <v>2709</v>
      </c>
      <c r="F233" s="1">
        <v>3.72</v>
      </c>
      <c r="G233" s="1">
        <v>3.94</v>
      </c>
      <c r="H233" s="1">
        <v>3.21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43740.844039351854</v>
      </c>
      <c r="B234" s="1" t="s">
        <v>2704</v>
      </c>
      <c r="C234" s="1" t="s">
        <v>2826</v>
      </c>
      <c r="D234" s="1"/>
      <c r="E234" s="1" t="s">
        <v>2709</v>
      </c>
      <c r="F234" s="1">
        <v>3.72</v>
      </c>
      <c r="G234" s="1">
        <v>3.94</v>
      </c>
      <c r="H234" s="1">
        <v>3.21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1</v>
      </c>
      <c r="N234" s="1" t="b">
        <v>1</v>
      </c>
      <c r="O234" s="1" t="b">
        <v>0</v>
      </c>
    </row>
    <row r="235" spans="1:15" ht="15.95" customHeight="1" x14ac:dyDescent="0.25">
      <c r="A235" s="4">
        <v>43741.007731481484</v>
      </c>
      <c r="B235" s="1" t="s">
        <v>2856</v>
      </c>
      <c r="C235" s="1" t="s">
        <v>2857</v>
      </c>
      <c r="D235" s="1"/>
      <c r="E235" s="1" t="s">
        <v>2858</v>
      </c>
      <c r="F235" s="1">
        <v>3.72</v>
      </c>
      <c r="G235" s="1">
        <v>3.94</v>
      </c>
      <c r="H235" s="1">
        <v>3.21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43741.007743055554</v>
      </c>
      <c r="B236" s="1" t="s">
        <v>2856</v>
      </c>
      <c r="C236" s="1" t="s">
        <v>2857</v>
      </c>
      <c r="D236" s="1"/>
      <c r="E236" s="1" t="s">
        <v>2858</v>
      </c>
      <c r="F236" s="1">
        <v>3.72</v>
      </c>
      <c r="G236" s="1">
        <v>3.94</v>
      </c>
      <c r="H236" s="1">
        <v>3.21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43741.007754629631</v>
      </c>
      <c r="B237" s="1" t="s">
        <v>2856</v>
      </c>
      <c r="C237" s="1" t="s">
        <v>2857</v>
      </c>
      <c r="D237" s="1"/>
      <c r="E237" s="1" t="s">
        <v>2858</v>
      </c>
      <c r="F237" s="1">
        <v>3.72</v>
      </c>
      <c r="G237" s="1">
        <v>3.94</v>
      </c>
      <c r="H237" s="1">
        <v>3.21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43741.007754629631</v>
      </c>
      <c r="B238" s="1" t="s">
        <v>2856</v>
      </c>
      <c r="C238" s="1" t="s">
        <v>2857</v>
      </c>
      <c r="D238" s="1"/>
      <c r="E238" s="1" t="s">
        <v>2858</v>
      </c>
      <c r="F238" s="1">
        <v>3.72</v>
      </c>
      <c r="G238" s="1">
        <v>3.94</v>
      </c>
      <c r="H238" s="1">
        <v>3.21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43741.0077662037</v>
      </c>
      <c r="B239" s="1" t="s">
        <v>2856</v>
      </c>
      <c r="C239" s="1" t="s">
        <v>2857</v>
      </c>
      <c r="D239" s="1"/>
      <c r="E239" s="1" t="s">
        <v>2858</v>
      </c>
      <c r="F239" s="1">
        <v>3.72</v>
      </c>
      <c r="G239" s="1">
        <v>3.94</v>
      </c>
      <c r="H239" s="1">
        <v>3.21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43741.0077662037</v>
      </c>
      <c r="B240" s="1" t="s">
        <v>2856</v>
      </c>
      <c r="C240" s="1" t="s">
        <v>2857</v>
      </c>
      <c r="D240" s="1"/>
      <c r="E240" s="1" t="s">
        <v>2858</v>
      </c>
      <c r="F240" s="1">
        <v>3.72</v>
      </c>
      <c r="G240" s="1">
        <v>3.94</v>
      </c>
      <c r="H240" s="1">
        <v>3.21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43741.007789351854</v>
      </c>
      <c r="B241" s="1" t="s">
        <v>2856</v>
      </c>
      <c r="C241" s="1" t="s">
        <v>2782</v>
      </c>
      <c r="D241" s="1"/>
      <c r="E241" s="1" t="s">
        <v>2709</v>
      </c>
      <c r="F241" s="1">
        <v>3.72</v>
      </c>
      <c r="G241" s="1">
        <v>3.94</v>
      </c>
      <c r="H241" s="1">
        <v>3.21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43741.019490740742</v>
      </c>
      <c r="B242" s="1" t="s">
        <v>2856</v>
      </c>
      <c r="C242" s="1" t="s">
        <v>2857</v>
      </c>
      <c r="D242" s="1"/>
      <c r="E242" s="1" t="s">
        <v>2858</v>
      </c>
      <c r="F242" s="1">
        <v>3.72</v>
      </c>
      <c r="G242" s="1">
        <v>3.94</v>
      </c>
      <c r="H242" s="1">
        <v>3.21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43741.019490740742</v>
      </c>
      <c r="B243" s="1" t="s">
        <v>2856</v>
      </c>
      <c r="C243" s="1" t="s">
        <v>2857</v>
      </c>
      <c r="D243" s="1"/>
      <c r="E243" s="1" t="s">
        <v>2858</v>
      </c>
      <c r="F243" s="1">
        <v>3.72</v>
      </c>
      <c r="G243" s="1">
        <v>3.94</v>
      </c>
      <c r="H243" s="1">
        <v>3.21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43741.019502314812</v>
      </c>
      <c r="B244" s="1" t="s">
        <v>2856</v>
      </c>
      <c r="C244" s="1" t="s">
        <v>2857</v>
      </c>
      <c r="D244" s="1"/>
      <c r="E244" s="1" t="s">
        <v>2858</v>
      </c>
      <c r="F244" s="1">
        <v>3.72</v>
      </c>
      <c r="G244" s="1">
        <v>3.94</v>
      </c>
      <c r="H244" s="1">
        <v>3.21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43741.019502314812</v>
      </c>
      <c r="B245" s="1" t="s">
        <v>2856</v>
      </c>
      <c r="C245" s="1" t="s">
        <v>2857</v>
      </c>
      <c r="D245" s="1"/>
      <c r="E245" s="1" t="s">
        <v>2858</v>
      </c>
      <c r="F245" s="1">
        <v>3.72</v>
      </c>
      <c r="G245" s="1">
        <v>3.94</v>
      </c>
      <c r="H245" s="1">
        <v>3.21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43741.019502314812</v>
      </c>
      <c r="B246" s="1" t="s">
        <v>2856</v>
      </c>
      <c r="C246" s="1" t="s">
        <v>2857</v>
      </c>
      <c r="D246" s="1"/>
      <c r="E246" s="1" t="s">
        <v>2858</v>
      </c>
      <c r="F246" s="1">
        <v>3.72</v>
      </c>
      <c r="G246" s="1">
        <v>3.94</v>
      </c>
      <c r="H246" s="1">
        <v>3.21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43741.019513888888</v>
      </c>
      <c r="B247" s="1" t="s">
        <v>2856</v>
      </c>
      <c r="C247" s="1" t="s">
        <v>2857</v>
      </c>
      <c r="D247" s="1"/>
      <c r="E247" s="1" t="s">
        <v>2858</v>
      </c>
      <c r="F247" s="1">
        <v>3.72</v>
      </c>
      <c r="G247" s="1">
        <v>3.94</v>
      </c>
      <c r="H247" s="1">
        <v>3.21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43741.019513888888</v>
      </c>
      <c r="B248" s="1" t="s">
        <v>2856</v>
      </c>
      <c r="C248" s="1" t="s">
        <v>2782</v>
      </c>
      <c r="D248" s="1"/>
      <c r="E248" s="1" t="s">
        <v>2709</v>
      </c>
      <c r="F248" s="1">
        <v>3.72</v>
      </c>
      <c r="G248" s="1">
        <v>3.94</v>
      </c>
      <c r="H248" s="1">
        <v>3.21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43741.020312499997</v>
      </c>
      <c r="B249" s="1" t="s">
        <v>2856</v>
      </c>
      <c r="C249" s="1" t="s">
        <v>2857</v>
      </c>
      <c r="D249" s="1"/>
      <c r="E249" s="1" t="s">
        <v>2865</v>
      </c>
      <c r="F249" s="1">
        <v>3.72</v>
      </c>
      <c r="G249" s="1">
        <v>3.94</v>
      </c>
      <c r="H249" s="1">
        <v>3.21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43741.020312499997</v>
      </c>
      <c r="B250" s="1" t="s">
        <v>2856</v>
      </c>
      <c r="C250" s="1" t="s">
        <v>2857</v>
      </c>
      <c r="D250" s="1"/>
      <c r="E250" s="1" t="s">
        <v>2858</v>
      </c>
      <c r="F250" s="1">
        <v>3.72</v>
      </c>
      <c r="G250" s="1">
        <v>3.94</v>
      </c>
      <c r="H250" s="1">
        <v>3.21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43741.020324074074</v>
      </c>
      <c r="B251" s="1" t="s">
        <v>2856</v>
      </c>
      <c r="C251" s="1" t="s">
        <v>2857</v>
      </c>
      <c r="D251" s="1"/>
      <c r="E251" s="1" t="s">
        <v>2858</v>
      </c>
      <c r="F251" s="1">
        <v>3.72</v>
      </c>
      <c r="G251" s="1">
        <v>3.94</v>
      </c>
      <c r="H251" s="1">
        <v>3.21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43741.020324074074</v>
      </c>
      <c r="B252" s="1" t="s">
        <v>2856</v>
      </c>
      <c r="C252" s="1" t="s">
        <v>2857</v>
      </c>
      <c r="D252" s="1"/>
      <c r="E252" s="1" t="s">
        <v>2858</v>
      </c>
      <c r="F252" s="1">
        <v>3.72</v>
      </c>
      <c r="G252" s="1">
        <v>3.94</v>
      </c>
      <c r="H252" s="1">
        <v>3.21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43741.020335648151</v>
      </c>
      <c r="B253" s="1" t="s">
        <v>2856</v>
      </c>
      <c r="C253" s="1" t="s">
        <v>2857</v>
      </c>
      <c r="D253" s="1"/>
      <c r="E253" s="1" t="s">
        <v>2858</v>
      </c>
      <c r="F253" s="1">
        <v>3.72</v>
      </c>
      <c r="G253" s="1">
        <v>3.94</v>
      </c>
      <c r="H253" s="1">
        <v>3.21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43741.02034722222</v>
      </c>
      <c r="B254" s="1" t="s">
        <v>2856</v>
      </c>
      <c r="C254" s="1" t="s">
        <v>2857</v>
      </c>
      <c r="D254" s="1"/>
      <c r="E254" s="1" t="s">
        <v>2865</v>
      </c>
      <c r="F254" s="1">
        <v>3.72</v>
      </c>
      <c r="G254" s="1">
        <v>3.94</v>
      </c>
      <c r="H254" s="1">
        <v>3.21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43741.020358796297</v>
      </c>
      <c r="B255" s="1" t="s">
        <v>2856</v>
      </c>
      <c r="C255" s="1" t="s">
        <v>2782</v>
      </c>
      <c r="D255" s="1"/>
      <c r="E255" s="1" t="s">
        <v>2709</v>
      </c>
      <c r="F255" s="1">
        <v>3.72</v>
      </c>
      <c r="G255" s="1">
        <v>3.94</v>
      </c>
      <c r="H255" s="1">
        <v>3.21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43741.021261574075</v>
      </c>
      <c r="B256" s="1" t="s">
        <v>2856</v>
      </c>
      <c r="C256" s="1" t="s">
        <v>2701</v>
      </c>
      <c r="D256" s="1" t="s">
        <v>2822</v>
      </c>
      <c r="E256" s="1">
        <v>0</v>
      </c>
      <c r="F256" s="1">
        <v>3.72</v>
      </c>
      <c r="G256" s="1">
        <v>3.94</v>
      </c>
      <c r="H256" s="1">
        <v>3.21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43741.021851851852</v>
      </c>
      <c r="B257" s="1" t="s">
        <v>2856</v>
      </c>
      <c r="C257" s="1" t="s">
        <v>2782</v>
      </c>
      <c r="D257" s="1"/>
      <c r="E257" s="1" t="s">
        <v>2709</v>
      </c>
      <c r="F257" s="1">
        <v>3.72</v>
      </c>
      <c r="G257" s="1">
        <v>3.94</v>
      </c>
      <c r="H257" s="1">
        <v>3.21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43741.021990740737</v>
      </c>
      <c r="B258" s="1" t="s">
        <v>2856</v>
      </c>
      <c r="C258" s="1" t="s">
        <v>2782</v>
      </c>
      <c r="D258" s="1"/>
      <c r="E258" s="1" t="s">
        <v>2709</v>
      </c>
      <c r="F258" s="1">
        <v>3.72</v>
      </c>
      <c r="G258" s="1">
        <v>3.94</v>
      </c>
      <c r="H258" s="1">
        <v>3.21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43741.022060185183</v>
      </c>
      <c r="B259" s="1" t="s">
        <v>2856</v>
      </c>
      <c r="C259" s="1" t="s">
        <v>2783</v>
      </c>
      <c r="D259" s="1" t="s">
        <v>2777</v>
      </c>
      <c r="E259" s="1" t="s">
        <v>2709</v>
      </c>
      <c r="F259" s="1">
        <v>3.72</v>
      </c>
      <c r="G259" s="1">
        <v>3.94</v>
      </c>
      <c r="H259" s="1">
        <v>3.21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43741.02239583333</v>
      </c>
      <c r="B260" s="1" t="s">
        <v>2856</v>
      </c>
      <c r="C260" s="1" t="s">
        <v>2783</v>
      </c>
      <c r="D260" s="1"/>
      <c r="E260" s="1" t="s">
        <v>2709</v>
      </c>
      <c r="F260" s="1">
        <v>3.72</v>
      </c>
      <c r="G260" s="1">
        <v>3.94</v>
      </c>
      <c r="H260" s="1">
        <v>3.21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43741.023333333331</v>
      </c>
      <c r="B261" s="1" t="s">
        <v>2856</v>
      </c>
      <c r="C261" s="1" t="s">
        <v>2783</v>
      </c>
      <c r="D261" s="1" t="s">
        <v>2874</v>
      </c>
      <c r="E261" s="1" t="s">
        <v>2834</v>
      </c>
      <c r="F261" s="1">
        <v>3.72</v>
      </c>
      <c r="G261" s="1">
        <v>3.94</v>
      </c>
      <c r="H261" s="1">
        <v>3.21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43741.023425925923</v>
      </c>
      <c r="B262" s="1" t="s">
        <v>2856</v>
      </c>
      <c r="C262" s="1"/>
      <c r="D262" s="1" t="s">
        <v>2867</v>
      </c>
      <c r="E262" s="1" t="s">
        <v>2875</v>
      </c>
      <c r="F262" s="1">
        <v>3.72</v>
      </c>
      <c r="G262" s="1">
        <v>3.94</v>
      </c>
      <c r="H262" s="1">
        <v>3.21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43741.023425925923</v>
      </c>
      <c r="B263" s="1" t="s">
        <v>2856</v>
      </c>
      <c r="C263" s="1" t="s">
        <v>2885</v>
      </c>
      <c r="D263" s="1" t="s">
        <v>2874</v>
      </c>
      <c r="E263" s="1" t="s">
        <v>2709</v>
      </c>
      <c r="F263" s="1">
        <v>3.72</v>
      </c>
      <c r="G263" s="1">
        <v>3.94</v>
      </c>
      <c r="H263" s="1">
        <v>3.21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0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0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0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0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theme="7" tint="0.39997558519241921"/>
  </sheetPr>
  <dimension ref="A1:V90"/>
  <sheetViews>
    <sheetView zoomScale="85" zoomScaleNormal="85" workbookViewId="0">
      <selection activeCell="G7" sqref="G7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2" ht="15.75" x14ac:dyDescent="0.25">
      <c r="A1" s="59" t="s">
        <v>2635</v>
      </c>
      <c r="B1" s="57" t="s">
        <v>2636</v>
      </c>
      <c r="C1" s="57" t="s">
        <v>2637</v>
      </c>
      <c r="D1" s="57" t="s">
        <v>2638</v>
      </c>
      <c r="E1" s="57" t="s">
        <v>2639</v>
      </c>
      <c r="F1" s="57" t="s">
        <v>2640</v>
      </c>
      <c r="G1" s="57" t="s">
        <v>2641</v>
      </c>
      <c r="H1" s="61" t="s">
        <v>2643</v>
      </c>
      <c r="I1" s="62"/>
      <c r="J1" s="63"/>
      <c r="K1" s="61" t="s">
        <v>2647</v>
      </c>
      <c r="L1" s="62"/>
      <c r="M1" s="62"/>
      <c r="N1" s="62"/>
      <c r="O1" s="62"/>
      <c r="P1" s="62"/>
      <c r="Q1" s="63"/>
      <c r="R1" s="57" t="s">
        <v>2642</v>
      </c>
      <c r="S1" s="61" t="s">
        <v>2655</v>
      </c>
      <c r="T1" s="62"/>
      <c r="U1" s="64"/>
    </row>
    <row r="2" spans="1:22" ht="63" x14ac:dyDescent="0.25">
      <c r="A2" s="60"/>
      <c r="B2" s="58"/>
      <c r="C2" s="58"/>
      <c r="D2" s="58"/>
      <c r="E2" s="58"/>
      <c r="F2" s="58"/>
      <c r="G2" s="58"/>
      <c r="H2" s="55" t="s">
        <v>2644</v>
      </c>
      <c r="I2" s="55" t="s">
        <v>2645</v>
      </c>
      <c r="J2" s="55" t="s">
        <v>2646</v>
      </c>
      <c r="K2" s="55" t="s">
        <v>2648</v>
      </c>
      <c r="L2" s="55" t="s">
        <v>2649</v>
      </c>
      <c r="M2" s="55" t="s">
        <v>2650</v>
      </c>
      <c r="N2" s="55" t="s">
        <v>2651</v>
      </c>
      <c r="O2" s="55" t="s">
        <v>2652</v>
      </c>
      <c r="P2" s="55" t="s">
        <v>2653</v>
      </c>
      <c r="Q2" s="55" t="s">
        <v>2654</v>
      </c>
      <c r="R2" s="58"/>
      <c r="S2" s="55" t="s">
        <v>2656</v>
      </c>
      <c r="T2" s="55" t="s">
        <v>2657</v>
      </c>
      <c r="U2" s="56" t="s">
        <v>2658</v>
      </c>
    </row>
    <row r="3" spans="1:22" ht="15.75" x14ac:dyDescent="0.25">
      <c r="A3" s="27" t="str">
        <f t="shared" ref="A3:A9" si="0">A4</f>
        <v>Пфм1</v>
      </c>
      <c r="B3" s="19" t="s">
        <v>2663</v>
      </c>
      <c r="C3" s="19"/>
      <c r="D3" s="19" t="s">
        <v>2700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26"/>
    </row>
    <row r="4" spans="1:22" ht="15.75" x14ac:dyDescent="0.25">
      <c r="A4" s="27" t="str">
        <f t="shared" si="0"/>
        <v>Пфм1</v>
      </c>
      <c r="B4" s="19" t="s">
        <v>2663</v>
      </c>
      <c r="C4" s="19" t="s">
        <v>2665</v>
      </c>
      <c r="D4" s="19" t="s">
        <v>2702</v>
      </c>
      <c r="E4" s="19">
        <v>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26"/>
    </row>
    <row r="5" spans="1:22" ht="15.75" x14ac:dyDescent="0.25">
      <c r="A5" s="27" t="str">
        <f t="shared" si="0"/>
        <v>Пфм1</v>
      </c>
      <c r="B5" s="19" t="s">
        <v>2663</v>
      </c>
      <c r="C5" s="19"/>
      <c r="D5" s="19" t="s">
        <v>2699</v>
      </c>
      <c r="E5" s="19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26"/>
    </row>
    <row r="6" spans="1:22" ht="15.75" x14ac:dyDescent="0.25">
      <c r="A6" s="27" t="str">
        <f t="shared" si="0"/>
        <v>Пфм1</v>
      </c>
      <c r="B6" s="19" t="s">
        <v>2663</v>
      </c>
      <c r="C6" s="19"/>
      <c r="D6" s="19" t="s">
        <v>2664</v>
      </c>
      <c r="E6" s="19">
        <v>1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26"/>
    </row>
    <row r="7" spans="1:22" ht="15.75" x14ac:dyDescent="0.25">
      <c r="A7" s="27" t="str">
        <f t="shared" si="0"/>
        <v>Пфм1</v>
      </c>
      <c r="B7" s="19" t="s">
        <v>2663</v>
      </c>
      <c r="C7" s="19"/>
      <c r="D7" s="19" t="s">
        <v>2698</v>
      </c>
      <c r="E7" s="19">
        <v>1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26"/>
    </row>
    <row r="8" spans="1:22" ht="15.75" x14ac:dyDescent="0.25">
      <c r="A8" s="27" t="str">
        <f t="shared" si="0"/>
        <v>Пфм1</v>
      </c>
      <c r="B8" s="19" t="s">
        <v>2663</v>
      </c>
      <c r="C8" s="19"/>
      <c r="D8" s="19" t="s">
        <v>2697</v>
      </c>
      <c r="E8" s="19">
        <v>1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26"/>
    </row>
    <row r="9" spans="1:22" ht="15.75" x14ac:dyDescent="0.25">
      <c r="A9" s="27" t="str">
        <f t="shared" si="0"/>
        <v>Пфм1</v>
      </c>
      <c r="B9" s="19" t="s">
        <v>2663</v>
      </c>
      <c r="C9" s="19"/>
      <c r="D9" s="19" t="s">
        <v>2696</v>
      </c>
      <c r="E9" s="19">
        <v>1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26"/>
    </row>
    <row r="10" spans="1:22" ht="31.5" x14ac:dyDescent="0.25">
      <c r="A10" s="25" t="str">
        <f>B10</f>
        <v>Пфм1</v>
      </c>
      <c r="B10" s="24" t="s">
        <v>2695</v>
      </c>
      <c r="C10" s="24"/>
      <c r="D10" s="24" t="s">
        <v>2694</v>
      </c>
      <c r="E10" s="24">
        <v>1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3"/>
    </row>
    <row r="11" spans="1:22" ht="15.75" x14ac:dyDescent="0.25">
      <c r="A11" s="54" t="str">
        <f t="shared" ref="A11:A18" si="1">A10</f>
        <v>Пфм1</v>
      </c>
      <c r="B11" s="55"/>
      <c r="C11" s="20" t="s">
        <v>2662</v>
      </c>
      <c r="D11" s="20" t="str">
        <f>D4</f>
        <v>Бетон В30</v>
      </c>
      <c r="E11" s="20">
        <v>60</v>
      </c>
      <c r="F11" s="19" t="s">
        <v>4</v>
      </c>
      <c r="G11" s="55" t="s">
        <v>3</v>
      </c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6"/>
    </row>
    <row r="12" spans="1:22" ht="15.75" x14ac:dyDescent="0.25">
      <c r="A12" s="54" t="str">
        <f t="shared" si="1"/>
        <v>Пфм1</v>
      </c>
      <c r="B12" s="55">
        <v>2</v>
      </c>
      <c r="C12" s="55" t="s">
        <v>2660</v>
      </c>
      <c r="D12" s="55" t="s">
        <v>2693</v>
      </c>
      <c r="E12" s="55">
        <v>2</v>
      </c>
      <c r="F12" s="19">
        <v>1.208</v>
      </c>
      <c r="G12" s="55" t="s">
        <v>20</v>
      </c>
      <c r="H12" s="55">
        <v>10000</v>
      </c>
      <c r="I12" s="55">
        <v>14</v>
      </c>
      <c r="J12" s="55" t="s">
        <v>2</v>
      </c>
      <c r="K12" s="55"/>
      <c r="L12" s="55"/>
      <c r="M12" s="55"/>
      <c r="N12" s="55"/>
      <c r="O12" s="55"/>
      <c r="P12" s="55"/>
      <c r="Q12" s="55"/>
      <c r="R12" s="55"/>
      <c r="S12" s="55">
        <v>660</v>
      </c>
      <c r="T12" s="55">
        <v>795</v>
      </c>
      <c r="U12" s="56">
        <v>35</v>
      </c>
      <c r="V12">
        <v>2</v>
      </c>
    </row>
    <row r="13" spans="1:22" ht="15.75" x14ac:dyDescent="0.25">
      <c r="A13" s="54" t="str">
        <f t="shared" si="1"/>
        <v>Пфм1</v>
      </c>
      <c r="B13" s="55">
        <v>1</v>
      </c>
      <c r="C13" s="55" t="s">
        <v>2660</v>
      </c>
      <c r="D13" s="55" t="s">
        <v>2692</v>
      </c>
      <c r="E13" s="55">
        <v>2</v>
      </c>
      <c r="F13" s="19">
        <v>1.998</v>
      </c>
      <c r="G13" s="55" t="s">
        <v>20</v>
      </c>
      <c r="H13" s="55">
        <v>1000</v>
      </c>
      <c r="I13" s="55">
        <v>18</v>
      </c>
      <c r="J13" s="55" t="s">
        <v>2</v>
      </c>
      <c r="K13" s="55"/>
      <c r="L13" s="55"/>
      <c r="M13" s="55"/>
      <c r="N13" s="55"/>
      <c r="O13" s="55"/>
      <c r="P13" s="55"/>
      <c r="Q13" s="55"/>
      <c r="R13" s="55"/>
      <c r="S13" s="55">
        <v>850</v>
      </c>
      <c r="T13" s="55">
        <v>1020</v>
      </c>
      <c r="U13" s="56">
        <v>45</v>
      </c>
      <c r="V13">
        <v>1</v>
      </c>
    </row>
    <row r="14" spans="1:22" ht="15.75" x14ac:dyDescent="0.25">
      <c r="A14" s="54" t="str">
        <f>A13</f>
        <v>Пфм1</v>
      </c>
      <c r="B14" s="55">
        <v>10</v>
      </c>
      <c r="C14" s="55" t="s">
        <v>2660</v>
      </c>
      <c r="D14" s="55" t="s">
        <v>2691</v>
      </c>
      <c r="E14" s="55">
        <f>ROUNDUP(E5/200,0)</f>
        <v>1</v>
      </c>
      <c r="F14" s="19">
        <v>4.8339999999999996</v>
      </c>
      <c r="G14" s="55"/>
      <c r="H14" s="55">
        <f>Арм_Элемент_П(S14,E7,I14,J14)</f>
        <v>2540</v>
      </c>
      <c r="I14" s="55">
        <v>28</v>
      </c>
      <c r="J14" s="55" t="s">
        <v>2</v>
      </c>
      <c r="K14" s="55"/>
      <c r="L14" s="55"/>
      <c r="M14" s="55"/>
      <c r="N14" s="55"/>
      <c r="O14" s="55"/>
      <c r="P14" s="55"/>
      <c r="Q14" s="55"/>
      <c r="R14" s="55"/>
      <c r="S14" s="55">
        <v>1320</v>
      </c>
      <c r="T14" s="55">
        <v>1585</v>
      </c>
      <c r="U14" s="56">
        <v>112</v>
      </c>
      <c r="V14">
        <v>10</v>
      </c>
    </row>
    <row r="15" spans="1:22" ht="15.75" x14ac:dyDescent="0.25">
      <c r="A15" s="54" t="str">
        <f t="shared" si="1"/>
        <v>Пфм1</v>
      </c>
      <c r="B15" s="55">
        <v>8</v>
      </c>
      <c r="C15" s="55" t="s">
        <v>2660</v>
      </c>
      <c r="D15" s="55" t="s">
        <v>2690</v>
      </c>
      <c r="E15" s="55">
        <f>ROUNDUP(E8/200,0)</f>
        <v>1</v>
      </c>
      <c r="F15" s="19">
        <v>6.3129999999999997</v>
      </c>
      <c r="G15" s="55"/>
      <c r="H15" s="55">
        <f>Арм_Элемент_П(S15,E7,I15,J15)</f>
        <v>2900</v>
      </c>
      <c r="I15" s="55">
        <v>32</v>
      </c>
      <c r="J15" s="55" t="s">
        <v>2</v>
      </c>
      <c r="K15" s="55"/>
      <c r="L15" s="55"/>
      <c r="M15" s="55"/>
      <c r="N15" s="55"/>
      <c r="O15" s="55"/>
      <c r="P15" s="55"/>
      <c r="Q15" s="55"/>
      <c r="R15" s="55"/>
      <c r="S15" s="55">
        <v>1510</v>
      </c>
      <c r="T15" s="55">
        <v>1810</v>
      </c>
      <c r="U15" s="56">
        <v>128</v>
      </c>
      <c r="V15">
        <v>8</v>
      </c>
    </row>
    <row r="16" spans="1:22" ht="15.75" x14ac:dyDescent="0.25">
      <c r="A16" s="54" t="str">
        <f>A14</f>
        <v>Пфм1</v>
      </c>
      <c r="B16" s="21" t="str">
        <f>Изделия_спец.И!$B$15</f>
        <v>Кр3</v>
      </c>
      <c r="C16" s="21" t="str">
        <f>Изделия_спец.И!$C$15</f>
        <v>данный лист</v>
      </c>
      <c r="D16" s="21" t="str">
        <f>Изделия_спец.И!$D$15</f>
        <v>Каркас Кр3</v>
      </c>
      <c r="E16" s="21"/>
      <c r="F16" s="19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6"/>
    </row>
    <row r="17" spans="1:22" ht="15.75" x14ac:dyDescent="0.25">
      <c r="A17" s="54" t="str">
        <f>A15</f>
        <v>Пфм1</v>
      </c>
      <c r="B17" s="55">
        <v>16</v>
      </c>
      <c r="C17" s="55" t="s">
        <v>2660</v>
      </c>
      <c r="D17" s="55" t="s">
        <v>2689</v>
      </c>
      <c r="E17" s="55">
        <f>1964+3132</f>
        <v>5096</v>
      </c>
      <c r="F17" s="19">
        <v>1.208</v>
      </c>
      <c r="G17" s="55"/>
      <c r="H17" s="55">
        <f>4260</f>
        <v>4260</v>
      </c>
      <c r="I17" s="55">
        <v>14</v>
      </c>
      <c r="J17" s="55" t="s">
        <v>2</v>
      </c>
      <c r="K17" s="55"/>
      <c r="L17" s="55"/>
      <c r="M17" s="55"/>
      <c r="N17" s="55"/>
      <c r="O17" s="55"/>
      <c r="P17" s="55"/>
      <c r="Q17" s="55"/>
      <c r="R17" s="55"/>
      <c r="S17" s="55">
        <v>660</v>
      </c>
      <c r="T17" s="55">
        <v>795</v>
      </c>
      <c r="U17" s="56">
        <v>35</v>
      </c>
      <c r="V17">
        <v>16</v>
      </c>
    </row>
    <row r="18" spans="1:22" ht="31.5" x14ac:dyDescent="0.25">
      <c r="A18" s="54" t="str">
        <f t="shared" si="1"/>
        <v>Пфм1</v>
      </c>
      <c r="B18" s="55" t="s">
        <v>2843</v>
      </c>
      <c r="C18" s="55" t="s">
        <v>2688</v>
      </c>
      <c r="D18" s="55" t="s">
        <v>2687</v>
      </c>
      <c r="E18" s="55">
        <v>12</v>
      </c>
      <c r="F18" s="55">
        <v>20.3</v>
      </c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6"/>
    </row>
    <row r="19" spans="1:22" ht="16.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2" ht="16.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2" ht="16.5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1:22" ht="31.5" x14ac:dyDescent="0.25">
      <c r="A22" s="27" t="s">
        <v>2663</v>
      </c>
      <c r="B22" s="19" t="s">
        <v>2663</v>
      </c>
      <c r="C22" s="19" t="s">
        <v>2710</v>
      </c>
      <c r="D22" s="19" t="s">
        <v>2711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6"/>
    </row>
    <row r="23" spans="1:22" ht="16.5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1:22" ht="16.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2" ht="15.75" x14ac:dyDescent="0.25">
      <c r="A25" s="27" t="s">
        <v>2695</v>
      </c>
      <c r="B25" s="19" t="s">
        <v>2663</v>
      </c>
      <c r="C25" s="19" t="s">
        <v>2712</v>
      </c>
      <c r="D25" s="19" t="s">
        <v>2823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6"/>
    </row>
    <row r="26" spans="1:22" ht="15.75" x14ac:dyDescent="0.25">
      <c r="A26" s="31" t="s">
        <v>2695</v>
      </c>
      <c r="B26" s="32">
        <v>25</v>
      </c>
      <c r="C26" s="32" t="s">
        <v>2660</v>
      </c>
      <c r="D26" s="32" t="s">
        <v>2713</v>
      </c>
      <c r="E26" s="32">
        <v>32</v>
      </c>
      <c r="F26" s="32">
        <v>1.998</v>
      </c>
      <c r="G26" s="32"/>
      <c r="H26" s="32">
        <v>1850</v>
      </c>
      <c r="I26" s="32">
        <v>18</v>
      </c>
      <c r="J26" s="32" t="s">
        <v>2</v>
      </c>
      <c r="K26" s="32"/>
      <c r="L26" s="32"/>
      <c r="M26" s="32"/>
      <c r="N26" s="32"/>
      <c r="O26" s="32"/>
      <c r="P26" s="32"/>
      <c r="Q26" s="32"/>
      <c r="R26" s="32"/>
      <c r="S26" s="32">
        <v>850</v>
      </c>
      <c r="T26" s="32">
        <v>1020</v>
      </c>
      <c r="U26" s="33">
        <v>45</v>
      </c>
    </row>
    <row r="27" spans="1:22" ht="15.75" x14ac:dyDescent="0.25">
      <c r="A27" s="31" t="s">
        <v>2695</v>
      </c>
      <c r="B27" s="32"/>
      <c r="C27" s="32" t="s">
        <v>2660</v>
      </c>
      <c r="D27" s="32" t="s">
        <v>2714</v>
      </c>
      <c r="E27" s="32">
        <v>34</v>
      </c>
      <c r="F27" s="32">
        <v>0.88800000000000001</v>
      </c>
      <c r="G27" s="32"/>
      <c r="H27" s="32">
        <v>5150</v>
      </c>
      <c r="I27" s="32">
        <v>12</v>
      </c>
      <c r="J27" s="32" t="s">
        <v>2</v>
      </c>
      <c r="K27" s="32"/>
      <c r="L27" s="32"/>
      <c r="M27" s="32"/>
      <c r="N27" s="32"/>
      <c r="O27" s="32"/>
      <c r="P27" s="32"/>
      <c r="Q27" s="32"/>
      <c r="R27" s="32"/>
      <c r="S27" s="32">
        <v>570</v>
      </c>
      <c r="T27" s="32">
        <v>680</v>
      </c>
      <c r="U27" s="33">
        <v>30</v>
      </c>
    </row>
    <row r="28" spans="1:22" ht="15.75" x14ac:dyDescent="0.25">
      <c r="A28" s="31" t="s">
        <v>2695</v>
      </c>
      <c r="B28" s="32"/>
      <c r="C28" s="32" t="s">
        <v>2660</v>
      </c>
      <c r="D28" s="32" t="s">
        <v>2715</v>
      </c>
      <c r="E28" s="32">
        <v>6</v>
      </c>
      <c r="F28" s="32">
        <v>4.8339999999999996</v>
      </c>
      <c r="G28" s="32"/>
      <c r="H28" s="32">
        <v>5450</v>
      </c>
      <c r="I28" s="32">
        <v>28</v>
      </c>
      <c r="J28" s="32" t="s">
        <v>2</v>
      </c>
      <c r="K28" s="32"/>
      <c r="L28" s="32"/>
      <c r="M28" s="32"/>
      <c r="N28" s="32"/>
      <c r="O28" s="32"/>
      <c r="P28" s="32"/>
      <c r="Q28" s="32"/>
      <c r="R28" s="32"/>
      <c r="S28" s="32">
        <v>1320</v>
      </c>
      <c r="T28" s="32">
        <v>1585</v>
      </c>
      <c r="U28" s="33">
        <v>112</v>
      </c>
    </row>
    <row r="29" spans="1:22" ht="15.75" x14ac:dyDescent="0.25">
      <c r="A29" s="31" t="s">
        <v>2695</v>
      </c>
      <c r="B29" s="32"/>
      <c r="C29" s="32" t="s">
        <v>2660</v>
      </c>
      <c r="D29" s="32" t="s">
        <v>2716</v>
      </c>
      <c r="E29" s="32">
        <v>7</v>
      </c>
      <c r="F29" s="32">
        <v>0.88800000000000001</v>
      </c>
      <c r="G29" s="32" t="s">
        <v>20</v>
      </c>
      <c r="H29" s="32">
        <f>Арм_Длина_ПМ(27000,T29,11700)</f>
        <v>29040</v>
      </c>
      <c r="I29" s="32">
        <v>12</v>
      </c>
      <c r="J29" s="32" t="s">
        <v>2</v>
      </c>
      <c r="K29" s="32"/>
      <c r="L29" s="32"/>
      <c r="M29" s="32"/>
      <c r="N29" s="32"/>
      <c r="O29" s="32"/>
      <c r="P29" s="32"/>
      <c r="Q29" s="32"/>
      <c r="R29" s="32"/>
      <c r="S29" s="32">
        <v>570</v>
      </c>
      <c r="T29" s="32">
        <v>680</v>
      </c>
      <c r="U29" s="33">
        <v>30</v>
      </c>
    </row>
    <row r="30" spans="1:22" ht="15.75" x14ac:dyDescent="0.25">
      <c r="A30" s="31" t="s">
        <v>2695</v>
      </c>
      <c r="B30" s="32"/>
      <c r="C30" s="32" t="s">
        <v>2660</v>
      </c>
      <c r="D30" s="32" t="s">
        <v>2717</v>
      </c>
      <c r="E30" s="32">
        <v>64</v>
      </c>
      <c r="F30" s="32">
        <v>0.88800000000000001</v>
      </c>
      <c r="G30" s="32" t="s">
        <v>20</v>
      </c>
      <c r="H30" s="32">
        <f>Арм_Длина_ПМ(31500,T30,11700)</f>
        <v>33540</v>
      </c>
      <c r="I30" s="32">
        <v>12</v>
      </c>
      <c r="J30" s="32" t="s">
        <v>2</v>
      </c>
      <c r="K30" s="32"/>
      <c r="L30" s="32"/>
      <c r="M30" s="32"/>
      <c r="N30" s="32"/>
      <c r="O30" s="32"/>
      <c r="P30" s="32"/>
      <c r="Q30" s="32"/>
      <c r="R30" s="32"/>
      <c r="S30" s="32">
        <v>570</v>
      </c>
      <c r="T30" s="32">
        <v>680</v>
      </c>
      <c r="U30" s="33">
        <v>30</v>
      </c>
    </row>
    <row r="31" spans="1:22" ht="15.75" x14ac:dyDescent="0.25">
      <c r="A31" s="31" t="s">
        <v>2695</v>
      </c>
      <c r="B31" s="32"/>
      <c r="C31" s="32" t="s">
        <v>2660</v>
      </c>
      <c r="D31" s="32" t="s">
        <v>2718</v>
      </c>
      <c r="E31" s="32">
        <v>19</v>
      </c>
      <c r="F31" s="32">
        <v>0.88800000000000001</v>
      </c>
      <c r="G31" s="32"/>
      <c r="H31" s="32">
        <v>4800</v>
      </c>
      <c r="I31" s="32">
        <v>12</v>
      </c>
      <c r="J31" s="32" t="s">
        <v>2</v>
      </c>
      <c r="K31" s="32"/>
      <c r="L31" s="32"/>
      <c r="M31" s="32"/>
      <c r="N31" s="32"/>
      <c r="O31" s="32"/>
      <c r="P31" s="32"/>
      <c r="Q31" s="32"/>
      <c r="R31" s="32"/>
      <c r="S31" s="32">
        <v>570</v>
      </c>
      <c r="T31" s="32">
        <v>680</v>
      </c>
      <c r="U31" s="33">
        <v>30</v>
      </c>
    </row>
    <row r="32" spans="1:22" ht="15.75" x14ac:dyDescent="0.25">
      <c r="A32" s="31" t="s">
        <v>2695</v>
      </c>
      <c r="B32" s="32"/>
      <c r="C32" s="32" t="s">
        <v>2660</v>
      </c>
      <c r="D32" s="32" t="s">
        <v>2719</v>
      </c>
      <c r="E32" s="32">
        <v>6</v>
      </c>
      <c r="F32" s="32">
        <v>0.88800000000000001</v>
      </c>
      <c r="G32" s="32"/>
      <c r="H32" s="32">
        <v>2300</v>
      </c>
      <c r="I32" s="32">
        <v>12</v>
      </c>
      <c r="J32" s="32" t="s">
        <v>2</v>
      </c>
      <c r="K32" s="32"/>
      <c r="L32" s="32"/>
      <c r="M32" s="32"/>
      <c r="N32" s="32"/>
      <c r="O32" s="32"/>
      <c r="P32" s="32"/>
      <c r="Q32" s="32"/>
      <c r="R32" s="32"/>
      <c r="S32" s="32">
        <v>570</v>
      </c>
      <c r="T32" s="32">
        <v>680</v>
      </c>
      <c r="U32" s="33">
        <v>30</v>
      </c>
    </row>
    <row r="33" spans="1:21" ht="15.75" x14ac:dyDescent="0.25">
      <c r="A33" s="31" t="s">
        <v>2695</v>
      </c>
      <c r="B33" s="32"/>
      <c r="C33" s="32" t="s">
        <v>2660</v>
      </c>
      <c r="D33" s="32" t="s">
        <v>2720</v>
      </c>
      <c r="E33" s="32">
        <v>37</v>
      </c>
      <c r="F33" s="32">
        <v>0.88800000000000001</v>
      </c>
      <c r="G33" s="32"/>
      <c r="H33" s="32">
        <v>2850</v>
      </c>
      <c r="I33" s="32">
        <v>12</v>
      </c>
      <c r="J33" s="32" t="s">
        <v>2</v>
      </c>
      <c r="K33" s="32"/>
      <c r="L33" s="32"/>
      <c r="M33" s="32"/>
      <c r="N33" s="32"/>
      <c r="O33" s="32"/>
      <c r="P33" s="32"/>
      <c r="Q33" s="32"/>
      <c r="R33" s="32"/>
      <c r="S33" s="32">
        <v>570</v>
      </c>
      <c r="T33" s="32">
        <v>680</v>
      </c>
      <c r="U33" s="33">
        <v>30</v>
      </c>
    </row>
    <row r="34" spans="1:21" ht="15.75" x14ac:dyDescent="0.25">
      <c r="A34" s="31" t="s">
        <v>2695</v>
      </c>
      <c r="B34" s="32"/>
      <c r="C34" s="32" t="s">
        <v>2660</v>
      </c>
      <c r="D34" s="32" t="s">
        <v>2721</v>
      </c>
      <c r="E34" s="32">
        <v>37</v>
      </c>
      <c r="F34" s="32">
        <v>0.88800000000000001</v>
      </c>
      <c r="G34" s="32"/>
      <c r="H34" s="32">
        <v>2850</v>
      </c>
      <c r="I34" s="32">
        <v>12</v>
      </c>
      <c r="J34" s="32" t="s">
        <v>2</v>
      </c>
      <c r="K34" s="32"/>
      <c r="L34" s="32"/>
      <c r="M34" s="32"/>
      <c r="N34" s="32"/>
      <c r="O34" s="32"/>
      <c r="P34" s="32"/>
      <c r="Q34" s="32"/>
      <c r="R34" s="32"/>
      <c r="S34" s="32">
        <v>570</v>
      </c>
      <c r="T34" s="32">
        <v>680</v>
      </c>
      <c r="U34" s="33">
        <v>30</v>
      </c>
    </row>
    <row r="35" spans="1:21" ht="15.75" x14ac:dyDescent="0.25">
      <c r="A35" s="31" t="s">
        <v>2695</v>
      </c>
      <c r="B35" s="32"/>
      <c r="C35" s="32" t="s">
        <v>2660</v>
      </c>
      <c r="D35" s="32" t="s">
        <v>2722</v>
      </c>
      <c r="E35" s="32">
        <v>19</v>
      </c>
      <c r="F35" s="32">
        <v>0.88800000000000001</v>
      </c>
      <c r="G35" s="32"/>
      <c r="H35" s="32">
        <v>4800</v>
      </c>
      <c r="I35" s="32">
        <v>12</v>
      </c>
      <c r="J35" s="32" t="s">
        <v>2</v>
      </c>
      <c r="K35" s="32"/>
      <c r="L35" s="32"/>
      <c r="M35" s="32"/>
      <c r="N35" s="32"/>
      <c r="O35" s="32"/>
      <c r="P35" s="32"/>
      <c r="Q35" s="32"/>
      <c r="R35" s="32"/>
      <c r="S35" s="32">
        <v>570</v>
      </c>
      <c r="T35" s="32">
        <v>680</v>
      </c>
      <c r="U35" s="33">
        <v>30</v>
      </c>
    </row>
    <row r="36" spans="1:21" ht="15.75" x14ac:dyDescent="0.25">
      <c r="A36" s="31" t="s">
        <v>2695</v>
      </c>
      <c r="B36" s="32"/>
      <c r="C36" s="32" t="s">
        <v>2660</v>
      </c>
      <c r="D36" s="32" t="s">
        <v>2723</v>
      </c>
      <c r="E36" s="32">
        <v>7</v>
      </c>
      <c r="F36" s="32">
        <v>6.3129999999999997</v>
      </c>
      <c r="G36" s="32"/>
      <c r="H36" s="32">
        <v>6650</v>
      </c>
      <c r="I36" s="32">
        <v>32</v>
      </c>
      <c r="J36" s="32" t="s">
        <v>2</v>
      </c>
      <c r="K36" s="32"/>
      <c r="L36" s="32"/>
      <c r="M36" s="32"/>
      <c r="N36" s="32"/>
      <c r="O36" s="32"/>
      <c r="P36" s="32"/>
      <c r="Q36" s="32"/>
      <c r="R36" s="32"/>
      <c r="S36" s="32">
        <v>1510</v>
      </c>
      <c r="T36" s="32">
        <v>1810</v>
      </c>
      <c r="U36" s="33">
        <v>128</v>
      </c>
    </row>
    <row r="37" spans="1:21" ht="15.75" x14ac:dyDescent="0.25">
      <c r="A37" s="31" t="s">
        <v>2695</v>
      </c>
      <c r="B37" s="32"/>
      <c r="C37" s="32" t="s">
        <v>2660</v>
      </c>
      <c r="D37" s="32" t="s">
        <v>2724</v>
      </c>
      <c r="E37" s="32">
        <v>9</v>
      </c>
      <c r="F37" s="32">
        <v>1.998</v>
      </c>
      <c r="G37" s="32"/>
      <c r="H37" s="32">
        <v>2600</v>
      </c>
      <c r="I37" s="32">
        <v>18</v>
      </c>
      <c r="J37" s="32" t="s">
        <v>2</v>
      </c>
      <c r="K37" s="32"/>
      <c r="L37" s="32"/>
      <c r="M37" s="32"/>
      <c r="N37" s="32"/>
      <c r="O37" s="32"/>
      <c r="P37" s="32"/>
      <c r="Q37" s="32"/>
      <c r="R37" s="32"/>
      <c r="S37" s="32">
        <v>850</v>
      </c>
      <c r="T37" s="32">
        <v>1020</v>
      </c>
      <c r="U37" s="33">
        <v>45</v>
      </c>
    </row>
    <row r="38" spans="1:21" ht="15.75" x14ac:dyDescent="0.25">
      <c r="A38" s="31" t="s">
        <v>2695</v>
      </c>
      <c r="B38" s="32"/>
      <c r="C38" s="32" t="s">
        <v>2660</v>
      </c>
      <c r="D38" s="32" t="s">
        <v>2725</v>
      </c>
      <c r="E38" s="32">
        <v>7</v>
      </c>
      <c r="F38" s="32">
        <v>6.3129999999999997</v>
      </c>
      <c r="G38" s="32"/>
      <c r="H38" s="32">
        <v>6000</v>
      </c>
      <c r="I38" s="32">
        <v>32</v>
      </c>
      <c r="J38" s="32" t="s">
        <v>2</v>
      </c>
      <c r="K38" s="32"/>
      <c r="L38" s="32"/>
      <c r="M38" s="32"/>
      <c r="N38" s="32"/>
      <c r="O38" s="32"/>
      <c r="P38" s="32"/>
      <c r="Q38" s="32"/>
      <c r="R38" s="32"/>
      <c r="S38" s="32">
        <v>1510</v>
      </c>
      <c r="T38" s="32">
        <v>1810</v>
      </c>
      <c r="U38" s="33">
        <v>128</v>
      </c>
    </row>
    <row r="39" spans="1:21" ht="15.75" x14ac:dyDescent="0.25">
      <c r="A39" s="31" t="s">
        <v>2695</v>
      </c>
      <c r="B39" s="32"/>
      <c r="C39" s="32" t="s">
        <v>2660</v>
      </c>
      <c r="D39" s="32" t="s">
        <v>2726</v>
      </c>
      <c r="E39" s="32">
        <v>4</v>
      </c>
      <c r="F39" s="32">
        <v>1.998</v>
      </c>
      <c r="G39" s="32"/>
      <c r="H39" s="32">
        <v>2250</v>
      </c>
      <c r="I39" s="32">
        <v>18</v>
      </c>
      <c r="J39" s="32" t="s">
        <v>2</v>
      </c>
      <c r="K39" s="32"/>
      <c r="L39" s="32"/>
      <c r="M39" s="32"/>
      <c r="N39" s="32"/>
      <c r="O39" s="32"/>
      <c r="P39" s="32"/>
      <c r="Q39" s="32"/>
      <c r="R39" s="32"/>
      <c r="S39" s="32">
        <v>850</v>
      </c>
      <c r="T39" s="32">
        <v>1020</v>
      </c>
      <c r="U39" s="33">
        <v>45</v>
      </c>
    </row>
    <row r="40" spans="1:21" ht="15.75" x14ac:dyDescent="0.25">
      <c r="A40" s="31" t="s">
        <v>2695</v>
      </c>
      <c r="B40" s="32"/>
      <c r="C40" s="32" t="s">
        <v>2660</v>
      </c>
      <c r="D40" s="32" t="s">
        <v>2727</v>
      </c>
      <c r="E40" s="32">
        <v>19</v>
      </c>
      <c r="F40" s="32">
        <v>0.88800000000000001</v>
      </c>
      <c r="G40" s="32"/>
      <c r="H40" s="32">
        <v>5500</v>
      </c>
      <c r="I40" s="32">
        <v>12</v>
      </c>
      <c r="J40" s="32" t="s">
        <v>2</v>
      </c>
      <c r="K40" s="32"/>
      <c r="L40" s="32"/>
      <c r="M40" s="32"/>
      <c r="N40" s="32"/>
      <c r="O40" s="32"/>
      <c r="P40" s="32"/>
      <c r="Q40" s="32"/>
      <c r="R40" s="32"/>
      <c r="S40" s="32">
        <v>570</v>
      </c>
      <c r="T40" s="32">
        <v>680</v>
      </c>
      <c r="U40" s="33">
        <v>30</v>
      </c>
    </row>
    <row r="41" spans="1:21" ht="15.75" x14ac:dyDescent="0.25">
      <c r="A41" s="31" t="s">
        <v>2695</v>
      </c>
      <c r="B41" s="32"/>
      <c r="C41" s="32" t="s">
        <v>2660</v>
      </c>
      <c r="D41" s="32" t="s">
        <v>2728</v>
      </c>
      <c r="E41" s="32">
        <v>24</v>
      </c>
      <c r="F41" s="32">
        <v>0.88800000000000001</v>
      </c>
      <c r="G41" s="32"/>
      <c r="H41" s="32">
        <v>10100</v>
      </c>
      <c r="I41" s="32">
        <v>12</v>
      </c>
      <c r="J41" s="32" t="s">
        <v>2</v>
      </c>
      <c r="K41" s="32"/>
      <c r="L41" s="32"/>
      <c r="M41" s="32"/>
      <c r="N41" s="32"/>
      <c r="O41" s="32"/>
      <c r="P41" s="32"/>
      <c r="Q41" s="32"/>
      <c r="R41" s="32"/>
      <c r="S41" s="32">
        <v>570</v>
      </c>
      <c r="T41" s="32">
        <v>680</v>
      </c>
      <c r="U41" s="33">
        <v>30</v>
      </c>
    </row>
    <row r="42" spans="1:21" ht="15.75" x14ac:dyDescent="0.25">
      <c r="A42" s="31" t="s">
        <v>2695</v>
      </c>
      <c r="B42" s="32"/>
      <c r="C42" s="32" t="s">
        <v>2660</v>
      </c>
      <c r="D42" s="32" t="s">
        <v>2729</v>
      </c>
      <c r="E42" s="32">
        <v>13</v>
      </c>
      <c r="F42" s="32">
        <v>0.88800000000000001</v>
      </c>
      <c r="G42" s="32"/>
      <c r="H42" s="32">
        <v>3050</v>
      </c>
      <c r="I42" s="32">
        <v>12</v>
      </c>
      <c r="J42" s="32" t="s">
        <v>2</v>
      </c>
      <c r="K42" s="32"/>
      <c r="L42" s="32"/>
      <c r="M42" s="32"/>
      <c r="N42" s="32"/>
      <c r="O42" s="32"/>
      <c r="P42" s="32"/>
      <c r="Q42" s="32"/>
      <c r="R42" s="32"/>
      <c r="S42" s="32">
        <v>570</v>
      </c>
      <c r="T42" s="32">
        <v>680</v>
      </c>
      <c r="U42" s="33">
        <v>30</v>
      </c>
    </row>
    <row r="43" spans="1:21" ht="15.75" x14ac:dyDescent="0.25">
      <c r="A43" s="31" t="s">
        <v>2695</v>
      </c>
      <c r="B43" s="32"/>
      <c r="C43" s="32" t="s">
        <v>2660</v>
      </c>
      <c r="D43" s="32" t="s">
        <v>2730</v>
      </c>
      <c r="E43" s="32">
        <v>19</v>
      </c>
      <c r="F43" s="32">
        <v>0.88800000000000001</v>
      </c>
      <c r="G43" s="32" t="s">
        <v>20</v>
      </c>
      <c r="H43" s="32">
        <f>Арм_Длина_ПМ(31500,T43,11700)</f>
        <v>33540</v>
      </c>
      <c r="I43" s="32">
        <v>12</v>
      </c>
      <c r="J43" s="32" t="s">
        <v>2</v>
      </c>
      <c r="K43" s="32"/>
      <c r="L43" s="32"/>
      <c r="M43" s="32"/>
      <c r="N43" s="32"/>
      <c r="O43" s="32"/>
      <c r="P43" s="32"/>
      <c r="Q43" s="32"/>
      <c r="R43" s="32"/>
      <c r="S43" s="32">
        <v>570</v>
      </c>
      <c r="T43" s="32">
        <v>680</v>
      </c>
      <c r="U43" s="33">
        <v>30</v>
      </c>
    </row>
    <row r="44" spans="1:21" ht="15.75" x14ac:dyDescent="0.25">
      <c r="A44" s="31" t="s">
        <v>2695</v>
      </c>
      <c r="B44" s="32"/>
      <c r="C44" s="32" t="s">
        <v>2660</v>
      </c>
      <c r="D44" s="32" t="s">
        <v>2731</v>
      </c>
      <c r="E44" s="32">
        <v>24</v>
      </c>
      <c r="F44" s="32">
        <v>0.88800000000000001</v>
      </c>
      <c r="G44" s="32"/>
      <c r="H44" s="32">
        <v>7150</v>
      </c>
      <c r="I44" s="32">
        <v>12</v>
      </c>
      <c r="J44" s="32" t="s">
        <v>2</v>
      </c>
      <c r="K44" s="32"/>
      <c r="L44" s="32"/>
      <c r="M44" s="32"/>
      <c r="N44" s="32"/>
      <c r="O44" s="32"/>
      <c r="P44" s="32"/>
      <c r="Q44" s="32"/>
      <c r="R44" s="32"/>
      <c r="S44" s="32">
        <v>570</v>
      </c>
      <c r="T44" s="32">
        <v>680</v>
      </c>
      <c r="U44" s="33">
        <v>30</v>
      </c>
    </row>
    <row r="45" spans="1:21" ht="15.75" x14ac:dyDescent="0.25">
      <c r="A45" s="31" t="s">
        <v>2695</v>
      </c>
      <c r="B45" s="32"/>
      <c r="C45" s="32" t="s">
        <v>2660</v>
      </c>
      <c r="D45" s="32" t="s">
        <v>2732</v>
      </c>
      <c r="E45" s="32">
        <v>24</v>
      </c>
      <c r="F45" s="32">
        <v>0.88800000000000001</v>
      </c>
      <c r="G45" s="32"/>
      <c r="H45" s="32">
        <v>1500</v>
      </c>
      <c r="I45" s="32">
        <v>12</v>
      </c>
      <c r="J45" s="32" t="s">
        <v>2</v>
      </c>
      <c r="K45" s="32"/>
      <c r="L45" s="32"/>
      <c r="M45" s="32"/>
      <c r="N45" s="32"/>
      <c r="O45" s="32"/>
      <c r="P45" s="32"/>
      <c r="Q45" s="32"/>
      <c r="R45" s="32"/>
      <c r="S45" s="32">
        <v>570</v>
      </c>
      <c r="T45" s="32">
        <v>680</v>
      </c>
      <c r="U45" s="33">
        <v>30</v>
      </c>
    </row>
    <row r="46" spans="1:21" ht="15.75" x14ac:dyDescent="0.25">
      <c r="A46" s="31" t="s">
        <v>2695</v>
      </c>
      <c r="B46" s="32"/>
      <c r="C46" s="32" t="s">
        <v>2660</v>
      </c>
      <c r="D46" s="32" t="s">
        <v>2733</v>
      </c>
      <c r="E46" s="32">
        <v>24</v>
      </c>
      <c r="F46" s="32">
        <v>0.88800000000000001</v>
      </c>
      <c r="G46" s="32"/>
      <c r="H46" s="32">
        <v>1500</v>
      </c>
      <c r="I46" s="32">
        <v>12</v>
      </c>
      <c r="J46" s="32" t="s">
        <v>2</v>
      </c>
      <c r="K46" s="32"/>
      <c r="L46" s="32"/>
      <c r="M46" s="32"/>
      <c r="N46" s="32"/>
      <c r="O46" s="32"/>
      <c r="P46" s="32"/>
      <c r="Q46" s="32"/>
      <c r="R46" s="32"/>
      <c r="S46" s="32">
        <v>570</v>
      </c>
      <c r="T46" s="32">
        <v>680</v>
      </c>
      <c r="U46" s="33">
        <v>30</v>
      </c>
    </row>
    <row r="47" spans="1:21" ht="15.75" x14ac:dyDescent="0.25">
      <c r="A47" s="31" t="s">
        <v>2695</v>
      </c>
      <c r="B47" s="32"/>
      <c r="C47" s="32" t="s">
        <v>2660</v>
      </c>
      <c r="D47" s="32" t="s">
        <v>2734</v>
      </c>
      <c r="E47" s="32">
        <v>24</v>
      </c>
      <c r="F47" s="32">
        <v>0.88800000000000001</v>
      </c>
      <c r="G47" s="32"/>
      <c r="H47" s="32">
        <v>1500</v>
      </c>
      <c r="I47" s="32">
        <v>12</v>
      </c>
      <c r="J47" s="32" t="s">
        <v>2</v>
      </c>
      <c r="K47" s="32"/>
      <c r="L47" s="32"/>
      <c r="M47" s="32"/>
      <c r="N47" s="32"/>
      <c r="O47" s="32"/>
      <c r="P47" s="32"/>
      <c r="Q47" s="32"/>
      <c r="R47" s="32"/>
      <c r="S47" s="32">
        <v>570</v>
      </c>
      <c r="T47" s="32">
        <v>680</v>
      </c>
      <c r="U47" s="33">
        <v>30</v>
      </c>
    </row>
    <row r="48" spans="1:21" ht="15.75" x14ac:dyDescent="0.25">
      <c r="A48" s="31" t="s">
        <v>2695</v>
      </c>
      <c r="B48" s="32"/>
      <c r="C48" s="32" t="s">
        <v>2660</v>
      </c>
      <c r="D48" s="32" t="s">
        <v>2735</v>
      </c>
      <c r="E48" s="32">
        <v>24</v>
      </c>
      <c r="F48" s="32">
        <v>0.88800000000000001</v>
      </c>
      <c r="G48" s="32"/>
      <c r="H48" s="32">
        <v>1500</v>
      </c>
      <c r="I48" s="32">
        <v>12</v>
      </c>
      <c r="J48" s="32" t="s">
        <v>2</v>
      </c>
      <c r="K48" s="32"/>
      <c r="L48" s="32"/>
      <c r="M48" s="32"/>
      <c r="N48" s="32"/>
      <c r="O48" s="32"/>
      <c r="P48" s="32"/>
      <c r="Q48" s="32"/>
      <c r="R48" s="32"/>
      <c r="S48" s="32">
        <v>570</v>
      </c>
      <c r="T48" s="32">
        <v>680</v>
      </c>
      <c r="U48" s="33">
        <v>30</v>
      </c>
    </row>
    <row r="49" spans="1:21" ht="15.75" x14ac:dyDescent="0.25">
      <c r="A49" s="31" t="s">
        <v>2695</v>
      </c>
      <c r="B49" s="32"/>
      <c r="C49" s="32" t="s">
        <v>2660</v>
      </c>
      <c r="D49" s="32" t="s">
        <v>2736</v>
      </c>
      <c r="E49" s="32">
        <v>7</v>
      </c>
      <c r="F49" s="32">
        <v>0.88800000000000001</v>
      </c>
      <c r="G49" s="32"/>
      <c r="H49" s="32">
        <v>4750</v>
      </c>
      <c r="I49" s="32">
        <v>12</v>
      </c>
      <c r="J49" s="32" t="s">
        <v>2</v>
      </c>
      <c r="K49" s="32"/>
      <c r="L49" s="32"/>
      <c r="M49" s="32"/>
      <c r="N49" s="32"/>
      <c r="O49" s="32"/>
      <c r="P49" s="32"/>
      <c r="Q49" s="32"/>
      <c r="R49" s="32"/>
      <c r="S49" s="32">
        <v>570</v>
      </c>
      <c r="T49" s="32">
        <v>680</v>
      </c>
      <c r="U49" s="33">
        <v>30</v>
      </c>
    </row>
    <row r="50" spans="1:21" ht="15.75" x14ac:dyDescent="0.25">
      <c r="A50" s="31" t="s">
        <v>2695</v>
      </c>
      <c r="B50" s="32"/>
      <c r="C50" s="32" t="s">
        <v>2660</v>
      </c>
      <c r="D50" s="32" t="s">
        <v>2737</v>
      </c>
      <c r="E50" s="32">
        <v>7</v>
      </c>
      <c r="F50" s="32">
        <v>0.88800000000000001</v>
      </c>
      <c r="G50" s="32"/>
      <c r="H50" s="32">
        <v>4550</v>
      </c>
      <c r="I50" s="32">
        <v>12</v>
      </c>
      <c r="J50" s="32" t="s">
        <v>2</v>
      </c>
      <c r="K50" s="32"/>
      <c r="L50" s="32"/>
      <c r="M50" s="32"/>
      <c r="N50" s="32"/>
      <c r="O50" s="32"/>
      <c r="P50" s="32"/>
      <c r="Q50" s="32"/>
      <c r="R50" s="32"/>
      <c r="S50" s="32">
        <v>570</v>
      </c>
      <c r="T50" s="32">
        <v>680</v>
      </c>
      <c r="U50" s="33">
        <v>30</v>
      </c>
    </row>
    <row r="51" spans="1:21" ht="15.75" x14ac:dyDescent="0.25">
      <c r="A51" s="31" t="s">
        <v>2695</v>
      </c>
      <c r="B51" s="32"/>
      <c r="C51" s="32" t="s">
        <v>2660</v>
      </c>
      <c r="D51" s="32" t="s">
        <v>2738</v>
      </c>
      <c r="E51" s="32">
        <v>7</v>
      </c>
      <c r="F51" s="32">
        <v>0.88800000000000001</v>
      </c>
      <c r="G51" s="32"/>
      <c r="H51" s="32">
        <v>4750</v>
      </c>
      <c r="I51" s="32">
        <v>12</v>
      </c>
      <c r="J51" s="32" t="s">
        <v>2</v>
      </c>
      <c r="K51" s="32"/>
      <c r="L51" s="32"/>
      <c r="M51" s="32"/>
      <c r="N51" s="32"/>
      <c r="O51" s="32"/>
      <c r="P51" s="32"/>
      <c r="Q51" s="32"/>
      <c r="R51" s="32"/>
      <c r="S51" s="32">
        <v>570</v>
      </c>
      <c r="T51" s="32">
        <v>680</v>
      </c>
      <c r="U51" s="33">
        <v>30</v>
      </c>
    </row>
    <row r="52" spans="1:21" ht="15.75" x14ac:dyDescent="0.25">
      <c r="A52" s="31" t="s">
        <v>2695</v>
      </c>
      <c r="B52" s="32"/>
      <c r="C52" s="32" t="s">
        <v>2660</v>
      </c>
      <c r="D52" s="32" t="s">
        <v>2739</v>
      </c>
      <c r="E52" s="32">
        <v>7</v>
      </c>
      <c r="F52" s="32">
        <v>0.88800000000000001</v>
      </c>
      <c r="G52" s="32"/>
      <c r="H52" s="32">
        <v>4550</v>
      </c>
      <c r="I52" s="32">
        <v>12</v>
      </c>
      <c r="J52" s="32" t="s">
        <v>2</v>
      </c>
      <c r="K52" s="32"/>
      <c r="L52" s="32"/>
      <c r="M52" s="32"/>
      <c r="N52" s="32"/>
      <c r="O52" s="32"/>
      <c r="P52" s="32"/>
      <c r="Q52" s="32"/>
      <c r="R52" s="32"/>
      <c r="S52" s="32">
        <v>570</v>
      </c>
      <c r="T52" s="32">
        <v>680</v>
      </c>
      <c r="U52" s="33">
        <v>30</v>
      </c>
    </row>
    <row r="53" spans="1:21" ht="15.75" x14ac:dyDescent="0.25">
      <c r="A53" s="31" t="s">
        <v>2695</v>
      </c>
      <c r="B53" s="32"/>
      <c r="C53" s="32" t="s">
        <v>2660</v>
      </c>
      <c r="D53" s="32" t="s">
        <v>2740</v>
      </c>
      <c r="E53" s="32">
        <v>13</v>
      </c>
      <c r="F53" s="32">
        <v>6.3129999999999997</v>
      </c>
      <c r="G53" s="32"/>
      <c r="H53" s="32">
        <v>3100</v>
      </c>
      <c r="I53" s="32">
        <v>32</v>
      </c>
      <c r="J53" s="32" t="s">
        <v>2</v>
      </c>
      <c r="K53" s="32"/>
      <c r="L53" s="32"/>
      <c r="M53" s="32"/>
      <c r="N53" s="32"/>
      <c r="O53" s="32"/>
      <c r="P53" s="32"/>
      <c r="Q53" s="32"/>
      <c r="R53" s="32"/>
      <c r="S53" s="32">
        <v>1510</v>
      </c>
      <c r="T53" s="32">
        <v>1810</v>
      </c>
      <c r="U53" s="33">
        <v>128</v>
      </c>
    </row>
    <row r="54" spans="1:21" ht="15.75" x14ac:dyDescent="0.25">
      <c r="A54" s="31" t="s">
        <v>2695</v>
      </c>
      <c r="B54" s="32"/>
      <c r="C54" s="32" t="s">
        <v>2660</v>
      </c>
      <c r="D54" s="32" t="s">
        <v>2741</v>
      </c>
      <c r="E54" s="32">
        <v>13</v>
      </c>
      <c r="F54" s="32">
        <v>3.8530000000000002</v>
      </c>
      <c r="G54" s="32"/>
      <c r="H54" s="32">
        <v>5100</v>
      </c>
      <c r="I54" s="32">
        <v>25</v>
      </c>
      <c r="J54" s="32" t="s">
        <v>2</v>
      </c>
      <c r="K54" s="32"/>
      <c r="L54" s="32"/>
      <c r="M54" s="32"/>
      <c r="N54" s="32"/>
      <c r="O54" s="32"/>
      <c r="P54" s="32"/>
      <c r="Q54" s="32"/>
      <c r="R54" s="32"/>
      <c r="S54" s="32">
        <v>1180</v>
      </c>
      <c r="T54" s="32">
        <v>1415</v>
      </c>
      <c r="U54" s="33">
        <v>100</v>
      </c>
    </row>
    <row r="55" spans="1:21" ht="15.75" x14ac:dyDescent="0.25">
      <c r="A55" s="31" t="s">
        <v>2695</v>
      </c>
      <c r="B55" s="32"/>
      <c r="C55" s="32" t="s">
        <v>2660</v>
      </c>
      <c r="D55" s="32" t="s">
        <v>2742</v>
      </c>
      <c r="E55" s="32">
        <v>13</v>
      </c>
      <c r="F55" s="32">
        <v>6.3129999999999997</v>
      </c>
      <c r="G55" s="32"/>
      <c r="H55" s="32">
        <v>3350</v>
      </c>
      <c r="I55" s="32">
        <v>32</v>
      </c>
      <c r="J55" s="32" t="s">
        <v>2</v>
      </c>
      <c r="K55" s="32"/>
      <c r="L55" s="32"/>
      <c r="M55" s="32"/>
      <c r="N55" s="32"/>
      <c r="O55" s="32"/>
      <c r="P55" s="32"/>
      <c r="Q55" s="32"/>
      <c r="R55" s="32"/>
      <c r="S55" s="32">
        <v>1510</v>
      </c>
      <c r="T55" s="32">
        <v>1810</v>
      </c>
      <c r="U55" s="33">
        <v>128</v>
      </c>
    </row>
    <row r="56" spans="1:21" ht="15.75" x14ac:dyDescent="0.25">
      <c r="A56" s="31" t="s">
        <v>2695</v>
      </c>
      <c r="B56" s="32"/>
      <c r="C56" s="32" t="s">
        <v>2660</v>
      </c>
      <c r="D56" s="32" t="s">
        <v>2743</v>
      </c>
      <c r="E56" s="32">
        <v>8</v>
      </c>
      <c r="F56" s="32">
        <v>0.88800000000000001</v>
      </c>
      <c r="G56" s="32" t="s">
        <v>20</v>
      </c>
      <c r="H56" s="32">
        <f>Арм_Длина_ПМ(29400,T56,11700)</f>
        <v>31440</v>
      </c>
      <c r="I56" s="32">
        <v>12</v>
      </c>
      <c r="J56" s="32" t="s">
        <v>2</v>
      </c>
      <c r="K56" s="32"/>
      <c r="L56" s="32"/>
      <c r="M56" s="32"/>
      <c r="N56" s="32"/>
      <c r="O56" s="32"/>
      <c r="P56" s="32"/>
      <c r="Q56" s="32"/>
      <c r="R56" s="32"/>
      <c r="S56" s="32">
        <v>570</v>
      </c>
      <c r="T56" s="32">
        <v>680</v>
      </c>
      <c r="U56" s="33">
        <v>30</v>
      </c>
    </row>
    <row r="57" spans="1:21" ht="15.75" x14ac:dyDescent="0.25">
      <c r="A57" s="31" t="s">
        <v>2695</v>
      </c>
      <c r="B57" s="32"/>
      <c r="C57" s="32" t="s">
        <v>2660</v>
      </c>
      <c r="D57" s="32" t="s">
        <v>2744</v>
      </c>
      <c r="E57" s="32">
        <v>7</v>
      </c>
      <c r="F57" s="32">
        <v>1.998</v>
      </c>
      <c r="G57" s="32" t="s">
        <v>20</v>
      </c>
      <c r="H57" s="32">
        <f>Арм_Длина_ПМ(20000,T57,11700)</f>
        <v>22040</v>
      </c>
      <c r="I57" s="32">
        <v>18</v>
      </c>
      <c r="J57" s="32" t="s">
        <v>2</v>
      </c>
      <c r="K57" s="32"/>
      <c r="L57" s="32"/>
      <c r="M57" s="32"/>
      <c r="N57" s="32"/>
      <c r="O57" s="32"/>
      <c r="P57" s="32"/>
      <c r="Q57" s="32"/>
      <c r="R57" s="32"/>
      <c r="S57" s="32">
        <v>850</v>
      </c>
      <c r="T57" s="32">
        <v>1020</v>
      </c>
      <c r="U57" s="33">
        <v>45</v>
      </c>
    </row>
    <row r="58" spans="1:21" ht="15.75" x14ac:dyDescent="0.25">
      <c r="A58" s="31" t="s">
        <v>2695</v>
      </c>
      <c r="B58" s="32"/>
      <c r="C58" s="32" t="s">
        <v>2660</v>
      </c>
      <c r="D58" s="32" t="s">
        <v>2745</v>
      </c>
      <c r="E58" s="32">
        <v>7</v>
      </c>
      <c r="F58" s="32">
        <v>0.88800000000000001</v>
      </c>
      <c r="G58" s="32"/>
      <c r="H58" s="32">
        <v>8400</v>
      </c>
      <c r="I58" s="32">
        <v>12</v>
      </c>
      <c r="J58" s="32" t="s">
        <v>2</v>
      </c>
      <c r="K58" s="32"/>
      <c r="L58" s="32"/>
      <c r="M58" s="32"/>
      <c r="N58" s="32"/>
      <c r="O58" s="32"/>
      <c r="P58" s="32"/>
      <c r="Q58" s="32"/>
      <c r="R58" s="32"/>
      <c r="S58" s="32">
        <v>570</v>
      </c>
      <c r="T58" s="32">
        <v>680</v>
      </c>
      <c r="U58" s="33">
        <v>30</v>
      </c>
    </row>
    <row r="59" spans="1:21" ht="15.75" x14ac:dyDescent="0.25">
      <c r="A59" s="31" t="s">
        <v>2695</v>
      </c>
      <c r="B59" s="32"/>
      <c r="C59" s="32" t="s">
        <v>2660</v>
      </c>
      <c r="D59" s="32" t="s">
        <v>2746</v>
      </c>
      <c r="E59" s="32">
        <v>7</v>
      </c>
      <c r="F59" s="32">
        <v>0.88800000000000001</v>
      </c>
      <c r="G59" s="32"/>
      <c r="H59" s="32">
        <v>3200</v>
      </c>
      <c r="I59" s="32">
        <v>12</v>
      </c>
      <c r="J59" s="32" t="s">
        <v>2</v>
      </c>
      <c r="K59" s="32"/>
      <c r="L59" s="32"/>
      <c r="M59" s="32"/>
      <c r="N59" s="32"/>
      <c r="O59" s="32"/>
      <c r="P59" s="32"/>
      <c r="Q59" s="32"/>
      <c r="R59" s="32"/>
      <c r="S59" s="32">
        <v>570</v>
      </c>
      <c r="T59" s="32">
        <v>680</v>
      </c>
      <c r="U59" s="33">
        <v>30</v>
      </c>
    </row>
    <row r="60" spans="1:21" ht="15.75" x14ac:dyDescent="0.25">
      <c r="A60" s="31" t="s">
        <v>2695</v>
      </c>
      <c r="B60" s="32"/>
      <c r="C60" s="32" t="s">
        <v>2660</v>
      </c>
      <c r="D60" s="32" t="s">
        <v>2747</v>
      </c>
      <c r="E60" s="32">
        <v>4</v>
      </c>
      <c r="F60" s="32">
        <v>0.88800000000000001</v>
      </c>
      <c r="G60" s="32" t="s">
        <v>20</v>
      </c>
      <c r="H60" s="32">
        <f>Арм_Длина_ПМ(29900,T60,11700)</f>
        <v>31940</v>
      </c>
      <c r="I60" s="32">
        <v>12</v>
      </c>
      <c r="J60" s="32" t="s">
        <v>2</v>
      </c>
      <c r="K60" s="32"/>
      <c r="L60" s="32"/>
      <c r="M60" s="32"/>
      <c r="N60" s="32"/>
      <c r="O60" s="32"/>
      <c r="P60" s="32"/>
      <c r="Q60" s="32"/>
      <c r="R60" s="32"/>
      <c r="S60" s="32">
        <v>570</v>
      </c>
      <c r="T60" s="32">
        <v>680</v>
      </c>
      <c r="U60" s="33">
        <v>30</v>
      </c>
    </row>
    <row r="61" spans="1:21" ht="15.75" x14ac:dyDescent="0.25">
      <c r="A61" s="31" t="s">
        <v>2695</v>
      </c>
      <c r="B61" s="32"/>
      <c r="C61" s="32" t="s">
        <v>2660</v>
      </c>
      <c r="D61" s="32" t="s">
        <v>2748</v>
      </c>
      <c r="E61" s="32">
        <v>4</v>
      </c>
      <c r="F61" s="32">
        <v>0.88800000000000001</v>
      </c>
      <c r="G61" s="32" t="s">
        <v>20</v>
      </c>
      <c r="H61" s="32">
        <f>Арм_Длина_ПМ(29900,T61,11700)</f>
        <v>31940</v>
      </c>
      <c r="I61" s="32">
        <v>12</v>
      </c>
      <c r="J61" s="32" t="s">
        <v>2</v>
      </c>
      <c r="K61" s="32"/>
      <c r="L61" s="32"/>
      <c r="M61" s="32"/>
      <c r="N61" s="32"/>
      <c r="O61" s="32"/>
      <c r="P61" s="32"/>
      <c r="Q61" s="32"/>
      <c r="R61" s="32"/>
      <c r="S61" s="32">
        <v>570</v>
      </c>
      <c r="T61" s="32">
        <v>680</v>
      </c>
      <c r="U61" s="33">
        <v>30</v>
      </c>
    </row>
    <row r="62" spans="1:21" ht="15.75" x14ac:dyDescent="0.25">
      <c r="A62" s="31" t="s">
        <v>2695</v>
      </c>
      <c r="B62" s="32"/>
      <c r="C62" s="32" t="s">
        <v>2660</v>
      </c>
      <c r="D62" s="32" t="s">
        <v>2749</v>
      </c>
      <c r="E62" s="32">
        <v>4</v>
      </c>
      <c r="F62" s="32">
        <v>1.998</v>
      </c>
      <c r="G62" s="32" t="s">
        <v>20</v>
      </c>
      <c r="H62" s="32">
        <f>Арм_Длина_ПМ(20000,T62,11700)</f>
        <v>22040</v>
      </c>
      <c r="I62" s="32">
        <v>18</v>
      </c>
      <c r="J62" s="32" t="s">
        <v>2</v>
      </c>
      <c r="K62" s="32"/>
      <c r="L62" s="32"/>
      <c r="M62" s="32"/>
      <c r="N62" s="32"/>
      <c r="O62" s="32"/>
      <c r="P62" s="32"/>
      <c r="Q62" s="32"/>
      <c r="R62" s="32"/>
      <c r="S62" s="32">
        <v>850</v>
      </c>
      <c r="T62" s="32">
        <v>1020</v>
      </c>
      <c r="U62" s="33">
        <v>45</v>
      </c>
    </row>
    <row r="63" spans="1:21" ht="15.75" x14ac:dyDescent="0.25">
      <c r="A63" s="31" t="s">
        <v>2695</v>
      </c>
      <c r="B63" s="32"/>
      <c r="C63" s="32" t="s">
        <v>2660</v>
      </c>
      <c r="D63" s="32" t="s">
        <v>2750</v>
      </c>
      <c r="E63" s="32">
        <v>4</v>
      </c>
      <c r="F63" s="32">
        <v>0.88800000000000001</v>
      </c>
      <c r="G63" s="32"/>
      <c r="H63" s="32">
        <v>8400</v>
      </c>
      <c r="I63" s="32">
        <v>12</v>
      </c>
      <c r="J63" s="32" t="s">
        <v>2</v>
      </c>
      <c r="K63" s="32"/>
      <c r="L63" s="32"/>
      <c r="M63" s="32"/>
      <c r="N63" s="32"/>
      <c r="O63" s="32"/>
      <c r="P63" s="32"/>
      <c r="Q63" s="32"/>
      <c r="R63" s="32"/>
      <c r="S63" s="32">
        <v>570</v>
      </c>
      <c r="T63" s="32">
        <v>680</v>
      </c>
      <c r="U63" s="33">
        <v>30</v>
      </c>
    </row>
    <row r="64" spans="1:21" ht="15.75" x14ac:dyDescent="0.25">
      <c r="A64" s="31" t="s">
        <v>2695</v>
      </c>
      <c r="B64" s="32"/>
      <c r="C64" s="32" t="s">
        <v>2660</v>
      </c>
      <c r="D64" s="32" t="s">
        <v>2751</v>
      </c>
      <c r="E64" s="32">
        <v>4</v>
      </c>
      <c r="F64" s="32">
        <v>0.88800000000000001</v>
      </c>
      <c r="G64" s="32"/>
      <c r="H64" s="32">
        <v>3200</v>
      </c>
      <c r="I64" s="32">
        <v>12</v>
      </c>
      <c r="J64" s="32" t="s">
        <v>2</v>
      </c>
      <c r="K64" s="32"/>
      <c r="L64" s="32"/>
      <c r="M64" s="32"/>
      <c r="N64" s="32"/>
      <c r="O64" s="32"/>
      <c r="P64" s="32"/>
      <c r="Q64" s="32"/>
      <c r="R64" s="32"/>
      <c r="S64" s="32">
        <v>570</v>
      </c>
      <c r="T64" s="32">
        <v>680</v>
      </c>
      <c r="U64" s="33">
        <v>30</v>
      </c>
    </row>
    <row r="65" spans="1:21" ht="15.75" x14ac:dyDescent="0.25">
      <c r="A65" s="31" t="s">
        <v>2695</v>
      </c>
      <c r="B65" s="32"/>
      <c r="C65" s="32" t="s">
        <v>2660</v>
      </c>
      <c r="D65" s="32" t="s">
        <v>2752</v>
      </c>
      <c r="E65" s="32">
        <v>4</v>
      </c>
      <c r="F65" s="32">
        <v>0.88800000000000001</v>
      </c>
      <c r="G65" s="32" t="s">
        <v>20</v>
      </c>
      <c r="H65" s="32">
        <f>Арм_Длина_ПМ(29900,T65,11700)</f>
        <v>31940</v>
      </c>
      <c r="I65" s="32">
        <v>12</v>
      </c>
      <c r="J65" s="32" t="s">
        <v>2</v>
      </c>
      <c r="K65" s="32"/>
      <c r="L65" s="32"/>
      <c r="M65" s="32"/>
      <c r="N65" s="32"/>
      <c r="O65" s="32"/>
      <c r="P65" s="32"/>
      <c r="Q65" s="32"/>
      <c r="R65" s="32"/>
      <c r="S65" s="32">
        <v>570</v>
      </c>
      <c r="T65" s="32">
        <v>680</v>
      </c>
      <c r="U65" s="33">
        <v>30</v>
      </c>
    </row>
    <row r="66" spans="1:21" ht="15.75" x14ac:dyDescent="0.25">
      <c r="A66" s="31" t="s">
        <v>2695</v>
      </c>
      <c r="B66" s="32"/>
      <c r="C66" s="32" t="s">
        <v>2660</v>
      </c>
      <c r="D66" s="32" t="s">
        <v>2753</v>
      </c>
      <c r="E66" s="32">
        <v>4</v>
      </c>
      <c r="F66" s="32">
        <v>0.88800000000000001</v>
      </c>
      <c r="G66" s="32" t="s">
        <v>20</v>
      </c>
      <c r="H66" s="32">
        <f>Арм_Длина_ПМ(29900,T66,11700)</f>
        <v>31940</v>
      </c>
      <c r="I66" s="32">
        <v>12</v>
      </c>
      <c r="J66" s="32" t="s">
        <v>2</v>
      </c>
      <c r="K66" s="32"/>
      <c r="L66" s="32"/>
      <c r="M66" s="32"/>
      <c r="N66" s="32"/>
      <c r="O66" s="32"/>
      <c r="P66" s="32"/>
      <c r="Q66" s="32"/>
      <c r="R66" s="32"/>
      <c r="S66" s="32">
        <v>570</v>
      </c>
      <c r="T66" s="32">
        <v>680</v>
      </c>
      <c r="U66" s="33">
        <v>30</v>
      </c>
    </row>
    <row r="67" spans="1:21" ht="15.75" x14ac:dyDescent="0.25">
      <c r="A67" s="31" t="s">
        <v>2695</v>
      </c>
      <c r="B67" s="32"/>
      <c r="C67" s="32" t="s">
        <v>2660</v>
      </c>
      <c r="D67" s="32" t="s">
        <v>2754</v>
      </c>
      <c r="E67" s="32">
        <v>6</v>
      </c>
      <c r="F67" s="32">
        <v>4.8339999999999996</v>
      </c>
      <c r="G67" s="32"/>
      <c r="H67" s="32">
        <v>5450</v>
      </c>
      <c r="I67" s="32">
        <v>28</v>
      </c>
      <c r="J67" s="32" t="s">
        <v>2</v>
      </c>
      <c r="K67" s="32"/>
      <c r="L67" s="32"/>
      <c r="M67" s="32"/>
      <c r="N67" s="32"/>
      <c r="O67" s="32"/>
      <c r="P67" s="32"/>
      <c r="Q67" s="32"/>
      <c r="R67" s="32"/>
      <c r="S67" s="32">
        <v>1320</v>
      </c>
      <c r="T67" s="32">
        <v>1585</v>
      </c>
      <c r="U67" s="33">
        <v>112</v>
      </c>
    </row>
    <row r="68" spans="1:21" ht="15.75" x14ac:dyDescent="0.25">
      <c r="A68" s="31" t="s">
        <v>2695</v>
      </c>
      <c r="B68" s="32"/>
      <c r="C68" s="32" t="s">
        <v>2660</v>
      </c>
      <c r="D68" s="32" t="s">
        <v>2755</v>
      </c>
      <c r="E68" s="32">
        <v>32</v>
      </c>
      <c r="F68" s="32">
        <v>1.998</v>
      </c>
      <c r="G68" s="32"/>
      <c r="H68" s="32">
        <v>1850</v>
      </c>
      <c r="I68" s="32">
        <v>18</v>
      </c>
      <c r="J68" s="32" t="s">
        <v>2</v>
      </c>
      <c r="K68" s="32"/>
      <c r="L68" s="32"/>
      <c r="M68" s="32"/>
      <c r="N68" s="32"/>
      <c r="O68" s="32"/>
      <c r="P68" s="32"/>
      <c r="Q68" s="32"/>
      <c r="R68" s="32"/>
      <c r="S68" s="32">
        <v>850</v>
      </c>
      <c r="T68" s="32">
        <v>1020</v>
      </c>
      <c r="U68" s="33">
        <v>45</v>
      </c>
    </row>
    <row r="69" spans="1:21" ht="15.75" x14ac:dyDescent="0.25">
      <c r="A69" s="31" t="s">
        <v>2695</v>
      </c>
      <c r="B69" s="32"/>
      <c r="C69" s="32" t="s">
        <v>2660</v>
      </c>
      <c r="D69" s="32" t="s">
        <v>2756</v>
      </c>
      <c r="E69" s="32">
        <v>34</v>
      </c>
      <c r="F69" s="32">
        <v>0.88800000000000001</v>
      </c>
      <c r="G69" s="32"/>
      <c r="H69" s="32">
        <v>5150</v>
      </c>
      <c r="I69" s="32">
        <v>12</v>
      </c>
      <c r="J69" s="32" t="s">
        <v>2</v>
      </c>
      <c r="K69" s="32"/>
      <c r="L69" s="32"/>
      <c r="M69" s="32"/>
      <c r="N69" s="32"/>
      <c r="O69" s="32"/>
      <c r="P69" s="32"/>
      <c r="Q69" s="32"/>
      <c r="R69" s="32"/>
      <c r="S69" s="32">
        <v>570</v>
      </c>
      <c r="T69" s="32">
        <v>680</v>
      </c>
      <c r="U69" s="33">
        <v>30</v>
      </c>
    </row>
    <row r="70" spans="1:21" ht="15.75" x14ac:dyDescent="0.25">
      <c r="A70" s="31" t="s">
        <v>2695</v>
      </c>
      <c r="B70" s="32"/>
      <c r="C70" s="32" t="s">
        <v>2660</v>
      </c>
      <c r="D70" s="32" t="s">
        <v>2757</v>
      </c>
      <c r="E70" s="32">
        <v>16</v>
      </c>
      <c r="F70" s="32">
        <v>0.88800000000000001</v>
      </c>
      <c r="G70" s="32"/>
      <c r="H70" s="32">
        <v>2050</v>
      </c>
      <c r="I70" s="32">
        <v>12</v>
      </c>
      <c r="J70" s="32" t="s">
        <v>2</v>
      </c>
      <c r="K70" s="32"/>
      <c r="L70" s="32"/>
      <c r="M70" s="32"/>
      <c r="N70" s="32"/>
      <c r="O70" s="32"/>
      <c r="P70" s="32"/>
      <c r="Q70" s="32"/>
      <c r="R70" s="32"/>
      <c r="S70" s="32">
        <v>570</v>
      </c>
      <c r="T70" s="32">
        <v>680</v>
      </c>
      <c r="U70" s="33">
        <v>30</v>
      </c>
    </row>
    <row r="71" spans="1:21" ht="15.75" x14ac:dyDescent="0.25">
      <c r="A71" s="31" t="s">
        <v>2695</v>
      </c>
      <c r="B71" s="32"/>
      <c r="C71" s="32" t="s">
        <v>2660</v>
      </c>
      <c r="D71" s="32" t="s">
        <v>2758</v>
      </c>
      <c r="E71" s="32">
        <v>6</v>
      </c>
      <c r="F71" s="32">
        <v>0.88800000000000001</v>
      </c>
      <c r="G71" s="32"/>
      <c r="H71" s="32">
        <v>4000</v>
      </c>
      <c r="I71" s="32">
        <v>12</v>
      </c>
      <c r="J71" s="32" t="s">
        <v>2</v>
      </c>
      <c r="K71" s="32"/>
      <c r="L71" s="32"/>
      <c r="M71" s="32"/>
      <c r="N71" s="32"/>
      <c r="O71" s="32"/>
      <c r="P71" s="32"/>
      <c r="Q71" s="32"/>
      <c r="R71" s="32"/>
      <c r="S71" s="32">
        <v>570</v>
      </c>
      <c r="T71" s="32">
        <v>680</v>
      </c>
      <c r="U71" s="33">
        <v>30</v>
      </c>
    </row>
    <row r="72" spans="1:21" ht="15.75" x14ac:dyDescent="0.25">
      <c r="A72" s="31" t="s">
        <v>2695</v>
      </c>
      <c r="B72" s="32"/>
      <c r="C72" s="32" t="s">
        <v>2660</v>
      </c>
      <c r="D72" s="32" t="s">
        <v>2759</v>
      </c>
      <c r="E72" s="32">
        <v>22</v>
      </c>
      <c r="F72" s="32">
        <v>0.88800000000000001</v>
      </c>
      <c r="G72" s="32"/>
      <c r="H72" s="32">
        <v>4650</v>
      </c>
      <c r="I72" s="32">
        <v>12</v>
      </c>
      <c r="J72" s="32" t="s">
        <v>2</v>
      </c>
      <c r="K72" s="32"/>
      <c r="L72" s="32"/>
      <c r="M72" s="32"/>
      <c r="N72" s="32"/>
      <c r="O72" s="32"/>
      <c r="P72" s="32"/>
      <c r="Q72" s="32"/>
      <c r="R72" s="32"/>
      <c r="S72" s="32">
        <v>570</v>
      </c>
      <c r="T72" s="32">
        <v>680</v>
      </c>
      <c r="U72" s="33">
        <v>30</v>
      </c>
    </row>
    <row r="73" spans="1:21" ht="15.75" x14ac:dyDescent="0.25">
      <c r="A73" s="31" t="s">
        <v>2695</v>
      </c>
      <c r="B73" s="32"/>
      <c r="C73" s="32" t="s">
        <v>2660</v>
      </c>
      <c r="D73" s="32" t="s">
        <v>2760</v>
      </c>
      <c r="E73" s="32">
        <v>27</v>
      </c>
      <c r="F73" s="32">
        <v>0.88800000000000001</v>
      </c>
      <c r="G73" s="32"/>
      <c r="H73" s="32">
        <v>3500</v>
      </c>
      <c r="I73" s="32">
        <v>12</v>
      </c>
      <c r="J73" s="32" t="s">
        <v>2</v>
      </c>
      <c r="K73" s="32"/>
      <c r="L73" s="32"/>
      <c r="M73" s="32"/>
      <c r="N73" s="32"/>
      <c r="O73" s="32"/>
      <c r="P73" s="32"/>
      <c r="Q73" s="32"/>
      <c r="R73" s="32"/>
      <c r="S73" s="32">
        <v>570</v>
      </c>
      <c r="T73" s="32">
        <v>680</v>
      </c>
      <c r="U73" s="33">
        <v>30</v>
      </c>
    </row>
    <row r="74" spans="1:21" ht="15.75" x14ac:dyDescent="0.25">
      <c r="A74" s="31" t="s">
        <v>2695</v>
      </c>
      <c r="B74" s="32"/>
      <c r="C74" s="32" t="s">
        <v>2660</v>
      </c>
      <c r="D74" s="32" t="s">
        <v>2761</v>
      </c>
      <c r="E74" s="32">
        <v>27</v>
      </c>
      <c r="F74" s="32">
        <v>0.88800000000000001</v>
      </c>
      <c r="G74" s="32"/>
      <c r="H74" s="32">
        <v>3500</v>
      </c>
      <c r="I74" s="32">
        <v>12</v>
      </c>
      <c r="J74" s="32" t="s">
        <v>2</v>
      </c>
      <c r="K74" s="32"/>
      <c r="L74" s="32"/>
      <c r="M74" s="32"/>
      <c r="N74" s="32"/>
      <c r="O74" s="32"/>
      <c r="P74" s="32"/>
      <c r="Q74" s="32"/>
      <c r="R74" s="32"/>
      <c r="S74" s="32">
        <v>570</v>
      </c>
      <c r="T74" s="32">
        <v>680</v>
      </c>
      <c r="U74" s="33">
        <v>30</v>
      </c>
    </row>
    <row r="75" spans="1:21" ht="15.75" x14ac:dyDescent="0.25">
      <c r="A75" s="31" t="s">
        <v>2695</v>
      </c>
      <c r="B75" s="32"/>
      <c r="C75" s="32" t="s">
        <v>2660</v>
      </c>
      <c r="D75" s="32" t="s">
        <v>2762</v>
      </c>
      <c r="E75" s="32">
        <v>32</v>
      </c>
      <c r="F75" s="32">
        <v>1.998</v>
      </c>
      <c r="G75" s="32"/>
      <c r="H75" s="32">
        <v>1850</v>
      </c>
      <c r="I75" s="32">
        <v>18</v>
      </c>
      <c r="J75" s="32" t="s">
        <v>2</v>
      </c>
      <c r="K75" s="32"/>
      <c r="L75" s="32"/>
      <c r="M75" s="32"/>
      <c r="N75" s="32"/>
      <c r="O75" s="32"/>
      <c r="P75" s="32"/>
      <c r="Q75" s="32"/>
      <c r="R75" s="32"/>
      <c r="S75" s="32">
        <v>850</v>
      </c>
      <c r="T75" s="32">
        <v>1020</v>
      </c>
      <c r="U75" s="33">
        <v>45</v>
      </c>
    </row>
    <row r="76" spans="1:21" ht="15.75" x14ac:dyDescent="0.25">
      <c r="A76" s="31" t="s">
        <v>2695</v>
      </c>
      <c r="B76" s="32"/>
      <c r="C76" s="32" t="s">
        <v>2660</v>
      </c>
      <c r="D76" s="32" t="s">
        <v>2763</v>
      </c>
      <c r="E76" s="32">
        <v>31</v>
      </c>
      <c r="F76" s="32">
        <v>0.88800000000000001</v>
      </c>
      <c r="G76" s="32"/>
      <c r="H76" s="32">
        <v>6950</v>
      </c>
      <c r="I76" s="32">
        <v>12</v>
      </c>
      <c r="J76" s="32" t="s">
        <v>2</v>
      </c>
      <c r="K76" s="32"/>
      <c r="L76" s="32"/>
      <c r="M76" s="32"/>
      <c r="N76" s="32"/>
      <c r="O76" s="32"/>
      <c r="P76" s="32"/>
      <c r="Q76" s="32"/>
      <c r="R76" s="32"/>
      <c r="S76" s="32">
        <v>570</v>
      </c>
      <c r="T76" s="32">
        <v>680</v>
      </c>
      <c r="U76" s="33">
        <v>30</v>
      </c>
    </row>
    <row r="77" spans="1:21" ht="15.75" x14ac:dyDescent="0.25">
      <c r="A77" s="31" t="s">
        <v>2695</v>
      </c>
      <c r="B77" s="32"/>
      <c r="C77" s="32" t="s">
        <v>2660</v>
      </c>
      <c r="D77" s="32" t="s">
        <v>2764</v>
      </c>
      <c r="E77" s="32">
        <v>33</v>
      </c>
      <c r="F77" s="32">
        <v>0.88800000000000001</v>
      </c>
      <c r="G77" s="32"/>
      <c r="H77" s="32">
        <v>6950</v>
      </c>
      <c r="I77" s="32">
        <v>12</v>
      </c>
      <c r="J77" s="32" t="s">
        <v>2</v>
      </c>
      <c r="K77" s="32"/>
      <c r="L77" s="32"/>
      <c r="M77" s="32"/>
      <c r="N77" s="32"/>
      <c r="O77" s="32"/>
      <c r="P77" s="32"/>
      <c r="Q77" s="32"/>
      <c r="R77" s="32"/>
      <c r="S77" s="32">
        <v>570</v>
      </c>
      <c r="T77" s="32">
        <v>680</v>
      </c>
      <c r="U77" s="33">
        <v>30</v>
      </c>
    </row>
    <row r="78" spans="1:21" ht="15.75" x14ac:dyDescent="0.25">
      <c r="A78" s="31" t="s">
        <v>2695</v>
      </c>
      <c r="B78" s="32"/>
      <c r="C78" s="32" t="s">
        <v>2660</v>
      </c>
      <c r="D78" s="32" t="s">
        <v>2765</v>
      </c>
      <c r="E78" s="32">
        <v>27</v>
      </c>
      <c r="F78" s="32">
        <v>0.88800000000000001</v>
      </c>
      <c r="G78" s="32"/>
      <c r="H78" s="32">
        <v>6400</v>
      </c>
      <c r="I78" s="32">
        <v>12</v>
      </c>
      <c r="J78" s="32" t="s">
        <v>2</v>
      </c>
      <c r="K78" s="32"/>
      <c r="L78" s="32"/>
      <c r="M78" s="32"/>
      <c r="N78" s="32"/>
      <c r="O78" s="32"/>
      <c r="P78" s="32"/>
      <c r="Q78" s="32"/>
      <c r="R78" s="32"/>
      <c r="S78" s="32">
        <v>570</v>
      </c>
      <c r="T78" s="32">
        <v>680</v>
      </c>
      <c r="U78" s="33">
        <v>30</v>
      </c>
    </row>
    <row r="79" spans="1:21" ht="15.75" x14ac:dyDescent="0.25">
      <c r="A79" s="31" t="s">
        <v>2695</v>
      </c>
      <c r="B79" s="32"/>
      <c r="C79" s="32" t="s">
        <v>2660</v>
      </c>
      <c r="D79" s="32" t="s">
        <v>2766</v>
      </c>
      <c r="E79" s="32">
        <v>32</v>
      </c>
      <c r="F79" s="32">
        <v>1.998</v>
      </c>
      <c r="G79" s="32"/>
      <c r="H79" s="32">
        <v>1850</v>
      </c>
      <c r="I79" s="32">
        <v>18</v>
      </c>
      <c r="J79" s="32" t="s">
        <v>2</v>
      </c>
      <c r="K79" s="32"/>
      <c r="L79" s="32"/>
      <c r="M79" s="32"/>
      <c r="N79" s="32"/>
      <c r="O79" s="32"/>
      <c r="P79" s="32"/>
      <c r="Q79" s="32"/>
      <c r="R79" s="32"/>
      <c r="S79" s="32">
        <v>850</v>
      </c>
      <c r="T79" s="32">
        <v>1020</v>
      </c>
      <c r="U79" s="33">
        <v>45</v>
      </c>
    </row>
    <row r="80" spans="1:21" ht="15.75" x14ac:dyDescent="0.25">
      <c r="A80" s="31" t="s">
        <v>2695</v>
      </c>
      <c r="B80" s="32"/>
      <c r="C80" s="32" t="s">
        <v>2660</v>
      </c>
      <c r="D80" s="32" t="s">
        <v>2767</v>
      </c>
      <c r="E80" s="32">
        <v>23</v>
      </c>
      <c r="F80" s="32">
        <v>0.88800000000000001</v>
      </c>
      <c r="G80" s="32"/>
      <c r="H80" s="32">
        <v>8900</v>
      </c>
      <c r="I80" s="32">
        <v>12</v>
      </c>
      <c r="J80" s="32" t="s">
        <v>2</v>
      </c>
      <c r="K80" s="32"/>
      <c r="L80" s="32"/>
      <c r="M80" s="32"/>
      <c r="N80" s="32"/>
      <c r="O80" s="32"/>
      <c r="P80" s="32"/>
      <c r="Q80" s="32"/>
      <c r="R80" s="32"/>
      <c r="S80" s="32">
        <v>570</v>
      </c>
      <c r="T80" s="32">
        <v>680</v>
      </c>
      <c r="U80" s="33">
        <v>30</v>
      </c>
    </row>
    <row r="81" spans="1:21" ht="15.75" x14ac:dyDescent="0.25">
      <c r="A81" s="31" t="s">
        <v>2695</v>
      </c>
      <c r="B81" s="32"/>
      <c r="C81" s="32" t="s">
        <v>2660</v>
      </c>
      <c r="D81" s="32" t="s">
        <v>2768</v>
      </c>
      <c r="E81" s="32">
        <v>74</v>
      </c>
      <c r="F81" s="32">
        <v>0.88800000000000001</v>
      </c>
      <c r="G81" s="32" t="s">
        <v>20</v>
      </c>
      <c r="H81" s="32">
        <f>Арм_Длина_ПМ(31500,T81,11700)</f>
        <v>33540</v>
      </c>
      <c r="I81" s="32">
        <v>12</v>
      </c>
      <c r="J81" s="32" t="s">
        <v>2</v>
      </c>
      <c r="K81" s="32"/>
      <c r="L81" s="32"/>
      <c r="M81" s="32"/>
      <c r="N81" s="32"/>
      <c r="O81" s="32"/>
      <c r="P81" s="32"/>
      <c r="Q81" s="32"/>
      <c r="R81" s="32"/>
      <c r="S81" s="32">
        <v>570</v>
      </c>
      <c r="T81" s="32">
        <v>680</v>
      </c>
      <c r="U81" s="33">
        <v>30</v>
      </c>
    </row>
    <row r="82" spans="1:21" ht="15.75" x14ac:dyDescent="0.25">
      <c r="A82" s="31" t="s">
        <v>2695</v>
      </c>
      <c r="B82" s="32"/>
      <c r="C82" s="32" t="s">
        <v>2660</v>
      </c>
      <c r="D82" s="32" t="s">
        <v>2769</v>
      </c>
      <c r="E82" s="32">
        <v>10</v>
      </c>
      <c r="F82" s="32">
        <v>0.88800000000000001</v>
      </c>
      <c r="G82" s="32" t="s">
        <v>20</v>
      </c>
      <c r="H82" s="32">
        <f>Арм_Длина_ПМ(18950,T82,11700)</f>
        <v>20310</v>
      </c>
      <c r="I82" s="32">
        <v>12</v>
      </c>
      <c r="J82" s="32" t="s">
        <v>2</v>
      </c>
      <c r="K82" s="32"/>
      <c r="L82" s="32"/>
      <c r="M82" s="32"/>
      <c r="N82" s="32"/>
      <c r="O82" s="32"/>
      <c r="P82" s="32"/>
      <c r="Q82" s="32"/>
      <c r="R82" s="32"/>
      <c r="S82" s="32">
        <v>570</v>
      </c>
      <c r="T82" s="32">
        <v>680</v>
      </c>
      <c r="U82" s="33">
        <v>30</v>
      </c>
    </row>
    <row r="83" spans="1:21" ht="15.75" x14ac:dyDescent="0.25">
      <c r="A83" s="31" t="s">
        <v>2695</v>
      </c>
      <c r="B83" s="32"/>
      <c r="C83" s="32" t="s">
        <v>2660</v>
      </c>
      <c r="D83" s="32" t="s">
        <v>2770</v>
      </c>
      <c r="E83" s="32">
        <v>17</v>
      </c>
      <c r="F83" s="32">
        <v>0.88800000000000001</v>
      </c>
      <c r="G83" s="32" t="s">
        <v>20</v>
      </c>
      <c r="H83" s="32">
        <f>Арм_Длина_ПМ(26800,T83,11700)</f>
        <v>28840</v>
      </c>
      <c r="I83" s="32">
        <v>12</v>
      </c>
      <c r="J83" s="32" t="s">
        <v>2</v>
      </c>
      <c r="K83" s="32"/>
      <c r="L83" s="32"/>
      <c r="M83" s="32"/>
      <c r="N83" s="32"/>
      <c r="O83" s="32"/>
      <c r="P83" s="32"/>
      <c r="Q83" s="32"/>
      <c r="R83" s="32"/>
      <c r="S83" s="32">
        <v>570</v>
      </c>
      <c r="T83" s="32">
        <v>680</v>
      </c>
      <c r="U83" s="33">
        <v>30</v>
      </c>
    </row>
    <row r="84" spans="1:21" ht="15.75" x14ac:dyDescent="0.25">
      <c r="A84" s="31" t="s">
        <v>2695</v>
      </c>
      <c r="B84" s="32"/>
      <c r="C84" s="32" t="s">
        <v>2660</v>
      </c>
      <c r="D84" s="32" t="s">
        <v>2771</v>
      </c>
      <c r="E84" s="32">
        <v>17</v>
      </c>
      <c r="F84" s="32">
        <v>0.88800000000000001</v>
      </c>
      <c r="G84" s="32" t="s">
        <v>20</v>
      </c>
      <c r="H84" s="32">
        <f>Арм_Длина_ПМ(26800,T84,11700)</f>
        <v>28840</v>
      </c>
      <c r="I84" s="32">
        <v>12</v>
      </c>
      <c r="J84" s="32" t="s">
        <v>2</v>
      </c>
      <c r="K84" s="32"/>
      <c r="L84" s="32"/>
      <c r="M84" s="32"/>
      <c r="N84" s="32"/>
      <c r="O84" s="32"/>
      <c r="P84" s="32"/>
      <c r="Q84" s="32"/>
      <c r="R84" s="32"/>
      <c r="S84" s="32">
        <v>570</v>
      </c>
      <c r="T84" s="32">
        <v>680</v>
      </c>
      <c r="U84" s="33">
        <v>30</v>
      </c>
    </row>
    <row r="85" spans="1:21" ht="15.75" x14ac:dyDescent="0.25">
      <c r="A85" s="31" t="s">
        <v>2695</v>
      </c>
      <c r="B85" s="32"/>
      <c r="C85" s="32" t="s">
        <v>2660</v>
      </c>
      <c r="D85" s="32" t="s">
        <v>2772</v>
      </c>
      <c r="E85" s="32">
        <v>13</v>
      </c>
      <c r="F85" s="32">
        <v>3.8530000000000002</v>
      </c>
      <c r="G85" s="32"/>
      <c r="H85" s="32">
        <v>2500</v>
      </c>
      <c r="I85" s="32">
        <v>25</v>
      </c>
      <c r="J85" s="32" t="s">
        <v>2</v>
      </c>
      <c r="K85" s="32"/>
      <c r="L85" s="32"/>
      <c r="M85" s="32"/>
      <c r="N85" s="32"/>
      <c r="O85" s="32"/>
      <c r="P85" s="32"/>
      <c r="Q85" s="32"/>
      <c r="R85" s="32"/>
      <c r="S85" s="32">
        <v>1180</v>
      </c>
      <c r="T85" s="32">
        <v>1415</v>
      </c>
      <c r="U85" s="33">
        <v>100</v>
      </c>
    </row>
    <row r="86" spans="1:21" ht="15.75" x14ac:dyDescent="0.25">
      <c r="A86" s="31" t="s">
        <v>2695</v>
      </c>
      <c r="B86" s="32"/>
      <c r="C86" s="32" t="s">
        <v>2660</v>
      </c>
      <c r="D86" s="32" t="s">
        <v>2773</v>
      </c>
      <c r="E86" s="32">
        <v>5</v>
      </c>
      <c r="F86" s="32">
        <v>0.88800000000000001</v>
      </c>
      <c r="G86" s="32"/>
      <c r="H86" s="32">
        <v>3800</v>
      </c>
      <c r="I86" s="32">
        <v>12</v>
      </c>
      <c r="J86" s="32" t="s">
        <v>2</v>
      </c>
      <c r="K86" s="32"/>
      <c r="L86" s="32"/>
      <c r="M86" s="32"/>
      <c r="N86" s="32"/>
      <c r="O86" s="32"/>
      <c r="P86" s="32"/>
      <c r="Q86" s="32"/>
      <c r="R86" s="32"/>
      <c r="S86" s="32">
        <v>570</v>
      </c>
      <c r="T86" s="32">
        <v>680</v>
      </c>
      <c r="U86" s="33">
        <v>30</v>
      </c>
    </row>
    <row r="87" spans="1:21" ht="15.75" x14ac:dyDescent="0.25">
      <c r="A87" s="31" t="s">
        <v>2695</v>
      </c>
      <c r="B87" s="32"/>
      <c r="C87" s="32" t="s">
        <v>2660</v>
      </c>
      <c r="D87" s="32" t="s">
        <v>2774</v>
      </c>
      <c r="E87" s="32">
        <v>13</v>
      </c>
      <c r="F87" s="32">
        <v>3.8530000000000002</v>
      </c>
      <c r="G87" s="32"/>
      <c r="H87" s="32">
        <v>2500</v>
      </c>
      <c r="I87" s="32">
        <v>25</v>
      </c>
      <c r="J87" s="32" t="s">
        <v>2</v>
      </c>
      <c r="K87" s="32"/>
      <c r="L87" s="32"/>
      <c r="M87" s="32"/>
      <c r="N87" s="32"/>
      <c r="O87" s="32"/>
      <c r="P87" s="32"/>
      <c r="Q87" s="32"/>
      <c r="R87" s="32"/>
      <c r="S87" s="32">
        <v>1180</v>
      </c>
      <c r="T87" s="32">
        <v>1415</v>
      </c>
      <c r="U87" s="33">
        <v>100</v>
      </c>
    </row>
    <row r="88" spans="1:21" ht="15.75" x14ac:dyDescent="0.25">
      <c r="A88" s="31" t="s">
        <v>2695</v>
      </c>
      <c r="B88" s="32"/>
      <c r="C88" s="32" t="s">
        <v>2660</v>
      </c>
      <c r="D88" s="32" t="s">
        <v>2775</v>
      </c>
      <c r="E88" s="32">
        <v>4</v>
      </c>
      <c r="F88" s="32">
        <v>0.88800000000000001</v>
      </c>
      <c r="G88" s="32"/>
      <c r="H88" s="32">
        <v>3550</v>
      </c>
      <c r="I88" s="32">
        <v>12</v>
      </c>
      <c r="J88" s="32" t="s">
        <v>2</v>
      </c>
      <c r="K88" s="32"/>
      <c r="L88" s="32"/>
      <c r="M88" s="32"/>
      <c r="N88" s="32"/>
      <c r="O88" s="32"/>
      <c r="P88" s="32"/>
      <c r="Q88" s="32"/>
      <c r="R88" s="32"/>
      <c r="S88" s="32">
        <v>570</v>
      </c>
      <c r="T88" s="32">
        <v>680</v>
      </c>
      <c r="U88" s="33">
        <v>30</v>
      </c>
    </row>
    <row r="89" spans="1:21" ht="15.75" x14ac:dyDescent="0.25">
      <c r="A89" s="31" t="s">
        <v>2695</v>
      </c>
      <c r="B89" s="32"/>
      <c r="C89" s="32" t="s">
        <v>2660</v>
      </c>
      <c r="D89" s="32" t="s">
        <v>2776</v>
      </c>
      <c r="E89" s="32">
        <v>10</v>
      </c>
      <c r="F89" s="32">
        <v>0.88800000000000001</v>
      </c>
      <c r="G89" s="32" t="s">
        <v>20</v>
      </c>
      <c r="H89" s="32">
        <f>Арм_Длина_ПМ(18950,T89,11700)</f>
        <v>20310</v>
      </c>
      <c r="I89" s="32">
        <v>12</v>
      </c>
      <c r="J89" s="32" t="s">
        <v>2</v>
      </c>
      <c r="K89" s="32"/>
      <c r="L89" s="32"/>
      <c r="M89" s="32"/>
      <c r="N89" s="32"/>
      <c r="O89" s="32"/>
      <c r="P89" s="32"/>
      <c r="Q89" s="32"/>
      <c r="R89" s="32"/>
      <c r="S89" s="32">
        <v>570</v>
      </c>
      <c r="T89" s="32">
        <v>680</v>
      </c>
      <c r="U89" s="33">
        <v>30</v>
      </c>
    </row>
    <row r="90" spans="1:21" ht="32.25" thickBot="1" x14ac:dyDescent="0.3">
      <c r="A90" s="34" t="s">
        <v>2663</v>
      </c>
      <c r="B90" s="12" t="s">
        <v>2663</v>
      </c>
      <c r="C90" s="12" t="s">
        <v>2710</v>
      </c>
      <c r="D90" s="12" t="s">
        <v>2711</v>
      </c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35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90 H2:Q2 K1 R1:S1 S2:U2">
    <cfRule type="containsText" dxfId="73" priority="13" stopIfTrue="1" operator="containsText" text="шт.)">
      <formula>NOT(ISERROR(SEARCH("шт.)",A1)))</formula>
    </cfRule>
    <cfRule type="containsText" dxfId="72" priority="12" stopIfTrue="1" operator="containsText" text=", на ">
      <formula>NOT(ISERROR(SEARCH(", на ",A1)))</formula>
    </cfRule>
    <cfRule type="containsText" dxfId="71" priority="11" stopIfTrue="1" operator="containsText" text="Элементы на отм.">
      <formula>NOT(ISERROR(SEARCH("Элементы на отм.",A1)))</formula>
    </cfRule>
    <cfRule type="containsText" dxfId="70" priority="10" stopIfTrue="1" operator="containsText" text=" Прокат ">
      <formula>NOT(ISERROR(SEARCH(" Прокат ",A1)))</formula>
    </cfRule>
    <cfRule type="containsText" dxfId="69" priority="9" stopIfTrue="1" operator="containsText" text=" Изделия арматурные ">
      <formula>NOT(ISERROR(SEARCH(" Изделия арматурные ",A1)))</formula>
    </cfRule>
    <cfRule type="containsText" dxfId="68" priority="8" stopIfTrue="1" operator="containsText" text=" Материалы ">
      <formula>NOT(ISERROR(SEARCH(" Материалы ",A1)))</formula>
    </cfRule>
    <cfRule type="containsText" dxfId="67" priority="7" stopIfTrue="1" operator="containsText" text=" Изделия ">
      <formula>NOT(ISERROR(SEARCH(" Изделия ",A1)))</formula>
    </cfRule>
    <cfRule type="containsText" dxfId="66" priority="6" stopIfTrue="1" operator="containsText" text=" Сборочные единицы ">
      <formula>NOT(ISERROR(SEARCH(" Сборочные единицы ",A1)))</formula>
    </cfRule>
    <cfRule type="containsText" dxfId="65" priority="5" stopIfTrue="1" operator="containsText" text=" Заполнения проёмов ">
      <formula>NOT(ISERROR(SEARCH(" Заполнения проёмов ",A1)))</formula>
    </cfRule>
    <cfRule type="containsText" dxfId="64" priority="4" stopIfTrue="1" operator="containsText" text="!!!">
      <formula>NOT(ISERROR(SEARCH("!!!",A1)))</formula>
    </cfRule>
    <cfRule type="containsText" dxfId="63" priority="3" stopIfTrue="1" operator="containsText" text="ИЗ ФАЙЛА">
      <formula>NOT(ISERROR(SEARCH("ИЗ ФАЙЛА",A1)))</formula>
    </cfRule>
    <cfRule type="containsText" dxfId="62" priority="2" stopIfTrue="1" operator="containsText" text="С ЛИСТА">
      <formula>NOT(ISERROR(SEARCH("С ЛИСТА",A1)))</formula>
    </cfRule>
  </conditionalFormatting>
  <conditionalFormatting sqref="A1:U1048576">
    <cfRule type="expression" dxfId="61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74">
        <x14:dataValidation type="list" errorStyle="warning" allowBlank="1" showInputMessage="1" showErrorMessage="1">
          <x14:formula1>
            <xm:f>'!System'!$AU$1:$AU$6</xm:f>
          </x14:formula1>
          <xm:sqref>G3:G90</xm:sqref>
        </x14:dataValidation>
        <x14:dataValidation type="list" allowBlank="1" showInputMessage="1" showErrorMessage="1">
          <x14:formula1>
            <xm:f>'!System'!$AA$1:$AI$1</xm:f>
          </x14:formula1>
          <xm:sqref>J3:J90</xm:sqref>
        </x14:dataValidation>
        <x14:dataValidation type="list" allowBlank="1" showInputMessage="1" showErrorMessage="1">
          <x14:formula1>
            <xm:f>'!System'!$A$1:$Y$1</xm:f>
          </x14:formula1>
          <xm:sqref>L3:L90</xm:sqref>
        </x14:dataValidation>
        <x14:dataValidation type="list" allowBlank="1" showInputMessage="1" showErrorMessage="1">
          <x14:formula1>
            <xm:f>'!System'!$AJ$1:$AT$1</xm:f>
          </x14:formula1>
          <xm:sqref>O3:O90</xm:sqref>
        </x14:dataValidation>
        <x14:dataValidation type="list" allowBlank="1" showInputMessage="1" showErrorMessage="1">
          <x14:formula1>
            <xm:f>'!System'!$AV$1:$AV$5</xm:f>
          </x14:formula1>
          <xm:sqref>P3:P90</xm:sqref>
        </x14:dataValidation>
        <x14:dataValidation type="list" allowBlank="1" showInputMessage="1" showErrorMessage="1">
          <x14:formula1>
            <xm:f>'!System'!$AA$2:$AA$17</xm:f>
          </x14:formula1>
          <xm:sqref>I12</xm:sqref>
        </x14:dataValidation>
        <x14:dataValidation type="list" allowBlank="1" showInputMessage="1" showErrorMessage="1">
          <x14:formula1>
            <xm:f>'!System'!$AA$2:$AA$17</xm:f>
          </x14:formula1>
          <xm:sqref>I13</xm:sqref>
        </x14:dataValidation>
        <x14:dataValidation type="list" allowBlank="1" showInputMessage="1" showErrorMessage="1">
          <x14:formula1>
            <xm:f>'!System'!$AA$2:$AA$17</xm:f>
          </x14:formula1>
          <xm:sqref>I14</xm:sqref>
        </x14:dataValidation>
        <x14:dataValidation type="list" allowBlank="1" showInputMessage="1" showErrorMessage="1">
          <x14:formula1>
            <xm:f>'!System'!$AA$2:$AA$17</xm:f>
          </x14:formula1>
          <xm:sqref>I15</xm:sqref>
        </x14:dataValidation>
        <x14:dataValidation type="list" allowBlank="1" showInputMessage="1" showErrorMessage="1">
          <x14:formula1>
            <xm:f>'!System'!$AA$2:$AA$17</xm:f>
          </x14:formula1>
          <xm:sqref>I17</xm:sqref>
        </x14:dataValidation>
        <x14:dataValidation type="list" allowBlank="1" showInputMessage="1" showErrorMessage="1">
          <x14:formula1>
            <xm:f>'!System'!$AA$2:$AA$17</xm:f>
          </x14:formula1>
          <xm:sqref>I26</xm:sqref>
        </x14:dataValidation>
        <x14:dataValidation type="list" allowBlank="1" showInputMessage="1" showErrorMessage="1">
          <x14:formula1>
            <xm:f>'!System'!$AA$2:$AA$17</xm:f>
          </x14:formula1>
          <xm:sqref>I27</xm:sqref>
        </x14:dataValidation>
        <x14:dataValidation type="list" allowBlank="1" showInputMessage="1" showErrorMessage="1">
          <x14:formula1>
            <xm:f>'!System'!$AA$2:$AA$17</xm:f>
          </x14:formula1>
          <xm:sqref>I28</xm:sqref>
        </x14:dataValidation>
        <x14:dataValidation type="list" allowBlank="1" showInputMessage="1" showErrorMessage="1">
          <x14:formula1>
            <xm:f>'!System'!$AA$2:$AA$17</xm:f>
          </x14:formula1>
          <xm:sqref>I29</xm:sqref>
        </x14:dataValidation>
        <x14:dataValidation type="list" allowBlank="1" showInputMessage="1" showErrorMessage="1">
          <x14:formula1>
            <xm:f>'!System'!$AA$2:$AA$17</xm:f>
          </x14:formula1>
          <xm:sqref>I30</xm:sqref>
        </x14:dataValidation>
        <x14:dataValidation type="list" allowBlank="1" showInputMessage="1" showErrorMessage="1">
          <x14:formula1>
            <xm:f>'!System'!$AA$2:$AA$17</xm:f>
          </x14:formula1>
          <xm:sqref>I31</xm:sqref>
        </x14:dataValidation>
        <x14:dataValidation type="list" allowBlank="1" showInputMessage="1" showErrorMessage="1">
          <x14:formula1>
            <xm:f>'!System'!$AA$2:$AA$17</xm:f>
          </x14:formula1>
          <xm:sqref>I32</xm:sqref>
        </x14:dataValidation>
        <x14:dataValidation type="list" allowBlank="1" showInputMessage="1" showErrorMessage="1">
          <x14:formula1>
            <xm:f>'!System'!$AA$2:$AA$17</xm:f>
          </x14:formula1>
          <xm:sqref>I33</xm:sqref>
        </x14:dataValidation>
        <x14:dataValidation type="list" allowBlank="1" showInputMessage="1" showErrorMessage="1">
          <x14:formula1>
            <xm:f>'!System'!$AA$2:$AA$17</xm:f>
          </x14:formula1>
          <xm:sqref>I34</xm:sqref>
        </x14:dataValidation>
        <x14:dataValidation type="list" allowBlank="1" showInputMessage="1" showErrorMessage="1">
          <x14:formula1>
            <xm:f>'!System'!$AA$2:$AA$17</xm:f>
          </x14:formula1>
          <xm:sqref>I35</xm:sqref>
        </x14:dataValidation>
        <x14:dataValidation type="list" allowBlank="1" showInputMessage="1" showErrorMessage="1">
          <x14:formula1>
            <xm:f>'!System'!$AA$2:$AA$17</xm:f>
          </x14:formula1>
          <xm:sqref>I36</xm:sqref>
        </x14:dataValidation>
        <x14:dataValidation type="list" allowBlank="1" showInputMessage="1" showErrorMessage="1">
          <x14:formula1>
            <xm:f>'!System'!$AA$2:$AA$17</xm:f>
          </x14:formula1>
          <xm:sqref>I37</xm:sqref>
        </x14:dataValidation>
        <x14:dataValidation type="list" allowBlank="1" showInputMessage="1" showErrorMessage="1">
          <x14:formula1>
            <xm:f>'!System'!$AA$2:$AA$17</xm:f>
          </x14:formula1>
          <xm:sqref>I38</xm:sqref>
        </x14:dataValidation>
        <x14:dataValidation type="list" allowBlank="1" showInputMessage="1" showErrorMessage="1">
          <x14:formula1>
            <xm:f>'!System'!$AA$2:$AA$17</xm:f>
          </x14:formula1>
          <xm:sqref>I39</xm:sqref>
        </x14:dataValidation>
        <x14:dataValidation type="list" allowBlank="1" showInputMessage="1" showErrorMessage="1">
          <x14:formula1>
            <xm:f>'!System'!$AA$2:$AA$17</xm:f>
          </x14:formula1>
          <xm:sqref>I40</xm:sqref>
        </x14:dataValidation>
        <x14:dataValidation type="list" allowBlank="1" showInputMessage="1" showErrorMessage="1">
          <x14:formula1>
            <xm:f>'!System'!$AA$2:$AA$17</xm:f>
          </x14:formula1>
          <xm:sqref>I41</xm:sqref>
        </x14:dataValidation>
        <x14:dataValidation type="list" allowBlank="1" showInputMessage="1" showErrorMessage="1">
          <x14:formula1>
            <xm:f>'!System'!$AA$2:$AA$17</xm:f>
          </x14:formula1>
          <xm:sqref>I42</xm:sqref>
        </x14:dataValidation>
        <x14:dataValidation type="list" allowBlank="1" showInputMessage="1" showErrorMessage="1">
          <x14:formula1>
            <xm:f>'!System'!$AA$2:$AA$17</xm:f>
          </x14:formula1>
          <xm:sqref>I43</xm:sqref>
        </x14:dataValidation>
        <x14:dataValidation type="list" allowBlank="1" showInputMessage="1" showErrorMessage="1">
          <x14:formula1>
            <xm:f>'!System'!$AA$2:$AA$17</xm:f>
          </x14:formula1>
          <xm:sqref>I44</xm:sqref>
        </x14:dataValidation>
        <x14:dataValidation type="list" allowBlank="1" showInputMessage="1" showErrorMessage="1">
          <x14:formula1>
            <xm:f>'!System'!$AA$2:$AA$17</xm:f>
          </x14:formula1>
          <xm:sqref>I45</xm:sqref>
        </x14:dataValidation>
        <x14:dataValidation type="list" allowBlank="1" showInputMessage="1" showErrorMessage="1">
          <x14:formula1>
            <xm:f>'!System'!$AA$2:$AA$17</xm:f>
          </x14:formula1>
          <xm:sqref>I46</xm:sqref>
        </x14:dataValidation>
        <x14:dataValidation type="list" allowBlank="1" showInputMessage="1" showErrorMessage="1">
          <x14:formula1>
            <xm:f>'!System'!$AA$2:$AA$17</xm:f>
          </x14:formula1>
          <xm:sqref>I47</xm:sqref>
        </x14:dataValidation>
        <x14:dataValidation type="list" allowBlank="1" showInputMessage="1" showErrorMessage="1">
          <x14:formula1>
            <xm:f>'!System'!$AA$2:$AA$17</xm:f>
          </x14:formula1>
          <xm:sqref>I48</xm:sqref>
        </x14:dataValidation>
        <x14:dataValidation type="list" allowBlank="1" showInputMessage="1" showErrorMessage="1">
          <x14:formula1>
            <xm:f>'!System'!$AA$2:$AA$17</xm:f>
          </x14:formula1>
          <xm:sqref>I49</xm:sqref>
        </x14:dataValidation>
        <x14:dataValidation type="list" allowBlank="1" showInputMessage="1" showErrorMessage="1">
          <x14:formula1>
            <xm:f>'!System'!$AA$2:$AA$17</xm:f>
          </x14:formula1>
          <xm:sqref>I50</xm:sqref>
        </x14:dataValidation>
        <x14:dataValidation type="list" allowBlank="1" showInputMessage="1" showErrorMessage="1">
          <x14:formula1>
            <xm:f>'!System'!$AA$2:$AA$17</xm:f>
          </x14:formula1>
          <xm:sqref>I51</xm:sqref>
        </x14:dataValidation>
        <x14:dataValidation type="list" allowBlank="1" showInputMessage="1" showErrorMessage="1">
          <x14:formula1>
            <xm:f>'!System'!$AA$2:$AA$17</xm:f>
          </x14:formula1>
          <xm:sqref>I52</xm:sqref>
        </x14:dataValidation>
        <x14:dataValidation type="list" allowBlank="1" showInputMessage="1" showErrorMessage="1">
          <x14:formula1>
            <xm:f>'!System'!$AA$2:$AA$17</xm:f>
          </x14:formula1>
          <xm:sqref>I53</xm:sqref>
        </x14:dataValidation>
        <x14:dataValidation type="list" allowBlank="1" showInputMessage="1" showErrorMessage="1">
          <x14:formula1>
            <xm:f>'!System'!$AA$2:$AA$17</xm:f>
          </x14:formula1>
          <xm:sqref>I54</xm:sqref>
        </x14:dataValidation>
        <x14:dataValidation type="list" allowBlank="1" showInputMessage="1" showErrorMessage="1">
          <x14:formula1>
            <xm:f>'!System'!$AA$2:$AA$17</xm:f>
          </x14:formula1>
          <xm:sqref>I55</xm:sqref>
        </x14:dataValidation>
        <x14:dataValidation type="list" allowBlank="1" showInputMessage="1" showErrorMessage="1">
          <x14:formula1>
            <xm:f>'!System'!$AA$2:$AA$17</xm:f>
          </x14:formula1>
          <xm:sqref>I56</xm:sqref>
        </x14:dataValidation>
        <x14:dataValidation type="list" allowBlank="1" showInputMessage="1" showErrorMessage="1">
          <x14:formula1>
            <xm:f>'!System'!$AA$2:$AA$17</xm:f>
          </x14:formula1>
          <xm:sqref>I57</xm:sqref>
        </x14:dataValidation>
        <x14:dataValidation type="list" allowBlank="1" showInputMessage="1" showErrorMessage="1">
          <x14:formula1>
            <xm:f>'!System'!$AA$2:$AA$17</xm:f>
          </x14:formula1>
          <xm:sqref>I58</xm:sqref>
        </x14:dataValidation>
        <x14:dataValidation type="list" allowBlank="1" showInputMessage="1" showErrorMessage="1">
          <x14:formula1>
            <xm:f>'!System'!$AA$2:$AA$17</xm:f>
          </x14:formula1>
          <xm:sqref>I59</xm:sqref>
        </x14:dataValidation>
        <x14:dataValidation type="list" allowBlank="1" showInputMessage="1" showErrorMessage="1">
          <x14:formula1>
            <xm:f>'!System'!$AA$2:$AA$17</xm:f>
          </x14:formula1>
          <xm:sqref>I60</xm:sqref>
        </x14:dataValidation>
        <x14:dataValidation type="list" allowBlank="1" showInputMessage="1" showErrorMessage="1">
          <x14:formula1>
            <xm:f>'!System'!$AA$2:$AA$17</xm:f>
          </x14:formula1>
          <xm:sqref>I61</xm:sqref>
        </x14:dataValidation>
        <x14:dataValidation type="list" allowBlank="1" showInputMessage="1" showErrorMessage="1">
          <x14:formula1>
            <xm:f>'!System'!$AA$2:$AA$17</xm:f>
          </x14:formula1>
          <xm:sqref>I62</xm:sqref>
        </x14:dataValidation>
        <x14:dataValidation type="list" allowBlank="1" showInputMessage="1" showErrorMessage="1">
          <x14:formula1>
            <xm:f>'!System'!$AA$2:$AA$17</xm:f>
          </x14:formula1>
          <xm:sqref>I63</xm:sqref>
        </x14:dataValidation>
        <x14:dataValidation type="list" allowBlank="1" showInputMessage="1" showErrorMessage="1">
          <x14:formula1>
            <xm:f>'!System'!$AA$2:$AA$17</xm:f>
          </x14:formula1>
          <xm:sqref>I64</xm:sqref>
        </x14:dataValidation>
        <x14:dataValidation type="list" allowBlank="1" showInputMessage="1" showErrorMessage="1">
          <x14:formula1>
            <xm:f>'!System'!$AA$2:$AA$17</xm:f>
          </x14:formula1>
          <xm:sqref>I65</xm:sqref>
        </x14:dataValidation>
        <x14:dataValidation type="list" allowBlank="1" showInputMessage="1" showErrorMessage="1">
          <x14:formula1>
            <xm:f>'!System'!$AA$2:$AA$17</xm:f>
          </x14:formula1>
          <xm:sqref>I66</xm:sqref>
        </x14:dataValidation>
        <x14:dataValidation type="list" allowBlank="1" showInputMessage="1" showErrorMessage="1">
          <x14:formula1>
            <xm:f>'!System'!$AA$2:$AA$17</xm:f>
          </x14:formula1>
          <xm:sqref>I67</xm:sqref>
        </x14:dataValidation>
        <x14:dataValidation type="list" allowBlank="1" showInputMessage="1" showErrorMessage="1">
          <x14:formula1>
            <xm:f>'!System'!$AA$2:$AA$17</xm:f>
          </x14:formula1>
          <xm:sqref>I68</xm:sqref>
        </x14:dataValidation>
        <x14:dataValidation type="list" allowBlank="1" showInputMessage="1" showErrorMessage="1">
          <x14:formula1>
            <xm:f>'!System'!$AA$2:$AA$17</xm:f>
          </x14:formula1>
          <xm:sqref>I69</xm:sqref>
        </x14:dataValidation>
        <x14:dataValidation type="list" allowBlank="1" showInputMessage="1" showErrorMessage="1">
          <x14:formula1>
            <xm:f>'!System'!$AA$2:$AA$17</xm:f>
          </x14:formula1>
          <xm:sqref>I70</xm:sqref>
        </x14:dataValidation>
        <x14:dataValidation type="list" allowBlank="1" showInputMessage="1" showErrorMessage="1">
          <x14:formula1>
            <xm:f>'!System'!$AA$2:$AA$17</xm:f>
          </x14:formula1>
          <xm:sqref>I71</xm:sqref>
        </x14:dataValidation>
        <x14:dataValidation type="list" allowBlank="1" showInputMessage="1" showErrorMessage="1">
          <x14:formula1>
            <xm:f>'!System'!$AA$2:$AA$17</xm:f>
          </x14:formula1>
          <xm:sqref>I72</xm:sqref>
        </x14:dataValidation>
        <x14:dataValidation type="list" allowBlank="1" showInputMessage="1" showErrorMessage="1">
          <x14:formula1>
            <xm:f>'!System'!$AA$2:$AA$17</xm:f>
          </x14:formula1>
          <xm:sqref>I73</xm:sqref>
        </x14:dataValidation>
        <x14:dataValidation type="list" allowBlank="1" showInputMessage="1" showErrorMessage="1">
          <x14:formula1>
            <xm:f>'!System'!$AA$2:$AA$17</xm:f>
          </x14:formula1>
          <xm:sqref>I74</xm:sqref>
        </x14:dataValidation>
        <x14:dataValidation type="list" allowBlank="1" showInputMessage="1" showErrorMessage="1">
          <x14:formula1>
            <xm:f>'!System'!$AA$2:$AA$17</xm:f>
          </x14:formula1>
          <xm:sqref>I75</xm:sqref>
        </x14:dataValidation>
        <x14:dataValidation type="list" allowBlank="1" showInputMessage="1" showErrorMessage="1">
          <x14:formula1>
            <xm:f>'!System'!$AA$2:$AA$17</xm:f>
          </x14:formula1>
          <xm:sqref>I76</xm:sqref>
        </x14:dataValidation>
        <x14:dataValidation type="list" allowBlank="1" showInputMessage="1" showErrorMessage="1">
          <x14:formula1>
            <xm:f>'!System'!$AA$2:$AA$17</xm:f>
          </x14:formula1>
          <xm:sqref>I77</xm:sqref>
        </x14:dataValidation>
        <x14:dataValidation type="list" allowBlank="1" showInputMessage="1" showErrorMessage="1">
          <x14:formula1>
            <xm:f>'!System'!$AA$2:$AA$17</xm:f>
          </x14:formula1>
          <xm:sqref>I78</xm:sqref>
        </x14:dataValidation>
        <x14:dataValidation type="list" allowBlank="1" showInputMessage="1" showErrorMessage="1">
          <x14:formula1>
            <xm:f>'!System'!$AA$2:$AA$17</xm:f>
          </x14:formula1>
          <xm:sqref>I79</xm:sqref>
        </x14:dataValidation>
        <x14:dataValidation type="list" allowBlank="1" showInputMessage="1" showErrorMessage="1">
          <x14:formula1>
            <xm:f>'!System'!$AA$2:$AA$17</xm:f>
          </x14:formula1>
          <xm:sqref>I80</xm:sqref>
        </x14:dataValidation>
        <x14:dataValidation type="list" allowBlank="1" showInputMessage="1" showErrorMessage="1">
          <x14:formula1>
            <xm:f>'!System'!$AA$2:$AA$17</xm:f>
          </x14:formula1>
          <xm:sqref>I81</xm:sqref>
        </x14:dataValidation>
        <x14:dataValidation type="list" allowBlank="1" showInputMessage="1" showErrorMessage="1">
          <x14:formula1>
            <xm:f>'!System'!$AA$2:$AA$17</xm:f>
          </x14:formula1>
          <xm:sqref>I82</xm:sqref>
        </x14:dataValidation>
        <x14:dataValidation type="list" allowBlank="1" showInputMessage="1" showErrorMessage="1">
          <x14:formula1>
            <xm:f>'!System'!$AA$2:$AA$17</xm:f>
          </x14:formula1>
          <xm:sqref>I83</xm:sqref>
        </x14:dataValidation>
        <x14:dataValidation type="list" allowBlank="1" showInputMessage="1" showErrorMessage="1">
          <x14:formula1>
            <xm:f>'!System'!$AA$2:$AA$17</xm:f>
          </x14:formula1>
          <xm:sqref>I84</xm:sqref>
        </x14:dataValidation>
        <x14:dataValidation type="list" allowBlank="1" showInputMessage="1" showErrorMessage="1">
          <x14:formula1>
            <xm:f>'!System'!$AA$2:$AA$17</xm:f>
          </x14:formula1>
          <xm:sqref>I85</xm:sqref>
        </x14:dataValidation>
        <x14:dataValidation type="list" allowBlank="1" showInputMessage="1" showErrorMessage="1">
          <x14:formula1>
            <xm:f>'!System'!$AA$2:$AA$17</xm:f>
          </x14:formula1>
          <xm:sqref>I86</xm:sqref>
        </x14:dataValidation>
        <x14:dataValidation type="list" allowBlank="1" showInputMessage="1" showErrorMessage="1">
          <x14:formula1>
            <xm:f>'!System'!$AA$2:$AA$17</xm:f>
          </x14:formula1>
          <xm:sqref>I87</xm:sqref>
        </x14:dataValidation>
        <x14:dataValidation type="list" allowBlank="1" showInputMessage="1" showErrorMessage="1">
          <x14:formula1>
            <xm:f>'!System'!$AA$2:$AA$17</xm:f>
          </x14:formula1>
          <xm:sqref>I88</xm:sqref>
        </x14:dataValidation>
        <x14:dataValidation type="list" allowBlank="1" showInputMessage="1" showErrorMessage="1">
          <x14:formula1>
            <xm:f>'!System'!$AA$2:$AA$17</xm:f>
          </x14:formula1>
          <xm:sqref>I89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4"/>
  <sheetViews>
    <sheetView workbookViewId="0">
      <selection activeCell="D21" sqref="D21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59" t="s">
        <v>2635</v>
      </c>
      <c r="B1" s="57" t="s">
        <v>2636</v>
      </c>
      <c r="C1" s="57" t="s">
        <v>2637</v>
      </c>
      <c r="D1" s="57" t="s">
        <v>2638</v>
      </c>
      <c r="E1" s="57" t="s">
        <v>2639</v>
      </c>
      <c r="F1" s="57" t="s">
        <v>2640</v>
      </c>
      <c r="G1" s="57" t="s">
        <v>2641</v>
      </c>
      <c r="H1" s="61" t="s">
        <v>2643</v>
      </c>
      <c r="I1" s="62"/>
      <c r="J1" s="63"/>
      <c r="K1" s="61" t="s">
        <v>2647</v>
      </c>
      <c r="L1" s="62"/>
      <c r="M1" s="62"/>
      <c r="N1" s="62"/>
      <c r="O1" s="62"/>
      <c r="P1" s="62"/>
      <c r="Q1" s="63"/>
      <c r="R1" s="57" t="s">
        <v>2642</v>
      </c>
      <c r="S1" s="61" t="s">
        <v>2655</v>
      </c>
      <c r="T1" s="62"/>
      <c r="U1" s="64"/>
    </row>
    <row r="2" spans="1:21" ht="63" x14ac:dyDescent="0.25">
      <c r="A2" s="60"/>
      <c r="B2" s="58"/>
      <c r="C2" s="58"/>
      <c r="D2" s="58"/>
      <c r="E2" s="58"/>
      <c r="F2" s="58"/>
      <c r="G2" s="58"/>
      <c r="H2" s="15" t="s">
        <v>2644</v>
      </c>
      <c r="I2" s="15" t="s">
        <v>2645</v>
      </c>
      <c r="J2" s="15" t="s">
        <v>2646</v>
      </c>
      <c r="K2" s="15" t="s">
        <v>2648</v>
      </c>
      <c r="L2" s="15" t="s">
        <v>2649</v>
      </c>
      <c r="M2" s="15" t="s">
        <v>2650</v>
      </c>
      <c r="N2" s="15" t="s">
        <v>2651</v>
      </c>
      <c r="O2" s="15" t="s">
        <v>2652</v>
      </c>
      <c r="P2" s="15" t="s">
        <v>2653</v>
      </c>
      <c r="Q2" s="15" t="s">
        <v>2654</v>
      </c>
      <c r="R2" s="58"/>
      <c r="S2" s="15" t="s">
        <v>2656</v>
      </c>
      <c r="T2" s="15" t="s">
        <v>2657</v>
      </c>
      <c r="U2" s="14" t="s">
        <v>2658</v>
      </c>
    </row>
    <row r="3" spans="1:21" ht="15.75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1:21" ht="15.75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ht="15.75" x14ac:dyDescent="0.25">
      <c r="A5" s="30" t="s">
        <v>2685</v>
      </c>
      <c r="B5" s="29" t="str">
        <f>A5</f>
        <v>Кр1</v>
      </c>
      <c r="C5" s="29" t="s">
        <v>2678</v>
      </c>
      <c r="D5" s="29" t="str">
        <f>CONCATENATE("Каркас ",B5)</f>
        <v>Каркас Кр1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8"/>
    </row>
    <row r="6" spans="1:21" ht="31.5" x14ac:dyDescent="0.25">
      <c r="A6" s="13" t="str">
        <f>A5</f>
        <v>Кр1</v>
      </c>
      <c r="B6" s="15">
        <v>2</v>
      </c>
      <c r="C6" s="15" t="s">
        <v>2680</v>
      </c>
      <c r="D6" s="15" t="s">
        <v>2677</v>
      </c>
      <c r="E6" s="15">
        <v>9</v>
      </c>
      <c r="F6" s="19">
        <v>0.39500000000000002</v>
      </c>
      <c r="G6" s="15"/>
      <c r="H6" s="15">
        <v>360</v>
      </c>
      <c r="I6" s="15">
        <v>8</v>
      </c>
      <c r="J6" s="15" t="s">
        <v>1</v>
      </c>
      <c r="K6" s="15"/>
      <c r="L6" s="15"/>
      <c r="M6" s="15"/>
      <c r="N6" s="15"/>
      <c r="O6" s="15"/>
      <c r="P6" s="15"/>
      <c r="Q6" s="15"/>
      <c r="R6" s="15"/>
      <c r="S6" s="15" t="s">
        <v>2659</v>
      </c>
      <c r="T6" s="15" t="s">
        <v>2659</v>
      </c>
      <c r="U6" s="14">
        <v>10</v>
      </c>
    </row>
    <row r="7" spans="1:21" ht="31.5" x14ac:dyDescent="0.25">
      <c r="A7" s="13" t="str">
        <f>A5</f>
        <v>Кр1</v>
      </c>
      <c r="B7" s="15">
        <v>1</v>
      </c>
      <c r="C7" s="15" t="s">
        <v>2680</v>
      </c>
      <c r="D7" s="15" t="s">
        <v>2676</v>
      </c>
      <c r="E7" s="15">
        <v>2</v>
      </c>
      <c r="F7" s="19">
        <v>0.39500000000000002</v>
      </c>
      <c r="G7" s="15"/>
      <c r="H7" s="15">
        <v>1280</v>
      </c>
      <c r="I7" s="15">
        <v>8</v>
      </c>
      <c r="J7" s="15" t="s">
        <v>1</v>
      </c>
      <c r="K7" s="15"/>
      <c r="L7" s="15"/>
      <c r="M7" s="15"/>
      <c r="N7" s="15"/>
      <c r="O7" s="15"/>
      <c r="P7" s="15"/>
      <c r="Q7" s="15"/>
      <c r="R7" s="15"/>
      <c r="S7" s="15" t="s">
        <v>2659</v>
      </c>
      <c r="T7" s="15" t="s">
        <v>2659</v>
      </c>
      <c r="U7" s="14">
        <v>10</v>
      </c>
    </row>
    <row r="8" spans="1:21" ht="15.75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21" ht="15.75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21" ht="15.75" x14ac:dyDescent="0.25">
      <c r="A10" s="30" t="s">
        <v>2684</v>
      </c>
      <c r="B10" s="29" t="str">
        <f>A10</f>
        <v>Кр2</v>
      </c>
      <c r="C10" s="29" t="s">
        <v>2678</v>
      </c>
      <c r="D10" s="29" t="str">
        <f>CONCATENATE("Каркас ",B10)</f>
        <v>Каркас Кр2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8"/>
    </row>
    <row r="11" spans="1:21" ht="31.5" x14ac:dyDescent="0.25">
      <c r="A11" s="13" t="str">
        <f>A10</f>
        <v>Кр2</v>
      </c>
      <c r="B11" s="15">
        <v>2</v>
      </c>
      <c r="C11" s="15" t="s">
        <v>2680</v>
      </c>
      <c r="D11" s="15" t="s">
        <v>2677</v>
      </c>
      <c r="E11" s="15">
        <v>9</v>
      </c>
      <c r="F11" s="19">
        <v>0.39500000000000002</v>
      </c>
      <c r="G11" s="15"/>
      <c r="H11" s="15">
        <v>245</v>
      </c>
      <c r="I11" s="15">
        <v>8</v>
      </c>
      <c r="J11" s="15" t="s">
        <v>1</v>
      </c>
      <c r="K11" s="15"/>
      <c r="L11" s="15"/>
      <c r="M11" s="15"/>
      <c r="N11" s="15"/>
      <c r="O11" s="15"/>
      <c r="P11" s="15"/>
      <c r="Q11" s="15"/>
      <c r="R11" s="15"/>
      <c r="S11" s="15" t="s">
        <v>2659</v>
      </c>
      <c r="T11" s="15" t="s">
        <v>2659</v>
      </c>
      <c r="U11" s="14">
        <v>10</v>
      </c>
    </row>
    <row r="12" spans="1:21" ht="31.5" x14ac:dyDescent="0.25">
      <c r="A12" s="13" t="str">
        <f>A10</f>
        <v>Кр2</v>
      </c>
      <c r="B12" s="15">
        <v>1</v>
      </c>
      <c r="C12" s="15" t="s">
        <v>2680</v>
      </c>
      <c r="D12" s="15" t="s">
        <v>2676</v>
      </c>
      <c r="E12" s="15">
        <v>2</v>
      </c>
      <c r="F12" s="19">
        <v>0.39500000000000002</v>
      </c>
      <c r="G12" s="15"/>
      <c r="H12" s="15">
        <v>1280</v>
      </c>
      <c r="I12" s="15">
        <v>8</v>
      </c>
      <c r="J12" s="15" t="s">
        <v>1</v>
      </c>
      <c r="K12" s="15"/>
      <c r="L12" s="15"/>
      <c r="M12" s="15"/>
      <c r="N12" s="15"/>
      <c r="O12" s="15"/>
      <c r="P12" s="15"/>
      <c r="Q12" s="15"/>
      <c r="R12" s="15"/>
      <c r="S12" s="15" t="s">
        <v>2659</v>
      </c>
      <c r="T12" s="15" t="s">
        <v>2659</v>
      </c>
      <c r="U12" s="14">
        <v>10</v>
      </c>
    </row>
    <row r="13" spans="1:21" ht="15.75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1:21" ht="15.75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1:21" ht="15.75" x14ac:dyDescent="0.25">
      <c r="A15" s="30" t="s">
        <v>2683</v>
      </c>
      <c r="B15" s="29" t="str">
        <f>A15</f>
        <v>Кр3</v>
      </c>
      <c r="C15" s="29" t="s">
        <v>2678</v>
      </c>
      <c r="D15" s="29" t="str">
        <f>CONCATENATE("Каркас ",B15)</f>
        <v>Каркас Кр3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8"/>
    </row>
    <row r="16" spans="1:21" ht="31.5" x14ac:dyDescent="0.25">
      <c r="A16" s="13" t="str">
        <f>A15</f>
        <v>Кр3</v>
      </c>
      <c r="B16" s="15">
        <v>2</v>
      </c>
      <c r="C16" s="15" t="s">
        <v>2680</v>
      </c>
      <c r="D16" s="15" t="s">
        <v>2677</v>
      </c>
      <c r="E16" s="15">
        <v>9</v>
      </c>
      <c r="F16" s="19">
        <v>0.39500000000000002</v>
      </c>
      <c r="G16" s="15"/>
      <c r="H16" s="15">
        <v>325</v>
      </c>
      <c r="I16" s="15">
        <v>8</v>
      </c>
      <c r="J16" s="15" t="s">
        <v>1</v>
      </c>
      <c r="K16" s="15"/>
      <c r="L16" s="15"/>
      <c r="M16" s="15"/>
      <c r="N16" s="15"/>
      <c r="O16" s="15"/>
      <c r="P16" s="15"/>
      <c r="Q16" s="15"/>
      <c r="R16" s="15"/>
      <c r="S16" s="15" t="s">
        <v>2659</v>
      </c>
      <c r="T16" s="15" t="s">
        <v>2659</v>
      </c>
      <c r="U16" s="14">
        <v>10</v>
      </c>
    </row>
    <row r="17" spans="1:21" ht="31.5" x14ac:dyDescent="0.25">
      <c r="A17" s="13" t="str">
        <f>A15</f>
        <v>Кр3</v>
      </c>
      <c r="B17" s="15">
        <v>1</v>
      </c>
      <c r="C17" s="15" t="s">
        <v>2680</v>
      </c>
      <c r="D17" s="15" t="s">
        <v>2676</v>
      </c>
      <c r="E17" s="15">
        <v>2</v>
      </c>
      <c r="F17" s="19">
        <v>0.39500000000000002</v>
      </c>
      <c r="G17" s="15"/>
      <c r="H17" s="15">
        <v>1280</v>
      </c>
      <c r="I17" s="15">
        <v>8</v>
      </c>
      <c r="J17" s="15" t="s">
        <v>1</v>
      </c>
      <c r="K17" s="15"/>
      <c r="L17" s="15"/>
      <c r="M17" s="15"/>
      <c r="N17" s="15"/>
      <c r="O17" s="15"/>
      <c r="P17" s="15"/>
      <c r="Q17" s="15"/>
      <c r="R17" s="15"/>
      <c r="S17" s="15" t="s">
        <v>2659</v>
      </c>
      <c r="T17" s="15" t="s">
        <v>2659</v>
      </c>
      <c r="U17" s="14">
        <v>10</v>
      </c>
    </row>
    <row r="18" spans="1:21" ht="16.5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1:21" ht="16.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1" ht="16.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1" ht="15.75" x14ac:dyDescent="0.25">
      <c r="A21" s="30" t="s">
        <v>2682</v>
      </c>
      <c r="B21" s="29" t="str">
        <f>A21</f>
        <v>С1</v>
      </c>
      <c r="C21" s="29" t="s">
        <v>2678</v>
      </c>
      <c r="D21" s="29" t="str">
        <f>CONCATENATE("Сетка ",B21)</f>
        <v>Сетка С1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8"/>
    </row>
    <row r="22" spans="1:21" ht="31.5" x14ac:dyDescent="0.25">
      <c r="A22" s="13" t="str">
        <f>A21</f>
        <v>С1</v>
      </c>
      <c r="B22" s="15">
        <v>2</v>
      </c>
      <c r="C22" s="15" t="s">
        <v>2680</v>
      </c>
      <c r="D22" s="15" t="s">
        <v>2677</v>
      </c>
      <c r="E22" s="15">
        <v>17</v>
      </c>
      <c r="F22" s="19">
        <v>0.222</v>
      </c>
      <c r="G22" s="15"/>
      <c r="H22" s="15">
        <v>850</v>
      </c>
      <c r="I22" s="15">
        <v>6</v>
      </c>
      <c r="J22" s="15" t="s">
        <v>1</v>
      </c>
      <c r="K22" s="15"/>
      <c r="L22" s="15"/>
      <c r="M22" s="15"/>
      <c r="N22" s="15"/>
      <c r="O22" s="15"/>
      <c r="P22" s="15"/>
      <c r="Q22" s="15"/>
      <c r="R22" s="15"/>
      <c r="S22" s="15" t="s">
        <v>2659</v>
      </c>
      <c r="T22" s="15" t="s">
        <v>2659</v>
      </c>
      <c r="U22" s="14">
        <v>7.5</v>
      </c>
    </row>
    <row r="23" spans="1:21" ht="31.5" x14ac:dyDescent="0.25">
      <c r="A23" s="13" t="str">
        <f>A21</f>
        <v>С1</v>
      </c>
      <c r="B23" s="15">
        <v>1</v>
      </c>
      <c r="C23" s="15" t="s">
        <v>2680</v>
      </c>
      <c r="D23" s="15" t="s">
        <v>2676</v>
      </c>
      <c r="E23" s="15">
        <v>17</v>
      </c>
      <c r="F23" s="19">
        <v>0.222</v>
      </c>
      <c r="G23" s="15"/>
      <c r="H23" s="15">
        <v>850</v>
      </c>
      <c r="I23" s="15">
        <v>6</v>
      </c>
      <c r="J23" s="15" t="s">
        <v>1</v>
      </c>
      <c r="K23" s="15"/>
      <c r="L23" s="15"/>
      <c r="M23" s="15"/>
      <c r="N23" s="15"/>
      <c r="O23" s="15"/>
      <c r="P23" s="15"/>
      <c r="Q23" s="15"/>
      <c r="R23" s="15"/>
      <c r="S23" s="15" t="s">
        <v>2659</v>
      </c>
      <c r="T23" s="15" t="s">
        <v>2659</v>
      </c>
      <c r="U23" s="14">
        <v>7.5</v>
      </c>
    </row>
    <row r="24" spans="1:21" ht="16.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1" ht="16.5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1:21" ht="15.75" x14ac:dyDescent="0.25">
      <c r="A26" s="30" t="s">
        <v>2681</v>
      </c>
      <c r="B26" s="29" t="str">
        <f>A26</f>
        <v>С2</v>
      </c>
      <c r="C26" s="29" t="s">
        <v>2686</v>
      </c>
      <c r="D26" s="29" t="str">
        <f>CONCATENATE("Сетка ",B26)</f>
        <v>Сетка С2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8"/>
    </row>
    <row r="27" spans="1:21" ht="31.5" x14ac:dyDescent="0.25">
      <c r="A27" s="13" t="str">
        <f>A26</f>
        <v>С2</v>
      </c>
      <c r="B27" s="15">
        <v>2</v>
      </c>
      <c r="C27" s="15" t="s">
        <v>2680</v>
      </c>
      <c r="D27" s="15" t="s">
        <v>2677</v>
      </c>
      <c r="E27" s="15">
        <v>11</v>
      </c>
      <c r="F27" s="19">
        <v>0.222</v>
      </c>
      <c r="G27" s="15"/>
      <c r="H27" s="15">
        <v>550</v>
      </c>
      <c r="I27" s="15">
        <v>6</v>
      </c>
      <c r="J27" s="15" t="s">
        <v>1</v>
      </c>
      <c r="K27" s="15"/>
      <c r="L27" s="15"/>
      <c r="M27" s="15"/>
      <c r="N27" s="15"/>
      <c r="O27" s="15"/>
      <c r="P27" s="15"/>
      <c r="Q27" s="15"/>
      <c r="R27" s="15"/>
      <c r="S27" s="15" t="s">
        <v>2659</v>
      </c>
      <c r="T27" s="15" t="s">
        <v>2659</v>
      </c>
      <c r="U27" s="14">
        <v>7.5</v>
      </c>
    </row>
    <row r="28" spans="1:21" ht="31.5" x14ac:dyDescent="0.25">
      <c r="A28" s="13" t="str">
        <f>A26</f>
        <v>С2</v>
      </c>
      <c r="B28" s="15">
        <v>1</v>
      </c>
      <c r="C28" s="15" t="s">
        <v>2680</v>
      </c>
      <c r="D28" s="15" t="s">
        <v>2676</v>
      </c>
      <c r="E28" s="15">
        <v>11</v>
      </c>
      <c r="F28" s="19">
        <v>0.222</v>
      </c>
      <c r="G28" s="15"/>
      <c r="H28" s="15">
        <v>550</v>
      </c>
      <c r="I28" s="15">
        <v>6</v>
      </c>
      <c r="J28" s="15" t="s">
        <v>1</v>
      </c>
      <c r="K28" s="15"/>
      <c r="L28" s="15"/>
      <c r="M28" s="15"/>
      <c r="N28" s="15"/>
      <c r="O28" s="15"/>
      <c r="P28" s="15"/>
      <c r="Q28" s="15"/>
      <c r="R28" s="15"/>
      <c r="S28" s="15" t="s">
        <v>2659</v>
      </c>
      <c r="T28" s="15" t="s">
        <v>2659</v>
      </c>
      <c r="U28" s="14">
        <v>7.5</v>
      </c>
    </row>
    <row r="29" spans="1:21" ht="15.7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</row>
    <row r="30" spans="1:21" ht="15.7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</row>
    <row r="31" spans="1:21" ht="15.75" x14ac:dyDescent="0.25">
      <c r="A31" s="30" t="s">
        <v>2679</v>
      </c>
      <c r="B31" s="29" t="str">
        <f>A31</f>
        <v>С3</v>
      </c>
      <c r="C31" s="29" t="s">
        <v>2678</v>
      </c>
      <c r="D31" s="29" t="str">
        <f>CONCATENATE("Сетка ",B31)</f>
        <v>Сетка С3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8"/>
    </row>
    <row r="32" spans="1:21" ht="31.5" x14ac:dyDescent="0.25">
      <c r="A32" s="13" t="str">
        <f>A31</f>
        <v>С3</v>
      </c>
      <c r="B32" s="15">
        <v>2</v>
      </c>
      <c r="C32" s="15" t="s">
        <v>2667</v>
      </c>
      <c r="D32" s="15" t="s">
        <v>2677</v>
      </c>
      <c r="E32" s="15">
        <v>10</v>
      </c>
      <c r="F32" s="19">
        <v>0.61599999999999999</v>
      </c>
      <c r="G32" s="15"/>
      <c r="H32" s="15">
        <v>1160</v>
      </c>
      <c r="I32" s="15">
        <v>10</v>
      </c>
      <c r="J32" s="15" t="s">
        <v>2</v>
      </c>
      <c r="K32" s="15"/>
      <c r="L32" s="15"/>
      <c r="M32" s="15"/>
      <c r="N32" s="15"/>
      <c r="O32" s="15"/>
      <c r="P32" s="15"/>
      <c r="Q32" s="15"/>
      <c r="R32" s="15"/>
      <c r="S32" s="15" t="s">
        <v>2659</v>
      </c>
      <c r="T32" s="15" t="s">
        <v>2659</v>
      </c>
      <c r="U32" s="14">
        <v>25</v>
      </c>
    </row>
    <row r="33" spans="1:21" ht="31.5" x14ac:dyDescent="0.25">
      <c r="A33" s="13" t="str">
        <f>A31</f>
        <v>С3</v>
      </c>
      <c r="B33" s="15">
        <v>1</v>
      </c>
      <c r="C33" s="15" t="s">
        <v>2667</v>
      </c>
      <c r="D33" s="15" t="s">
        <v>2676</v>
      </c>
      <c r="E33" s="15">
        <v>12</v>
      </c>
      <c r="F33" s="19">
        <v>0.61599999999999999</v>
      </c>
      <c r="G33" s="15"/>
      <c r="H33" s="15">
        <v>1000</v>
      </c>
      <c r="I33" s="15">
        <v>10</v>
      </c>
      <c r="J33" s="15" t="s">
        <v>2</v>
      </c>
      <c r="K33" s="15"/>
      <c r="L33" s="15"/>
      <c r="M33" s="15"/>
      <c r="N33" s="15"/>
      <c r="O33" s="15"/>
      <c r="P33" s="15"/>
      <c r="Q33" s="15"/>
      <c r="R33" s="15"/>
      <c r="S33" s="15" t="s">
        <v>2659</v>
      </c>
      <c r="T33" s="15" t="s">
        <v>2659</v>
      </c>
      <c r="U33" s="14">
        <v>25</v>
      </c>
    </row>
    <row r="34" spans="1:21" ht="15.7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</row>
    <row r="35" spans="1:21" ht="15.7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</row>
    <row r="36" spans="1:21" ht="15.7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</row>
    <row r="37" spans="1:21" ht="15.75" x14ac:dyDescent="0.25">
      <c r="A37" s="30" t="s">
        <v>2675</v>
      </c>
      <c r="B37" s="29" t="str">
        <f>A37</f>
        <v>Зд1</v>
      </c>
      <c r="C37" s="29" t="s">
        <v>2671</v>
      </c>
      <c r="D37" s="29" t="s">
        <v>2674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8"/>
    </row>
    <row r="38" spans="1:21" ht="15.75" x14ac:dyDescent="0.25">
      <c r="A38" s="13" t="str">
        <f>A37</f>
        <v>Зд1</v>
      </c>
      <c r="B38" s="22">
        <v>1</v>
      </c>
      <c r="C38" s="22" t="s">
        <v>2661</v>
      </c>
      <c r="D38" s="22" t="s">
        <v>2673</v>
      </c>
      <c r="E38" s="22">
        <v>1</v>
      </c>
      <c r="F38" s="19">
        <v>3.77</v>
      </c>
      <c r="G38" s="15"/>
      <c r="H38" s="15"/>
      <c r="I38" s="15"/>
      <c r="J38" s="15"/>
      <c r="K38" s="15">
        <v>1000</v>
      </c>
      <c r="L38" s="15" t="s">
        <v>2046</v>
      </c>
      <c r="M38" s="15" t="s">
        <v>2071</v>
      </c>
      <c r="N38" s="15"/>
      <c r="O38" s="15" t="s">
        <v>5</v>
      </c>
      <c r="P38" s="15"/>
      <c r="Q38" s="15"/>
      <c r="R38" s="15"/>
      <c r="S38" s="15"/>
      <c r="T38" s="15"/>
      <c r="U38" s="14"/>
    </row>
    <row r="39" spans="1:21" ht="31.5" x14ac:dyDescent="0.25">
      <c r="A39" s="13" t="str">
        <f>A38</f>
        <v>Зд1</v>
      </c>
      <c r="B39" s="15">
        <v>2</v>
      </c>
      <c r="C39" s="15" t="s">
        <v>2667</v>
      </c>
      <c r="D39" s="15" t="s">
        <v>2666</v>
      </c>
      <c r="E39" s="15">
        <v>4</v>
      </c>
      <c r="F39" s="19">
        <v>0.39500000000000002</v>
      </c>
      <c r="G39" s="15"/>
      <c r="H39" s="15">
        <v>200</v>
      </c>
      <c r="I39" s="15">
        <v>8</v>
      </c>
      <c r="J39" s="15" t="s">
        <v>2</v>
      </c>
      <c r="K39" s="15"/>
      <c r="L39" s="15"/>
      <c r="M39" s="15"/>
      <c r="N39" s="15"/>
      <c r="O39" s="15"/>
      <c r="P39" s="15"/>
      <c r="Q39" s="15"/>
      <c r="R39" s="15"/>
      <c r="S39" s="15" t="s">
        <v>2659</v>
      </c>
      <c r="T39" s="15" t="s">
        <v>2659</v>
      </c>
      <c r="U39" s="14">
        <v>20</v>
      </c>
    </row>
    <row r="40" spans="1:21" ht="15.7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</row>
    <row r="41" spans="1:21" ht="15.7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</row>
    <row r="42" spans="1:21" ht="15.75" x14ac:dyDescent="0.25">
      <c r="A42" s="30" t="s">
        <v>2672</v>
      </c>
      <c r="B42" s="29" t="str">
        <f>A42</f>
        <v>Зд2</v>
      </c>
      <c r="C42" s="29" t="s">
        <v>2671</v>
      </c>
      <c r="D42" s="29" t="s">
        <v>2670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8"/>
    </row>
    <row r="43" spans="1:21" ht="15.75" x14ac:dyDescent="0.25">
      <c r="A43" s="13" t="str">
        <f>A42</f>
        <v>Зд2</v>
      </c>
      <c r="B43" s="22">
        <v>1</v>
      </c>
      <c r="C43" s="22" t="s">
        <v>2669</v>
      </c>
      <c r="D43" s="22" t="s">
        <v>2668</v>
      </c>
      <c r="E43" s="22">
        <v>1</v>
      </c>
      <c r="F43" s="19">
        <v>47.1</v>
      </c>
      <c r="G43" s="15"/>
      <c r="H43" s="15"/>
      <c r="I43" s="15"/>
      <c r="J43" s="15"/>
      <c r="K43" s="19">
        <f>100*200</f>
        <v>20000</v>
      </c>
      <c r="L43" s="15" t="s">
        <v>2356</v>
      </c>
      <c r="M43" s="15" t="s">
        <v>2587</v>
      </c>
      <c r="N43" s="15"/>
      <c r="O43" s="15" t="s">
        <v>5</v>
      </c>
      <c r="P43" s="15"/>
      <c r="Q43" s="15"/>
      <c r="R43" s="15"/>
      <c r="S43" s="15"/>
      <c r="T43" s="15"/>
      <c r="U43" s="14"/>
    </row>
    <row r="44" spans="1:21" ht="32.25" thickBot="1" x14ac:dyDescent="0.3">
      <c r="A44" s="16" t="str">
        <f>A43</f>
        <v>Зд2</v>
      </c>
      <c r="B44" s="17">
        <v>2</v>
      </c>
      <c r="C44" s="17" t="s">
        <v>2667</v>
      </c>
      <c r="D44" s="17" t="s">
        <v>2666</v>
      </c>
      <c r="E44" s="17">
        <v>2</v>
      </c>
      <c r="F44" s="12">
        <v>0.39500000000000002</v>
      </c>
      <c r="G44" s="17"/>
      <c r="H44" s="17">
        <v>250</v>
      </c>
      <c r="I44" s="17">
        <v>8</v>
      </c>
      <c r="J44" s="17" t="s">
        <v>2</v>
      </c>
      <c r="K44" s="17"/>
      <c r="L44" s="17"/>
      <c r="M44" s="17"/>
      <c r="N44" s="17"/>
      <c r="O44" s="17"/>
      <c r="P44" s="17"/>
      <c r="Q44" s="17"/>
      <c r="R44" s="17"/>
      <c r="S44" s="17" t="s">
        <v>2659</v>
      </c>
      <c r="T44" s="17" t="s">
        <v>2659</v>
      </c>
      <c r="U44" s="18">
        <v>20</v>
      </c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44 H2:Q2 K1 R1:S1 S2:U2">
    <cfRule type="containsText" dxfId="60" priority="2" stopIfTrue="1" operator="containsText" text="С ЛИСТА">
      <formula>NOT(ISERROR(SEARCH("С ЛИСТА",A1)))</formula>
    </cfRule>
    <cfRule type="containsText" dxfId="59" priority="3" stopIfTrue="1" operator="containsText" text="ИЗ ФАЙЛА">
      <formula>NOT(ISERROR(SEARCH("ИЗ ФАЙЛА",A1)))</formula>
    </cfRule>
    <cfRule type="containsText" dxfId="58" priority="4" stopIfTrue="1" operator="containsText" text="!!!">
      <formula>NOT(ISERROR(SEARCH("!!!",A1)))</formula>
    </cfRule>
    <cfRule type="containsText" dxfId="57" priority="5" stopIfTrue="1" operator="containsText" text=" Изделия ">
      <formula>NOT(ISERROR(SEARCH(" Изделия ",A1)))</formula>
    </cfRule>
    <cfRule type="containsText" dxfId="56" priority="6" stopIfTrue="1" operator="containsText" text=" Прокат ">
      <formula>NOT(ISERROR(SEARCH(" Прокат ",A1)))</formula>
    </cfRule>
    <cfRule type="containsText" dxfId="55" priority="7" stopIfTrue="1" operator="containsText" text=" Сборочные единицы ">
      <formula>NOT(ISERROR(SEARCH(" Сборочные единицы ",A1)))</formula>
    </cfRule>
    <cfRule type="containsText" dxfId="54" priority="8" stopIfTrue="1" operator="containsText" text=" Материалы ">
      <formula>NOT(ISERROR(SEARCH(" Материалы ",A1)))</formula>
    </cfRule>
    <cfRule type="containsText" dxfId="53" priority="9" stopIfTrue="1" operator="containsText" text="Элементы на отм.">
      <formula>NOT(ISERROR(SEARCH("Элементы на отм.",A1)))</formula>
    </cfRule>
    <cfRule type="containsText" dxfId="52" priority="10" stopIfTrue="1" operator="containsText" text=", на ">
      <formula>NOT(ISERROR(SEARCH(", на ",A1)))</formula>
    </cfRule>
    <cfRule type="containsText" dxfId="51" priority="11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I44 I39 I32:I33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M43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M38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I27:I28 I22:I23 I16:I17 I11:I12 I6:I7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P3:P44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O3:O44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L3:L44</xm:sqref>
        </x14:dataValidation>
        <x14:dataValidation type="list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J3:J44</xm:sqref>
        </x14:dataValidation>
        <x14:dataValidation type="list" errorStyle="warning" allowBlank="1" showInputMessage="1" showErrorMessage="1">
          <x14:formula1>
            <xm:f>'D:\Рогожин ДА\prog\YandexDisk\Работа\material-specification\[Спец Воздуходувка.xlsm]!System'!#REF!</xm:f>
          </x14:formula1>
          <xm:sqref>G3:G44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7" tint="0.39997558519241921"/>
  </sheetPr>
  <dimension ref="A1:C13"/>
  <sheetViews>
    <sheetView workbookViewId="0">
      <selection activeCell="B32" sqref="B32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42" t="s">
        <v>2785</v>
      </c>
      <c r="B1" s="43" t="s">
        <v>2786</v>
      </c>
      <c r="C1" s="44" t="s">
        <v>2787</v>
      </c>
    </row>
    <row r="2" spans="1:3" x14ac:dyDescent="0.25">
      <c r="A2" s="37" t="s">
        <v>2788</v>
      </c>
      <c r="B2" s="36" t="s">
        <v>2789</v>
      </c>
      <c r="C2" s="40" t="s">
        <v>2790</v>
      </c>
    </row>
    <row r="3" spans="1:3" x14ac:dyDescent="0.25">
      <c r="A3" s="37" t="s">
        <v>2791</v>
      </c>
      <c r="B3" s="36" t="s">
        <v>2789</v>
      </c>
      <c r="C3" s="40" t="s">
        <v>2792</v>
      </c>
    </row>
    <row r="4" spans="1:3" x14ac:dyDescent="0.25">
      <c r="A4" s="37" t="s">
        <v>2793</v>
      </c>
      <c r="B4" s="36" t="s">
        <v>2794</v>
      </c>
      <c r="C4" s="40" t="s">
        <v>2795</v>
      </c>
    </row>
    <row r="5" spans="1:3" x14ac:dyDescent="0.25">
      <c r="A5" s="37" t="s">
        <v>2796</v>
      </c>
      <c r="B5" s="36" t="s">
        <v>2703</v>
      </c>
      <c r="C5" s="40" t="s">
        <v>2797</v>
      </c>
    </row>
    <row r="6" spans="1:3" x14ac:dyDescent="0.25">
      <c r="A6" s="37" t="s">
        <v>2798</v>
      </c>
      <c r="B6" s="36" t="s">
        <v>2799</v>
      </c>
      <c r="C6" s="40" t="s">
        <v>2800</v>
      </c>
    </row>
    <row r="7" spans="1:3" x14ac:dyDescent="0.25">
      <c r="A7" s="37" t="s">
        <v>2801</v>
      </c>
      <c r="B7" s="36" t="s">
        <v>2802</v>
      </c>
      <c r="C7" s="40" t="str">
        <f>A7</f>
        <v>Тип 2: Стена из газоблоков</v>
      </c>
    </row>
    <row r="8" spans="1:3" x14ac:dyDescent="0.25">
      <c r="A8" s="37" t="s">
        <v>2803</v>
      </c>
      <c r="B8" s="36" t="s">
        <v>2804</v>
      </c>
      <c r="C8" s="40" t="str">
        <f t="shared" ref="C8:C13" si="0">A8</f>
        <v>Тип 1: Наружная кирпичная стена</v>
      </c>
    </row>
    <row r="9" spans="1:3" x14ac:dyDescent="0.25">
      <c r="A9" s="37" t="s">
        <v>2805</v>
      </c>
      <c r="B9" s="36" t="s">
        <v>2799</v>
      </c>
      <c r="C9" s="40" t="str">
        <f t="shared" si="0"/>
        <v>П1</v>
      </c>
    </row>
    <row r="10" spans="1:3" x14ac:dyDescent="0.25">
      <c r="A10" s="37" t="s">
        <v>2806</v>
      </c>
      <c r="B10" s="36" t="s">
        <v>2799</v>
      </c>
      <c r="C10" s="40" t="str">
        <f t="shared" si="0"/>
        <v>П2</v>
      </c>
    </row>
    <row r="11" spans="1:3" x14ac:dyDescent="0.25">
      <c r="A11" s="37" t="s">
        <v>2807</v>
      </c>
      <c r="B11" s="36" t="s">
        <v>2808</v>
      </c>
      <c r="C11" s="40" t="str">
        <f t="shared" si="0"/>
        <v>Тип 4: ГКЛ перегородка тип С112</v>
      </c>
    </row>
    <row r="12" spans="1:3" x14ac:dyDescent="0.25">
      <c r="A12" s="37" t="s">
        <v>2809</v>
      </c>
      <c r="B12" s="36" t="s">
        <v>2810</v>
      </c>
      <c r="C12" s="40" t="str">
        <f t="shared" si="0"/>
        <v>Тип 3: Стена наружная железобетонная</v>
      </c>
    </row>
    <row r="13" spans="1:3" ht="15.75" thickBot="1" x14ac:dyDescent="0.3">
      <c r="A13" s="38" t="s">
        <v>2811</v>
      </c>
      <c r="B13" s="39" t="s">
        <v>2799</v>
      </c>
      <c r="C13" s="41" t="str">
        <f t="shared" si="0"/>
        <v>Низ ж/б лестниц</v>
      </c>
    </row>
  </sheetData>
  <conditionalFormatting sqref="A1:C13">
    <cfRule type="containsText" dxfId="50" priority="1" operator="containsText" text="Стены-разделители зон">
      <formula>NOT(ISERROR(SEARCH("Стены-разделители зон",A1)))</formula>
    </cfRule>
    <cfRule type="containsText" dxfId="49" priority="2" stopIfTrue="1" operator="containsText" text="Добавить">
      <formula>NOT(ISERROR(SEARCH("Добавить",A1)))</formula>
    </cfRule>
    <cfRule type="containsText" dxfId="48" priority="3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000000"/>
  </sheetPr>
  <dimension ref="A1:F15"/>
  <sheetViews>
    <sheetView workbookViewId="0">
      <selection activeCell="I8" sqref="I8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51" t="s">
        <v>2636</v>
      </c>
      <c r="B1" s="52" t="s">
        <v>2637</v>
      </c>
      <c r="C1" s="52" t="s">
        <v>2638</v>
      </c>
      <c r="D1" s="52" t="s">
        <v>2779</v>
      </c>
      <c r="E1" s="52" t="s">
        <v>2781</v>
      </c>
      <c r="F1" s="45" t="s">
        <v>2707</v>
      </c>
    </row>
    <row r="2" spans="1:6" ht="15.75" x14ac:dyDescent="0.25">
      <c r="A2" s="66" t="s">
        <v>2840</v>
      </c>
      <c r="B2" s="65"/>
      <c r="C2" s="65"/>
      <c r="D2" s="65"/>
      <c r="E2" s="65"/>
      <c r="F2" s="67"/>
    </row>
    <row r="3" spans="1:6" ht="15.75" x14ac:dyDescent="0.25">
      <c r="A3" s="66" t="s">
        <v>2819</v>
      </c>
      <c r="B3" s="65"/>
      <c r="C3" s="65"/>
      <c r="D3" s="65"/>
      <c r="E3" s="65"/>
      <c r="F3" s="67"/>
    </row>
    <row r="4" spans="1:6" ht="15.75" x14ac:dyDescent="0.25">
      <c r="A4" s="50">
        <v>1</v>
      </c>
      <c r="B4" s="65" t="s">
        <v>2660</v>
      </c>
      <c r="C4" s="49" t="s">
        <v>2813</v>
      </c>
      <c r="D4" s="49">
        <v>9788.2000000000007</v>
      </c>
      <c r="E4" s="49">
        <v>1.998</v>
      </c>
      <c r="F4" s="53" t="s">
        <v>2838</v>
      </c>
    </row>
    <row r="5" spans="1:6" ht="15.75" x14ac:dyDescent="0.25">
      <c r="A5" s="50">
        <v>2</v>
      </c>
      <c r="B5" s="65"/>
      <c r="C5" s="49" t="s">
        <v>2813</v>
      </c>
      <c r="D5" s="49">
        <v>11024.9</v>
      </c>
      <c r="E5" s="49">
        <v>1.998</v>
      </c>
      <c r="F5" s="53" t="s">
        <v>2839</v>
      </c>
    </row>
    <row r="6" spans="1:6" ht="15.75" x14ac:dyDescent="0.25">
      <c r="A6" s="66" t="s">
        <v>2820</v>
      </c>
      <c r="B6" s="65"/>
      <c r="C6" s="65"/>
      <c r="D6" s="65"/>
      <c r="E6" s="65"/>
      <c r="F6" s="67"/>
    </row>
    <row r="7" spans="1:6" ht="15.75" x14ac:dyDescent="0.25">
      <c r="A7" s="50" t="s">
        <v>2708</v>
      </c>
      <c r="B7" s="49" t="s">
        <v>2662</v>
      </c>
      <c r="C7" s="49" t="s">
        <v>2815</v>
      </c>
      <c r="D7" s="49">
        <v>192.02</v>
      </c>
      <c r="E7" s="49" t="s">
        <v>4</v>
      </c>
      <c r="F7" s="53" t="s">
        <v>3</v>
      </c>
    </row>
    <row r="8" spans="1:6" ht="15.75" x14ac:dyDescent="0.25">
      <c r="A8" s="66" t="s">
        <v>2814</v>
      </c>
      <c r="B8" s="65"/>
      <c r="C8" s="65"/>
      <c r="D8" s="65"/>
      <c r="E8" s="65"/>
      <c r="F8" s="67"/>
    </row>
    <row r="9" spans="1:6" ht="15.75" x14ac:dyDescent="0.25">
      <c r="A9" s="66" t="s">
        <v>2820</v>
      </c>
      <c r="B9" s="65"/>
      <c r="C9" s="65"/>
      <c r="D9" s="65"/>
      <c r="E9" s="65"/>
      <c r="F9" s="67"/>
    </row>
    <row r="10" spans="1:6" ht="47.25" x14ac:dyDescent="0.25">
      <c r="A10" s="50" t="s">
        <v>2708</v>
      </c>
      <c r="B10" s="65" t="s">
        <v>2708</v>
      </c>
      <c r="C10" s="49" t="s">
        <v>2827</v>
      </c>
      <c r="D10" s="49">
        <v>6.9433333333333325</v>
      </c>
      <c r="E10" s="49" t="s">
        <v>4</v>
      </c>
      <c r="F10" s="53" t="s">
        <v>3</v>
      </c>
    </row>
    <row r="11" spans="1:6" ht="31.5" x14ac:dyDescent="0.25">
      <c r="A11" s="50" t="s">
        <v>2708</v>
      </c>
      <c r="B11" s="65"/>
      <c r="C11" s="49" t="s">
        <v>2828</v>
      </c>
      <c r="D11" s="49">
        <v>1.6633333333333333</v>
      </c>
      <c r="E11" s="49" t="s">
        <v>4</v>
      </c>
      <c r="F11" s="53" t="s">
        <v>3</v>
      </c>
    </row>
    <row r="12" spans="1:6" ht="15.75" x14ac:dyDescent="0.25">
      <c r="A12" s="50" t="s">
        <v>2708</v>
      </c>
      <c r="B12" s="65" t="s">
        <v>2829</v>
      </c>
      <c r="C12" s="49" t="s">
        <v>2831</v>
      </c>
      <c r="D12" s="49">
        <v>33.327999999999996</v>
      </c>
      <c r="E12" s="49" t="s">
        <v>4</v>
      </c>
      <c r="F12" s="53" t="s">
        <v>2372</v>
      </c>
    </row>
    <row r="13" spans="1:6" ht="15.75" x14ac:dyDescent="0.25">
      <c r="A13" s="50" t="s">
        <v>2708</v>
      </c>
      <c r="B13" s="65"/>
      <c r="C13" s="49" t="s">
        <v>2832</v>
      </c>
      <c r="D13" s="49">
        <v>33.327999999999996</v>
      </c>
      <c r="E13" s="49" t="s">
        <v>4</v>
      </c>
      <c r="F13" s="53" t="s">
        <v>2372</v>
      </c>
    </row>
    <row r="14" spans="1:6" ht="47.25" x14ac:dyDescent="0.25">
      <c r="A14" s="50" t="s">
        <v>2708</v>
      </c>
      <c r="B14" s="49" t="s">
        <v>2830</v>
      </c>
      <c r="C14" s="49" t="s">
        <v>2836</v>
      </c>
      <c r="D14" s="49">
        <v>138.86666666666667</v>
      </c>
      <c r="E14" s="49" t="s">
        <v>4</v>
      </c>
      <c r="F14" s="53" t="s">
        <v>2373</v>
      </c>
    </row>
    <row r="15" spans="1:6" ht="32.25" thickBot="1" x14ac:dyDescent="0.3">
      <c r="A15" s="46" t="s">
        <v>2708</v>
      </c>
      <c r="B15" s="48" t="s">
        <v>2708</v>
      </c>
      <c r="C15" s="48" t="s">
        <v>2833</v>
      </c>
      <c r="D15" s="48">
        <v>1.6666666666666667</v>
      </c>
      <c r="E15" s="48" t="s">
        <v>4</v>
      </c>
      <c r="F15" s="47" t="s">
        <v>3</v>
      </c>
    </row>
  </sheetData>
  <mergeCells count="8">
    <mergeCell ref="B10:B11"/>
    <mergeCell ref="B12:B13"/>
    <mergeCell ref="A2:F2"/>
    <mergeCell ref="A3:F3"/>
    <mergeCell ref="A6:F6"/>
    <mergeCell ref="A8:F8"/>
    <mergeCell ref="A9:F9"/>
    <mergeCell ref="B4:B5"/>
  </mergeCells>
  <conditionalFormatting sqref="A1:F15">
    <cfRule type="containsText" dxfId="47" priority="12" stopIfTrue="1" operator="containsText" text="шт.)">
      <formula>NOT(ISERROR(SEARCH("шт.)",A1)))</formula>
    </cfRule>
    <cfRule type="containsText" dxfId="46" priority="11" stopIfTrue="1" operator="containsText" text=", на ">
      <formula>NOT(ISERROR(SEARCH(", на ",A1)))</formula>
    </cfRule>
    <cfRule type="containsText" dxfId="45" priority="10" stopIfTrue="1" operator="containsText" text="Элементы на отм.">
      <formula>NOT(ISERROR(SEARCH("Элементы на отм.",A1)))</formula>
    </cfRule>
    <cfRule type="containsText" dxfId="44" priority="9" stopIfTrue="1" operator="containsText" text=" Прокат ">
      <formula>NOT(ISERROR(SEARCH(" Прокат ",A1)))</formula>
    </cfRule>
    <cfRule type="containsText" dxfId="43" priority="8" stopIfTrue="1" operator="containsText" text=" Изделия арматурные ">
      <formula>NOT(ISERROR(SEARCH(" Изделия арматурные ",A1)))</formula>
    </cfRule>
    <cfRule type="containsText" dxfId="42" priority="7" stopIfTrue="1" operator="containsText" text=" Материалы ">
      <formula>NOT(ISERROR(SEARCH(" Материалы ",A1)))</formula>
    </cfRule>
    <cfRule type="containsText" dxfId="41" priority="6" stopIfTrue="1" operator="containsText" text=" Изделия ">
      <formula>NOT(ISERROR(SEARCH(" Изделия ",A1)))</formula>
    </cfRule>
    <cfRule type="containsText" dxfId="40" priority="5" stopIfTrue="1" operator="containsText" text=" Сборочные единицы ">
      <formula>NOT(ISERROR(SEARCH(" Сборочные единицы ",A1)))</formula>
    </cfRule>
    <cfRule type="containsText" dxfId="39" priority="4" stopIfTrue="1" operator="containsText" text=" Заполнения проёмов ">
      <formula>NOT(ISERROR(SEARCH(" Заполнения проёмов ",A1)))</formula>
    </cfRule>
    <cfRule type="containsText" dxfId="38" priority="3" stopIfTrue="1" operator="containsText" text="!!!">
      <formula>NOT(ISERROR(SEARCH("!!!",A1)))</formula>
    </cfRule>
    <cfRule type="containsText" dxfId="37" priority="2" stopIfTrue="1" operator="containsText" text="ИЗ ФАЙЛА">
      <formula>NOT(ISERROR(SEARCH("ИЗ ФАЙЛА",A1)))</formula>
    </cfRule>
    <cfRule type="containsText" dxfId="36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F3"/>
  <sheetViews>
    <sheetView workbookViewId="0">
      <selection activeCell="C10" sqref="C10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51" t="s">
        <v>2636</v>
      </c>
      <c r="B1" s="52" t="s">
        <v>2637</v>
      </c>
      <c r="C1" s="52" t="s">
        <v>2638</v>
      </c>
      <c r="D1" s="52" t="s">
        <v>2779</v>
      </c>
      <c r="E1" s="52" t="s">
        <v>2781</v>
      </c>
      <c r="F1" s="45" t="s">
        <v>2707</v>
      </c>
    </row>
    <row r="2" spans="1:6" ht="15.75" x14ac:dyDescent="0.25">
      <c r="A2" s="66" t="s">
        <v>2859</v>
      </c>
      <c r="B2" s="65"/>
      <c r="C2" s="65"/>
      <c r="D2" s="65"/>
      <c r="E2" s="65"/>
      <c r="F2" s="67"/>
    </row>
    <row r="3" spans="1:6" ht="16.5" thickBot="1" x14ac:dyDescent="0.3">
      <c r="A3" s="46" t="s">
        <v>2860</v>
      </c>
      <c r="B3" s="48" t="s">
        <v>2861</v>
      </c>
      <c r="C3" s="48" t="s">
        <v>2862</v>
      </c>
      <c r="D3" s="48">
        <v>1</v>
      </c>
      <c r="E3" s="48">
        <v>6.25</v>
      </c>
      <c r="F3" s="47" t="s">
        <v>2866</v>
      </c>
    </row>
  </sheetData>
  <mergeCells count="1">
    <mergeCell ref="A2:F2"/>
  </mergeCells>
  <conditionalFormatting sqref="A1:F3">
    <cfRule type="containsText" dxfId="35" priority="12" stopIfTrue="1" operator="containsText" text="шт.)">
      <formula>NOT(ISERROR(SEARCH("шт.)",A1)))</formula>
    </cfRule>
    <cfRule type="containsText" dxfId="34" priority="11" stopIfTrue="1" operator="containsText" text=", на ">
      <formula>NOT(ISERROR(SEARCH(", на ",A1)))</formula>
    </cfRule>
    <cfRule type="containsText" dxfId="33" priority="10" stopIfTrue="1" operator="containsText" text="Элементы на отм.">
      <formula>NOT(ISERROR(SEARCH("Элементы на отм.",A1)))</formula>
    </cfRule>
    <cfRule type="containsText" dxfId="32" priority="9" stopIfTrue="1" operator="containsText" text=" Прокат ">
      <formula>NOT(ISERROR(SEARCH(" Прокат ",A1)))</formula>
    </cfRule>
    <cfRule type="containsText" dxfId="31" priority="8" stopIfTrue="1" operator="containsText" text=" Изделия арматурные ">
      <formula>NOT(ISERROR(SEARCH(" Изделия арматурные ",A1)))</formula>
    </cfRule>
    <cfRule type="containsText" dxfId="30" priority="7" stopIfTrue="1" operator="containsText" text=" Материалы ">
      <formula>NOT(ISERROR(SEARCH(" Материалы ",A1)))</formula>
    </cfRule>
    <cfRule type="containsText" dxfId="29" priority="6" stopIfTrue="1" operator="containsText" text=" Изделия ">
      <formula>NOT(ISERROR(SEARCH(" Изделия ",A1)))</formula>
    </cfRule>
    <cfRule type="containsText" dxfId="28" priority="5" stopIfTrue="1" operator="containsText" text=" Сборочные единицы ">
      <formula>NOT(ISERROR(SEARCH(" Сборочные единицы ",A1)))</formula>
    </cfRule>
    <cfRule type="containsText" dxfId="27" priority="4" stopIfTrue="1" operator="containsText" text=" Заполнения проёмов ">
      <formula>NOT(ISERROR(SEARCH(" Заполнения проёмов ",A1)))</formula>
    </cfRule>
    <cfRule type="containsText" dxfId="26" priority="3" stopIfTrue="1" operator="containsText" text="!!!">
      <formula>NOT(ISERROR(SEARCH("!!!",A1)))</formula>
    </cfRule>
    <cfRule type="containsText" dxfId="25" priority="2" stopIfTrue="1" operator="containsText" text="ИЗ ФАЙЛА">
      <formula>NOT(ISERROR(SEARCH("ИЗ ФАЙЛА",A1)))</formula>
    </cfRule>
    <cfRule type="containsText" dxfId="2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F7"/>
  <sheetViews>
    <sheetView workbookViewId="0">
      <selection activeCell="C10" sqref="C10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51" t="s">
        <v>2636</v>
      </c>
      <c r="B1" s="52" t="s">
        <v>2637</v>
      </c>
      <c r="C1" s="52" t="s">
        <v>2638</v>
      </c>
      <c r="D1" s="52" t="s">
        <v>2779</v>
      </c>
      <c r="E1" s="52" t="s">
        <v>2781</v>
      </c>
      <c r="F1" s="45" t="s">
        <v>2707</v>
      </c>
    </row>
    <row r="2" spans="1:6" ht="15.75" x14ac:dyDescent="0.25">
      <c r="A2" s="66" t="s">
        <v>2873</v>
      </c>
      <c r="B2" s="65"/>
      <c r="C2" s="65"/>
      <c r="D2" s="65"/>
      <c r="E2" s="65"/>
      <c r="F2" s="67"/>
    </row>
    <row r="3" spans="1:6" ht="15.75" x14ac:dyDescent="0.25">
      <c r="A3" s="66" t="s">
        <v>2859</v>
      </c>
      <c r="B3" s="65"/>
      <c r="C3" s="65"/>
      <c r="D3" s="65"/>
      <c r="E3" s="65"/>
      <c r="F3" s="67"/>
    </row>
    <row r="4" spans="1:6" ht="15.75" x14ac:dyDescent="0.25">
      <c r="A4" s="54" t="s">
        <v>2867</v>
      </c>
      <c r="B4" s="55" t="s">
        <v>2863</v>
      </c>
      <c r="C4" s="55" t="s">
        <v>2868</v>
      </c>
      <c r="D4" s="55">
        <v>2.5</v>
      </c>
      <c r="E4" s="55">
        <v>0.57999999999999996</v>
      </c>
      <c r="F4" s="56" t="s">
        <v>2869</v>
      </c>
    </row>
    <row r="5" spans="1:6" ht="15.75" x14ac:dyDescent="0.25">
      <c r="A5" s="66" t="s">
        <v>2819</v>
      </c>
      <c r="B5" s="65"/>
      <c r="C5" s="65"/>
      <c r="D5" s="65"/>
      <c r="E5" s="65"/>
      <c r="F5" s="67"/>
    </row>
    <row r="6" spans="1:6" ht="15.75" x14ac:dyDescent="0.25">
      <c r="A6" s="54">
        <v>1</v>
      </c>
      <c r="B6" s="65" t="s">
        <v>2660</v>
      </c>
      <c r="C6" s="55" t="s">
        <v>2870</v>
      </c>
      <c r="D6" s="55">
        <v>5</v>
      </c>
      <c r="E6" s="55">
        <v>0.48</v>
      </c>
      <c r="F6" s="56" t="s">
        <v>2871</v>
      </c>
    </row>
    <row r="7" spans="1:6" ht="16.5" thickBot="1" x14ac:dyDescent="0.3">
      <c r="A7" s="46">
        <v>2</v>
      </c>
      <c r="B7" s="68"/>
      <c r="C7" s="48" t="s">
        <v>2870</v>
      </c>
      <c r="D7" s="48">
        <v>5</v>
      </c>
      <c r="E7" s="48">
        <v>0.48</v>
      </c>
      <c r="F7" s="47" t="s">
        <v>2871</v>
      </c>
    </row>
  </sheetData>
  <mergeCells count="4">
    <mergeCell ref="A2:F2"/>
    <mergeCell ref="A3:F3"/>
    <mergeCell ref="A5:F5"/>
    <mergeCell ref="B6:B7"/>
  </mergeCells>
  <conditionalFormatting sqref="A1:F7">
    <cfRule type="containsText" dxfId="23" priority="12" stopIfTrue="1" operator="containsText" text="шт.)">
      <formula>NOT(ISERROR(SEARCH("шт.)",A1)))</formula>
    </cfRule>
    <cfRule type="containsText" dxfId="22" priority="11" stopIfTrue="1" operator="containsText" text=", на ">
      <formula>NOT(ISERROR(SEARCH(", на ",A1)))</formula>
    </cfRule>
    <cfRule type="containsText" dxfId="21" priority="10" stopIfTrue="1" operator="containsText" text="Элементы на отм.">
      <formula>NOT(ISERROR(SEARCH("Элементы на отм.",A1)))</formula>
    </cfRule>
    <cfRule type="containsText" dxfId="20" priority="9" stopIfTrue="1" operator="containsText" text=" Прокат ">
      <formula>NOT(ISERROR(SEARCH(" Прокат ",A1)))</formula>
    </cfRule>
    <cfRule type="containsText" dxfId="19" priority="8" stopIfTrue="1" operator="containsText" text=" Изделия арматурные ">
      <formula>NOT(ISERROR(SEARCH(" Изделия арматурные ",A1)))</formula>
    </cfRule>
    <cfRule type="containsText" dxfId="18" priority="7" stopIfTrue="1" operator="containsText" text=" Материалы ">
      <formula>NOT(ISERROR(SEARCH(" Материалы ",A1)))</formula>
    </cfRule>
    <cfRule type="containsText" dxfId="17" priority="6" stopIfTrue="1" operator="containsText" text=" Изделия ">
      <formula>NOT(ISERROR(SEARCH(" Изделия ",A1)))</formula>
    </cfRule>
    <cfRule type="containsText" dxfId="16" priority="5" stopIfTrue="1" operator="containsText" text=" Сборочные единицы ">
      <formula>NOT(ISERROR(SEARCH(" Сборочные единицы ",A1)))</formula>
    </cfRule>
    <cfRule type="containsText" dxfId="15" priority="4" stopIfTrue="1" operator="containsText" text=" Заполнения проёмов ">
      <formula>NOT(ISERROR(SEARCH(" Заполнения проёмов ",A1)))</formula>
    </cfRule>
    <cfRule type="containsText" dxfId="14" priority="3" stopIfTrue="1" operator="containsText" text="!!!">
      <formula>NOT(ISERROR(SEARCH("!!!",A1)))</formula>
    </cfRule>
    <cfRule type="containsText" dxfId="13" priority="2" stopIfTrue="1" operator="containsText" text="ИЗ ФАЙЛА">
      <formula>NOT(ISERROR(SEARCH("ИЗ ФАЙЛА",A1)))</formula>
    </cfRule>
    <cfRule type="containsText" dxfId="1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F3"/>
  <sheetViews>
    <sheetView tabSelected="1" workbookViewId="0">
      <selection activeCell="N8" sqref="N8"/>
    </sheetView>
  </sheetViews>
  <sheetFormatPr defaultRowHeight="15" x14ac:dyDescent="0.25"/>
  <cols>
    <col min="1" max="1" width="8.42578125" style="9" bestFit="1" customWidth="1"/>
    <col min="2" max="2" width="7" style="9" customWidth="1"/>
    <col min="3" max="3" width="45.140625" style="9" customWidth="1"/>
    <col min="4" max="4" width="7" style="9" customWidth="1"/>
    <col min="5" max="6" width="9.5703125" style="9" customWidth="1"/>
    <col min="7" max="16384" width="9.140625" style="9"/>
  </cols>
  <sheetData>
    <row r="1" spans="1:6" ht="47.25" x14ac:dyDescent="0.25">
      <c r="A1" s="51" t="s">
        <v>2876</v>
      </c>
      <c r="B1" s="52" t="s">
        <v>2877</v>
      </c>
      <c r="C1" s="52" t="s">
        <v>2638</v>
      </c>
      <c r="D1" s="52" t="s">
        <v>2878</v>
      </c>
      <c r="E1" s="52" t="s">
        <v>2879</v>
      </c>
      <c r="F1" s="45" t="s">
        <v>2880</v>
      </c>
    </row>
    <row r="2" spans="1:6" ht="31.5" x14ac:dyDescent="0.25">
      <c r="A2" s="54" t="s">
        <v>2881</v>
      </c>
      <c r="B2" s="55">
        <v>1</v>
      </c>
      <c r="C2" s="55" t="s">
        <v>2882</v>
      </c>
      <c r="D2" s="55">
        <v>6</v>
      </c>
      <c r="E2" s="55" t="s">
        <v>2883</v>
      </c>
      <c r="F2" s="56">
        <v>1.44</v>
      </c>
    </row>
    <row r="3" spans="1:6" ht="16.5" thickBot="1" x14ac:dyDescent="0.3">
      <c r="A3" s="69" t="s">
        <v>2884</v>
      </c>
      <c r="B3" s="68"/>
      <c r="C3" s="68"/>
      <c r="D3" s="68"/>
      <c r="E3" s="68"/>
      <c r="F3" s="70"/>
    </row>
  </sheetData>
  <mergeCells count="1">
    <mergeCell ref="A3:F3"/>
  </mergeCells>
  <conditionalFormatting sqref="A1:F3">
    <cfRule type="containsText" dxfId="11" priority="12" stopIfTrue="1" operator="containsText" text="шт.)">
      <formula>NOT(ISERROR(SEARCH("шт.)",A1)))</formula>
    </cfRule>
    <cfRule type="containsText" dxfId="10" priority="11" stopIfTrue="1" operator="containsText" text=", на ">
      <formula>NOT(ISERROR(SEARCH(", на ",A1)))</formula>
    </cfRule>
    <cfRule type="containsText" dxfId="9" priority="10" stopIfTrue="1" operator="containsText" text="Элементы на отм.">
      <formula>NOT(ISERROR(SEARCH("Элементы на отм.",A1)))</formula>
    </cfRule>
    <cfRule type="containsText" dxfId="8" priority="9" stopIfTrue="1" operator="containsText" text=" Прокат ">
      <formula>NOT(ISERROR(SEARCH(" Прокат ",A1)))</formula>
    </cfRule>
    <cfRule type="containsText" dxfId="7" priority="8" stopIfTrue="1" operator="containsText" text=" Изделия арматурные ">
      <formula>NOT(ISERROR(SEARCH(" Изделия арматурные ",A1)))</formula>
    </cfRule>
    <cfRule type="containsText" dxfId="6" priority="7" stopIfTrue="1" operator="containsText" text=" Материалы ">
      <formula>NOT(ISERROR(SEARCH(" Материалы ",A1)))</formula>
    </cfRule>
    <cfRule type="containsText" dxfId="5" priority="6" stopIfTrue="1" operator="containsText" text=" Изделия ">
      <formula>NOT(ISERROR(SEARCH(" Изделия ",A1)))</formula>
    </cfRule>
    <cfRule type="containsText" dxfId="4" priority="5" stopIfTrue="1" operator="containsText" text=" Сборочные единицы ">
      <formula>NOT(ISERROR(SEARCH(" Сборочные единицы ",A1)))</formula>
    </cfRule>
    <cfRule type="containsText" dxfId="3" priority="4" stopIfTrue="1" operator="containsText" text=" Заполнения проёмов ">
      <formula>NOT(ISERROR(SEARCH(" Заполнения проёмов ",A1)))</formula>
    </cfRule>
    <cfRule type="containsText" dxfId="2" priority="3" stopIfTrue="1" operator="containsText" text="!!!">
      <formula>NOT(ISERROR(SEARCH("!!!",A1)))</formula>
    </cfRule>
    <cfRule type="containsText" dxfId="1" priority="2" stopIfTrue="1" operator="containsText" text="ИЗ ФАЙЛА">
      <formula>NOT(ISERROR(SEARCH("ИЗ ФАЙЛА",A1)))</formula>
    </cfRule>
    <cfRule type="containsText" dxfId="0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2380</v>
      </c>
      <c r="R1" t="s">
        <v>2621</v>
      </c>
      <c r="S1" t="s">
        <v>2380</v>
      </c>
      <c r="T1" t="s">
        <v>2389</v>
      </c>
      <c r="U1" t="s">
        <v>2392</v>
      </c>
      <c r="V1" t="s">
        <v>2493</v>
      </c>
      <c r="W1" t="s">
        <v>2544</v>
      </c>
      <c r="X1" t="s">
        <v>2568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2582</v>
      </c>
      <c r="Q3" t="s">
        <v>2381</v>
      </c>
      <c r="R3" t="s">
        <v>2622</v>
      </c>
      <c r="S3" t="s">
        <v>2381</v>
      </c>
      <c r="T3" t="s">
        <v>2390</v>
      </c>
      <c r="U3" t="s">
        <v>2393</v>
      </c>
      <c r="V3" t="s">
        <v>2494</v>
      </c>
      <c r="W3" t="s">
        <v>2545</v>
      </c>
      <c r="X3" t="s">
        <v>2569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2583</v>
      </c>
      <c r="Q4" t="s">
        <v>2382</v>
      </c>
      <c r="R4" t="s">
        <v>2623</v>
      </c>
      <c r="S4" t="s">
        <v>2382</v>
      </c>
      <c r="T4" t="s">
        <v>2391</v>
      </c>
      <c r="U4" t="s">
        <v>2394</v>
      </c>
      <c r="V4" t="s">
        <v>2495</v>
      </c>
      <c r="W4" t="s">
        <v>2546</v>
      </c>
      <c r="X4" t="s">
        <v>2570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2584</v>
      </c>
      <c r="Q5" t="s">
        <v>2383</v>
      </c>
      <c r="R5" t="s">
        <v>2624</v>
      </c>
      <c r="S5" t="s">
        <v>2383</v>
      </c>
      <c r="U5" t="s">
        <v>2395</v>
      </c>
      <c r="V5" t="s">
        <v>2496</v>
      </c>
      <c r="W5" t="s">
        <v>2547</v>
      </c>
      <c r="X5" t="s">
        <v>2571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2585</v>
      </c>
      <c r="Q6" t="s">
        <v>2384</v>
      </c>
      <c r="R6" t="s">
        <v>2625</v>
      </c>
      <c r="S6" t="s">
        <v>2384</v>
      </c>
      <c r="U6" t="s">
        <v>2396</v>
      </c>
      <c r="V6" t="s">
        <v>2497</v>
      </c>
      <c r="W6" t="s">
        <v>2548</v>
      </c>
      <c r="X6" t="s">
        <v>2572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2586</v>
      </c>
      <c r="Q7" t="s">
        <v>2385</v>
      </c>
      <c r="R7" t="s">
        <v>2626</v>
      </c>
      <c r="S7" t="s">
        <v>2385</v>
      </c>
      <c r="U7" t="s">
        <v>2397</v>
      </c>
      <c r="V7" t="s">
        <v>2498</v>
      </c>
      <c r="W7" t="s">
        <v>2549</v>
      </c>
      <c r="X7" t="s">
        <v>2573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2587</v>
      </c>
      <c r="Q8" t="s">
        <v>2386</v>
      </c>
      <c r="R8" t="s">
        <v>2627</v>
      </c>
      <c r="S8" t="s">
        <v>2386</v>
      </c>
      <c r="U8" t="s">
        <v>2398</v>
      </c>
      <c r="V8" t="s">
        <v>2499</v>
      </c>
      <c r="W8" t="s">
        <v>2550</v>
      </c>
      <c r="X8" t="s">
        <v>2574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2588</v>
      </c>
      <c r="Q9" t="s">
        <v>2387</v>
      </c>
      <c r="R9" t="s">
        <v>2628</v>
      </c>
      <c r="S9" t="s">
        <v>2387</v>
      </c>
      <c r="U9" t="s">
        <v>2399</v>
      </c>
      <c r="V9" t="s">
        <v>2500</v>
      </c>
      <c r="W9" t="s">
        <v>2551</v>
      </c>
      <c r="X9" t="s">
        <v>2575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2589</v>
      </c>
      <c r="Q10" t="s">
        <v>2388</v>
      </c>
      <c r="R10" t="s">
        <v>2629</v>
      </c>
      <c r="S10" t="s">
        <v>2388</v>
      </c>
      <c r="U10" t="s">
        <v>2400</v>
      </c>
      <c r="V10" t="s">
        <v>2501</v>
      </c>
      <c r="W10" t="s">
        <v>2552</v>
      </c>
      <c r="X10" t="s">
        <v>2576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2590</v>
      </c>
      <c r="R11" t="s">
        <v>2630</v>
      </c>
      <c r="U11" t="s">
        <v>2401</v>
      </c>
      <c r="V11" t="s">
        <v>2502</v>
      </c>
      <c r="W11" t="s">
        <v>2553</v>
      </c>
      <c r="X11" t="s">
        <v>2577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2631</v>
      </c>
      <c r="U12" t="s">
        <v>2402</v>
      </c>
      <c r="V12" t="s">
        <v>2503</v>
      </c>
      <c r="W12" t="s">
        <v>2554</v>
      </c>
      <c r="X12" t="s">
        <v>2578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2591</v>
      </c>
      <c r="R13" t="s">
        <v>2632</v>
      </c>
      <c r="U13" t="s">
        <v>2403</v>
      </c>
      <c r="V13" t="s">
        <v>2504</v>
      </c>
      <c r="W13" t="s">
        <v>1745</v>
      </c>
      <c r="X13" t="s">
        <v>2579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2592</v>
      </c>
      <c r="R14" t="s">
        <v>2633</v>
      </c>
      <c r="U14" t="s">
        <v>2404</v>
      </c>
      <c r="V14" t="s">
        <v>2505</v>
      </c>
      <c r="W14" t="s">
        <v>1777</v>
      </c>
      <c r="X14" t="s">
        <v>2580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2593</v>
      </c>
      <c r="R15" t="s">
        <v>2634</v>
      </c>
      <c r="U15" t="s">
        <v>2405</v>
      </c>
      <c r="V15" t="s">
        <v>2506</v>
      </c>
      <c r="W15" t="s">
        <v>1747</v>
      </c>
      <c r="X15" t="s">
        <v>2581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2594</v>
      </c>
      <c r="U16" t="s">
        <v>2406</v>
      </c>
      <c r="V16" t="s">
        <v>2507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2595</v>
      </c>
      <c r="U17" t="s">
        <v>2407</v>
      </c>
      <c r="V17" t="s">
        <v>2508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2408</v>
      </c>
      <c r="V18" t="s">
        <v>2509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2596</v>
      </c>
      <c r="U19" t="s">
        <v>2409</v>
      </c>
      <c r="V19" t="s">
        <v>2510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2597</v>
      </c>
      <c r="U20" t="s">
        <v>2410</v>
      </c>
      <c r="V20" t="s">
        <v>2511</v>
      </c>
      <c r="W20" t="s">
        <v>2555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2598</v>
      </c>
      <c r="U21" t="s">
        <v>2411</v>
      </c>
      <c r="V21" t="s">
        <v>2512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2599</v>
      </c>
      <c r="U22" t="s">
        <v>2412</v>
      </c>
      <c r="V22" t="s">
        <v>2513</v>
      </c>
      <c r="W22" t="s">
        <v>2556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2600</v>
      </c>
      <c r="U23" t="s">
        <v>2413</v>
      </c>
      <c r="V23" t="s">
        <v>2514</v>
      </c>
      <c r="W23" t="s">
        <v>2557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2601</v>
      </c>
      <c r="U24" t="s">
        <v>2414</v>
      </c>
      <c r="V24" t="s">
        <v>2515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2602</v>
      </c>
      <c r="U25" t="s">
        <v>2415</v>
      </c>
      <c r="V25" t="s">
        <v>2516</v>
      </c>
      <c r="W25" t="s">
        <v>2558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2603</v>
      </c>
      <c r="U26" t="s">
        <v>2416</v>
      </c>
      <c r="V26" t="s">
        <v>2517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2604</v>
      </c>
      <c r="U27" t="s">
        <v>2417</v>
      </c>
      <c r="V27" t="s">
        <v>2518</v>
      </c>
      <c r="W27" t="s">
        <v>2559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2605</v>
      </c>
      <c r="U28" t="s">
        <v>2418</v>
      </c>
      <c r="V28" t="s">
        <v>2519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2606</v>
      </c>
      <c r="U29" t="s">
        <v>2419</v>
      </c>
      <c r="V29" t="s">
        <v>2520</v>
      </c>
      <c r="W29" t="s">
        <v>2560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2607</v>
      </c>
      <c r="U30" t="s">
        <v>2420</v>
      </c>
      <c r="V30" t="s">
        <v>2521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2608</v>
      </c>
      <c r="U31" t="s">
        <v>2421</v>
      </c>
      <c r="V31" t="s">
        <v>2522</v>
      </c>
      <c r="W31" t="s">
        <v>2561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2609</v>
      </c>
      <c r="U32" t="s">
        <v>2422</v>
      </c>
      <c r="V32" t="s">
        <v>2523</v>
      </c>
      <c r="W32" t="s">
        <v>2562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2610</v>
      </c>
      <c r="U33" t="s">
        <v>2423</v>
      </c>
      <c r="V33" t="s">
        <v>2524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2611</v>
      </c>
      <c r="U34" t="s">
        <v>2424</v>
      </c>
      <c r="V34" t="s">
        <v>2525</v>
      </c>
      <c r="W34" t="s">
        <v>2563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2612</v>
      </c>
      <c r="U35" t="s">
        <v>2425</v>
      </c>
      <c r="V35" t="s">
        <v>2526</v>
      </c>
      <c r="W35" t="s">
        <v>2564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2613</v>
      </c>
      <c r="U36" t="s">
        <v>2426</v>
      </c>
      <c r="V36" t="s">
        <v>2527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2614</v>
      </c>
      <c r="U37" t="s">
        <v>2427</v>
      </c>
      <c r="V37" t="s">
        <v>2528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2615</v>
      </c>
      <c r="U38" t="s">
        <v>2428</v>
      </c>
      <c r="V38" t="s">
        <v>2529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2616</v>
      </c>
      <c r="U39" t="s">
        <v>2429</v>
      </c>
      <c r="V39" t="s">
        <v>2530</v>
      </c>
      <c r="W39" t="s">
        <v>2565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2617</v>
      </c>
      <c r="U40" t="s">
        <v>2430</v>
      </c>
      <c r="V40" t="s">
        <v>2531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2618</v>
      </c>
      <c r="U41" t="s">
        <v>2431</v>
      </c>
      <c r="V41" t="s">
        <v>2532</v>
      </c>
      <c r="W41" t="s">
        <v>2566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2619</v>
      </c>
      <c r="U42" t="s">
        <v>2432</v>
      </c>
      <c r="V42" t="s">
        <v>2533</v>
      </c>
      <c r="W42" t="s">
        <v>2567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2620</v>
      </c>
      <c r="U43" t="s">
        <v>2433</v>
      </c>
      <c r="V43" t="s">
        <v>2534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2434</v>
      </c>
      <c r="V44" t="s">
        <v>2535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2435</v>
      </c>
      <c r="V45" t="s">
        <v>2536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2436</v>
      </c>
      <c r="V46" t="s">
        <v>2537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2437</v>
      </c>
      <c r="V47" t="s">
        <v>2538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2438</v>
      </c>
      <c r="V48" t="s">
        <v>2539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2439</v>
      </c>
      <c r="V49" t="s">
        <v>2540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2440</v>
      </c>
      <c r="V50" t="s">
        <v>2541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2441</v>
      </c>
      <c r="V51" t="s">
        <v>2542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2442</v>
      </c>
      <c r="V52" t="s">
        <v>2543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2443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2444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2445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2446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2447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2448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2449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2450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2451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2452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2453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2454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2455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2456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2457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2458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2459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2460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2461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2462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2463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2464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2465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2466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2467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2468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2469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2470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2471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2472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2473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2474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2475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2476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2477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2478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2479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2480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2481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2482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2483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2484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2485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2486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2487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2488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2489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2490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2491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2492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|Содержание|</vt:lpstr>
      <vt:lpstr>|Лог|</vt:lpstr>
      <vt:lpstr>Пфм1_спец</vt:lpstr>
      <vt:lpstr>Изделия_спец.И</vt:lpstr>
      <vt:lpstr>Ведомость отделки_правила</vt:lpstr>
      <vt:lpstr>Кладочный план_об</vt:lpstr>
      <vt:lpstr>Пример 4</vt:lpstr>
      <vt:lpstr>Пример 4_об</vt:lpstr>
      <vt:lpstr>Пример 4_гр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2019-10-02T17:14:07Z</cp:lastPrinted>
  <dcterms:created xsi:type="dcterms:W3CDTF">2014-07-19T16:57:30Z</dcterms:created>
  <dcterms:modified xsi:type="dcterms:W3CDTF">2019-10-03T11:28:57Z</dcterms:modified>
</cp:coreProperties>
</file>