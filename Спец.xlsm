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5"/>
  </bookViews>
  <sheets>
    <sheet name="|Содержание|" sheetId="661" r:id="rId1"/>
    <sheet name="|Лог|" sheetId="948" r:id="rId2"/>
    <sheet name="Пфм1_спец" sheetId="951" r:id="rId3"/>
    <sheet name="Ведомость заполненийзап" sheetId="949" r:id="rId4"/>
    <sheet name="Ведомость заполнений_зап" sheetId="950" r:id="rId5"/>
    <sheet name="Пфм1_кж" sheetId="952" r:id="rId6"/>
    <sheet name="!System" sheetId="932" state="hidden" r:id="rId7"/>
  </sheets>
  <functionGroups builtInGroupCount="18"/>
  <externalReferences>
    <externalReference r:id="rId8"/>
  </externalReferences>
  <definedNames>
    <definedName name="_xlnm.Print_Titles" localSheetId="4">'Ведомость заполнений_зап'!$1:$2</definedName>
  </definedNames>
  <calcPr calcId="162913"/>
</workbook>
</file>

<file path=xl/calcChain.xml><?xml version="1.0" encoding="utf-8"?>
<calcChain xmlns="http://schemas.openxmlformats.org/spreadsheetml/2006/main">
  <c r="B13" i="951" l="1"/>
  <c r="C13" i="951"/>
  <c r="D13" i="951"/>
  <c r="B14" i="951"/>
  <c r="C14" i="951"/>
  <c r="D14" i="951"/>
</calcChain>
</file>

<file path=xl/sharedStrings.xml><?xml version="1.0" encoding="utf-8"?>
<sst xmlns="http://schemas.openxmlformats.org/spreadsheetml/2006/main" count="3321" uniqueCount="2779">
  <si>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</si>
  <si>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</si>
  <si>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</si>
  <si>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</si>
  <si>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</si>
  <si>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</si>
  <si>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</si>
  <si>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</si>
  <si>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</si>
  <si>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</si>
  <si>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</si>
  <si>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</si>
  <si>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</si>
  <si>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</si>
  <si>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</si>
  <si>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</si>
  <si>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</si>
  <si>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</si>
  <si>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</si>
  <si>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</si>
  <si>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</si>
  <si>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</si>
  <si>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</si>
  <si>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</si>
  <si>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</si>
  <si>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</si>
  <si>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</si>
  <si>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</si>
  <si>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</si>
  <si>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</si>
  <si>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</si>
  <si>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</si>
  <si>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</si>
  <si>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</si>
  <si>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</si>
  <si>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</si>
  <si>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</si>
  <si>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</si>
  <si>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</si>
  <si>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</si>
  <si>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</si>
  <si>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</si>
  <si>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</si>
  <si>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</si>
  <si>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</si>
  <si>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</si>
  <si>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</si>
  <si>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</si>
  <si>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</si>
  <si>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</si>
  <si>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</si>
  <si>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</si>
  <si>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</si>
  <si>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</si>
  <si>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</si>
  <si>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</si>
  <si>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</si>
  <si>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</si>
  <si>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</si>
  <si>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</si>
  <si>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</si>
  <si>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</si>
  <si>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</si>
  <si>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</si>
  <si>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</si>
  <si>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</si>
  <si>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</si>
  <si>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</si>
  <si>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</si>
  <si>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</si>
  <si>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</si>
  <si>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</si>
  <si>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</si>
  <si>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</si>
  <si>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</si>
  <si>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</si>
  <si>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</si>
  <si>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</si>
  <si>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</si>
  <si>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</si>
  <si>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</si>
  <si>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</si>
  <si>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</si>
  <si>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</si>
  <si>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</si>
  <si>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</si>
  <si>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</si>
  <si>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</si>
  <si>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</si>
  <si>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</si>
  <si>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</si>
  <si>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</si>
  <si>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</si>
  <si>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</si>
  <si>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</si>
  <si>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</si>
  <si>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</si>
  <si>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</si>
  <si>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</si>
  <si>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</si>
  <si>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</si>
  <si>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</si>
  <si>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</si>
  <si>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</si>
  <si>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</si>
  <si>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</si>
  <si>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</si>
  <si>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</si>
  <si>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</si>
  <si>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</si>
  <si>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</si>
  <si>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</si>
  <si>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</si>
  <si>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</si>
  <si>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</si>
  <si>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</si>
  <si>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</si>
  <si>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</si>
  <si>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</si>
  <si>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</si>
  <si>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</si>
  <si>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</si>
  <si>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</si>
  <si>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</si>
  <si>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</si>
  <si>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</si>
  <si>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</si>
  <si>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</si>
  <si>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</si>
  <si>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</si>
  <si>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</si>
  <si>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</si>
  <si>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</si>
  <si>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</si>
  <si>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</si>
  <si>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</si>
  <si>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</si>
  <si>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</si>
  <si>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</si>
  <si>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</si>
  <si>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</si>
  <si>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</si>
  <si>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</si>
  <si>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</si>
  <si>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</si>
  <si>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</si>
  <si>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</si>
  <si>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</si>
  <si>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</si>
  <si>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</si>
  <si>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</si>
  <si>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</si>
  <si>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</si>
  <si>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</si>
  <si>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</si>
  <si>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</si>
  <si>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</si>
  <si>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</si>
  <si>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</si>
  <si>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</si>
  <si>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</si>
  <si>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</si>
  <si>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</si>
  <si>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</si>
  <si>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</si>
  <si>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</si>
  <si>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</si>
  <si>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</si>
  <si>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</si>
  <si>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</si>
  <si>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</si>
  <si>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</si>
  <si>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</si>
  <si>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</si>
  <si>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</si>
  <si>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</si>
  <si>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</si>
  <si>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</si>
  <si>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</si>
  <si>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</si>
  <si>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</si>
  <si>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</si>
  <si>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</si>
  <si>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</si>
  <si>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</si>
  <si>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</si>
  <si>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</si>
  <si>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</si>
  <si>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</si>
  <si>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</si>
  <si>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</si>
  <si>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</si>
  <si>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</si>
  <si>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</si>
  <si>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</si>
  <si>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</si>
  <si>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</si>
  <si>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</si>
  <si>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</si>
  <si>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</si>
  <si>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</si>
  <si>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</si>
  <si>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</si>
  <si>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</si>
  <si>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</si>
  <si>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</si>
  <si>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</si>
  <si>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</si>
  <si>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</si>
  <si>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</si>
  <si>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</si>
  <si>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</si>
  <si>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</si>
  <si>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</si>
  <si>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</si>
  <si>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</si>
  <si>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</si>
  <si>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</si>
  <si>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</si>
  <si>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</si>
  <si>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</si>
  <si>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</si>
  <si>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</si>
  <si>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</si>
  <si>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</si>
  <si>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</si>
  <si>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</si>
  <si>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</si>
  <si>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</si>
  <si>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</si>
  <si>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</si>
  <si>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</si>
  <si>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</si>
  <si>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</si>
  <si>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</si>
  <si>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</si>
  <si>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</si>
  <si>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</si>
  <si>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</si>
  <si>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</si>
  <si>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</si>
  <si>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</si>
  <si>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</si>
  <si>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</si>
  <si>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</si>
  <si>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</si>
  <si>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</si>
  <si>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</si>
  <si>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</si>
  <si>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</si>
  <si>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</si>
  <si>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</si>
  <si>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</si>
  <si>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</si>
  <si>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</si>
  <si>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</si>
  <si>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</si>
  <si>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</si>
  <si>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</si>
  <si>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</si>
  <si>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</si>
  <si>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</si>
  <si>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</si>
  <si>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</si>
  <si>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</si>
  <si>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</si>
  <si>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</si>
  <si>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</si>
  <si>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</si>
  <si>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</si>
  <si>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</si>
  <si>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</si>
  <si>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</si>
  <si>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</si>
  <si>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</si>
  <si>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</si>
  <si>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</si>
  <si>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</si>
  <si>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</si>
  <si>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</si>
  <si>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</si>
  <si>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</si>
  <si>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</si>
  <si>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</si>
  <si>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</si>
  <si>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</si>
  <si>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</si>
  <si>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</si>
  <si>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</si>
  <si>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</si>
  <si>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</si>
  <si>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</si>
  <si>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</si>
  <si>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</si>
  <si>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</si>
  <si>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</si>
  <si>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</si>
  <si>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</si>
  <si>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</si>
  <si>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</si>
  <si>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</si>
  <si>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</si>
  <si>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</si>
  <si>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</si>
  <si>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</si>
  <si>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</si>
  <si>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</si>
  <si>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</si>
  <si>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</si>
  <si>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</si>
  <si>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</si>
  <si>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</si>
  <si>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</si>
  <si>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</si>
  <si>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</si>
  <si>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</si>
  <si>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</si>
  <si>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</si>
  <si>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</si>
  <si>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</si>
  <si>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</si>
  <si>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</si>
  <si>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</si>
  <si>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</si>
  <si>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</si>
  <si>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</si>
  <si>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</si>
  <si>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</si>
  <si>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</si>
  <si>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</si>
  <si>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</si>
  <si>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</si>
  <si>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</si>
  <si>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</si>
  <si>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</si>
  <si>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</si>
  <si>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</si>
  <si>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</si>
  <si>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</si>
  <si>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</si>
  <si>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</si>
  <si>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</si>
  <si>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</si>
  <si>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</si>
  <si>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</si>
  <si>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</si>
  <si>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</si>
  <si>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</si>
  <si>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</si>
  <si>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</si>
  <si>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</si>
  <si>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</si>
  <si>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</si>
  <si>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</si>
  <si>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</si>
  <si>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</si>
  <si>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</si>
  <si>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</si>
  <si>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</si>
  <si>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</si>
  <si>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</si>
  <si>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</si>
  <si>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</si>
  <si>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</si>
  <si>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</si>
  <si>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</si>
  <si>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</si>
  <si>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</si>
  <si>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</si>
  <si>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</si>
  <si>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</si>
  <si>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</si>
  <si>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</si>
  <si>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</si>
  <si>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</si>
  <si>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</si>
  <si>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</si>
  <si>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</si>
  <si>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</si>
  <si>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</si>
  <si>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</si>
  <si>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</si>
  <si>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</si>
  <si>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</si>
  <si>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</si>
  <si>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</si>
  <si>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</si>
  <si>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</si>
  <si>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</si>
  <si>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</si>
  <si>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</si>
  <si>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</si>
  <si>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</si>
  <si>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</si>
  <si>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</si>
  <si>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</si>
  <si>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</si>
  <si>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</si>
  <si>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</si>
  <si>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</si>
  <si>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</si>
  <si>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</si>
  <si>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</si>
  <si>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</si>
  <si>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</si>
  <si>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</si>
  <si>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</si>
  <si>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</si>
  <si>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</si>
  <si>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</si>
  <si>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</si>
  <si>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</si>
  <si>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</si>
  <si>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</si>
  <si>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</si>
  <si>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</si>
  <si>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</si>
  <si>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</si>
  <si>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</si>
  <si>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</si>
  <si>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</si>
  <si>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</si>
  <si>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</si>
  <si>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</si>
  <si>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</si>
  <si>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</si>
  <si>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</si>
  <si>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</si>
  <si>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</si>
  <si>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</si>
  <si>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</si>
  <si>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</si>
  <si>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</si>
  <si>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</si>
  <si>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</si>
  <si>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</si>
  <si>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</si>
  <si>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</si>
  <si>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</si>
  <si>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</si>
  <si>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</si>
  <si>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</si>
  <si>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</si>
  <si>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</si>
  <si>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</si>
  <si>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</si>
  <si>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</si>
  <si>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</si>
  <si>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</si>
  <si>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</si>
  <si>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</si>
  <si>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</si>
  <si>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</si>
  <si>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</si>
  <si>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</si>
  <si>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</si>
  <si>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</si>
  <si>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</si>
  <si>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</si>
  <si>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</si>
  <si>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</si>
  <si>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</si>
  <si>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</si>
  <si>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</si>
  <si>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</si>
  <si>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</si>
  <si>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</si>
  <si>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</si>
  <si>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</si>
  <si>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</si>
  <si>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</si>
  <si>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</si>
  <si>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</si>
  <si>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</si>
  <si>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</si>
  <si>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</si>
  <si>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</si>
  <si>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</si>
  <si>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</si>
  <si>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</si>
  <si>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</si>
  <si>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</si>
  <si>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</si>
  <si>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</si>
  <si>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</si>
  <si>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</si>
  <si>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</si>
  <si>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</si>
  <si>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</si>
  <si>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</si>
  <si>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</si>
  <si>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</si>
  <si>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</si>
  <si>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</si>
  <si>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</si>
  <si>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</si>
  <si>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</si>
  <si>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</si>
  <si>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</si>
  <si>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</si>
  <si>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</si>
  <si>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</si>
  <si>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</si>
  <si>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</si>
  <si>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</si>
  <si>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</si>
  <si>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</si>
  <si>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</si>
  <si>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</si>
  <si>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</si>
  <si>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</si>
  <si>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</si>
  <si>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</si>
  <si>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</si>
  <si>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</si>
  <si>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</si>
  <si>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</si>
  <si>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</si>
  <si>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</si>
  <si>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</si>
  <si>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</si>
  <si>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</si>
  <si>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</si>
  <si>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</si>
  <si>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</si>
  <si>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</si>
  <si>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</si>
  <si>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</si>
  <si>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</si>
  <si>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</si>
  <si>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</si>
  <si>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</si>
  <si>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</si>
  <si>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</si>
  <si>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</si>
  <si>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</si>
  <si>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</si>
  <si>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</si>
  <si>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</si>
  <si>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</si>
  <si>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</si>
  <si>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</si>
  <si>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</si>
  <si>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</si>
  <si>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</si>
  <si>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</si>
  <si>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</si>
  <si>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</si>
  <si>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</si>
  <si>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</si>
  <si>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</si>
  <si>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</si>
  <si>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</si>
  <si>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</si>
  <si>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</si>
  <si>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</si>
  <si>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</si>
  <si>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</si>
  <si>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</si>
  <si>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</si>
  <si>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</si>
  <si>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</si>
  <si>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</si>
  <si>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</si>
  <si>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</si>
  <si>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</si>
  <si>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</si>
  <si>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</si>
  <si>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</si>
  <si>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</si>
  <si>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</si>
  <si>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</si>
  <si>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</si>
  <si>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</si>
  <si>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</si>
  <si>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</si>
  <si>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</si>
  <si>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</si>
  <si>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</si>
  <si>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</si>
  <si>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</si>
  <si>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</si>
  <si>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</si>
  <si>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</si>
  <si>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</si>
  <si>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</si>
  <si>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</si>
  <si>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</si>
  <si>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</si>
  <si>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</si>
  <si>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</si>
  <si>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</si>
  <si>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</si>
  <si>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</si>
  <si>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</si>
  <si>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</si>
  <si>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</si>
  <si>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</si>
  <si>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</si>
  <si>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</si>
  <si>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</si>
  <si>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</si>
  <si>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</si>
  <si>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</si>
  <si>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</si>
  <si>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</si>
  <si>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</si>
  <si>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</si>
  <si>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</si>
  <si>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</si>
  <si>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</si>
  <si>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</si>
  <si>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</si>
  <si>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</si>
  <si>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</si>
  <si>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</si>
  <si>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</si>
  <si>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</si>
  <si>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</si>
  <si>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</si>
  <si>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</si>
  <si>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</si>
  <si>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</si>
  <si>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</si>
  <si>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</si>
  <si>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</si>
  <si>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</si>
  <si>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</si>
  <si>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</si>
  <si>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</si>
  <si>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</si>
  <si>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</si>
  <si>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</si>
  <si>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</si>
  <si>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</si>
  <si>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</si>
  <si>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</si>
  <si>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</si>
  <si>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</si>
  <si>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</si>
  <si>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</si>
  <si>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</si>
  <si>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</si>
  <si>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</si>
  <si>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</si>
  <si>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</si>
  <si>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</si>
  <si>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</si>
  <si>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</si>
  <si>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</si>
  <si>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</si>
  <si>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</si>
  <si>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</si>
  <si>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</si>
  <si>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</si>
  <si>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</si>
  <si>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</si>
  <si>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</si>
  <si>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</si>
  <si>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</si>
  <si>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</si>
  <si>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</si>
  <si>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</si>
  <si>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</si>
  <si>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</si>
  <si>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</si>
  <si>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</si>
  <si>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</si>
  <si>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</si>
  <si>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</si>
  <si>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</si>
  <si>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</si>
  <si>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</si>
  <si>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</si>
  <si>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</si>
  <si>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</si>
  <si>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</si>
  <si>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</si>
  <si>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</si>
  <si>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</si>
  <si>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</si>
  <si>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</si>
  <si>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</si>
  <si>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</si>
  <si>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</si>
  <si>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</si>
  <si>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</si>
  <si>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</si>
  <si>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</si>
  <si>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</si>
  <si>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</si>
  <si>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</si>
  <si>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</si>
  <si>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</si>
  <si>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</si>
  <si>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</si>
  <si>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</si>
  <si>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</si>
  <si>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</si>
  <si>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</si>
  <si>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</si>
  <si>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</si>
  <si>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</si>
  <si>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</si>
  <si>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</si>
  <si>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</si>
  <si>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</si>
  <si>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</si>
  <si>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</si>
  <si>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</si>
  <si>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</si>
  <si>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</si>
  <si>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</si>
  <si>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</si>
  <si>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</si>
  <si>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</si>
  <si>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</si>
  <si>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</si>
  <si>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</si>
  <si>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</si>
  <si>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</si>
  <si>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</si>
  <si>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</si>
  <si>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</si>
  <si>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</si>
  <si>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</si>
  <si>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</si>
  <si>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</si>
  <si>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</si>
  <si>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</si>
  <si>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</si>
  <si>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</si>
  <si>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</si>
  <si>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</si>
  <si>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</si>
  <si>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</si>
  <si>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</si>
  <si>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</si>
  <si>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</si>
  <si>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</si>
  <si>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</si>
  <si>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</si>
  <si>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</si>
  <si>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</si>
  <si>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</si>
  <si>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</si>
  <si>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</si>
  <si>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</si>
  <si>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</si>
  <si>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</si>
  <si>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</si>
  <si>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</si>
  <si>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</si>
  <si>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</si>
  <si>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</si>
  <si>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</si>
  <si>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</si>
  <si>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</si>
  <si>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</si>
  <si>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</si>
  <si>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</si>
  <si>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</si>
  <si>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</si>
  <si>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</si>
  <si>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</si>
  <si>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</si>
  <si>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</si>
  <si>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</si>
  <si>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</si>
  <si>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</si>
  <si>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</si>
  <si>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</si>
  <si>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</si>
  <si>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</si>
  <si>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</si>
  <si>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</si>
  <si>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</si>
  <si>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</si>
  <si>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</si>
  <si>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</si>
  <si>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</si>
  <si>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</si>
  <si>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</si>
  <si>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</si>
  <si>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</si>
  <si>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</si>
  <si>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</si>
  <si>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</si>
  <si>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</si>
  <si>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</si>
  <si>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</si>
  <si>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</si>
  <si>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</si>
  <si>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</si>
  <si>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</si>
  <si>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</si>
  <si>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</si>
  <si>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</si>
  <si>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</si>
  <si>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</si>
  <si>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</si>
  <si>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</si>
  <si>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</si>
  <si>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</si>
  <si>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</si>
  <si>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</si>
  <si>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</si>
  <si>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</si>
  <si>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</si>
  <si>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</si>
  <si>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</si>
  <si>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</si>
  <si>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</si>
  <si>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</si>
  <si>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</si>
  <si>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</si>
  <si>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</si>
  <si>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</si>
  <si>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</si>
  <si>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</si>
  <si>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</si>
  <si>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</si>
  <si>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</si>
  <si>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</si>
  <si>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</si>
  <si>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</si>
  <si>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</si>
  <si>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</si>
  <si>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</si>
  <si>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</si>
  <si>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</si>
  <si>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</si>
  <si>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</si>
  <si>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</si>
  <si>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</si>
  <si>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</si>
  <si>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</si>
  <si>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</si>
  <si>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</si>
  <si>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</si>
  <si>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</si>
  <si>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</si>
  <si>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</si>
  <si>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</si>
  <si>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</si>
  <si>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</si>
  <si>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</si>
  <si>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</si>
  <si>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</si>
  <si>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</si>
  <si>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</si>
  <si>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</si>
  <si>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</si>
  <si>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</si>
  <si>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</si>
  <si>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</si>
  <si>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</si>
  <si>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</si>
  <si>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</si>
  <si>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</si>
  <si>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</si>
  <si>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</si>
  <si>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</si>
  <si>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</si>
  <si>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</si>
  <si>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</si>
  <si>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</si>
  <si>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</si>
  <si>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</si>
  <si>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</si>
  <si>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</si>
  <si>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</si>
  <si>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</si>
  <si>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</si>
  <si>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</si>
  <si>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</si>
  <si>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</si>
  <si>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</si>
  <si>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</si>
  <si>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</si>
  <si>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</si>
  <si>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</si>
  <si>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</si>
  <si>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</si>
  <si>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</si>
  <si>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</si>
  <si>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</si>
  <si>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</si>
  <si>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</si>
  <si>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</si>
  <si>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</si>
  <si>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</si>
  <si>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</si>
  <si>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</si>
  <si>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</si>
  <si>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</si>
  <si>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</si>
  <si>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</si>
  <si>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</si>
  <si>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</si>
  <si>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</si>
  <si>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</si>
  <si>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</si>
  <si>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</si>
  <si>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</si>
  <si>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</si>
  <si>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</si>
  <si>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</si>
  <si>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</si>
  <si>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</si>
  <si>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</si>
  <si>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</si>
  <si>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</si>
  <si>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</si>
  <si>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</si>
  <si>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</si>
  <si>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</si>
  <si>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</si>
  <si>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</si>
  <si>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</si>
  <si>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</si>
  <si>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</si>
  <si>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</si>
  <si>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</si>
  <si>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</si>
  <si>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</si>
  <si>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</si>
  <si>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</si>
  <si>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</si>
  <si>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</si>
  <si>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</si>
  <si>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</si>
  <si>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</si>
  <si>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</si>
  <si>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</si>
  <si>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</si>
  <si>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</si>
  <si>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</si>
  <si>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</si>
  <si>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</si>
  <si>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</si>
  <si>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</si>
  <si>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</si>
  <si>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</si>
  <si>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</si>
  <si>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</si>
  <si>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</si>
  <si>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</si>
  <si>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</si>
  <si>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</si>
  <si>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</si>
  <si>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</si>
  <si>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</si>
  <si>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</si>
  <si>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</si>
  <si>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</si>
  <si>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</si>
  <si>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</si>
  <si>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</si>
  <si>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</si>
  <si>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</si>
  <si>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</si>
  <si>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</si>
  <si>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</si>
  <si>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</si>
  <si>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</si>
  <si>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</si>
  <si>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</si>
  <si>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</si>
  <si>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</si>
  <si>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</si>
  <si>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</si>
  <si>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</si>
  <si>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</si>
  <si>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</si>
  <si>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</si>
  <si>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</si>
  <si>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</si>
  <si>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</si>
  <si>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</si>
  <si>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</si>
  <si>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</si>
  <si>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</si>
  <si>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</si>
  <si>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</si>
  <si>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</si>
  <si>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</si>
  <si>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</si>
  <si>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</si>
  <si>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</si>
  <si>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</si>
  <si>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</si>
  <si>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</si>
  <si>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</si>
  <si>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</si>
  <si>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</si>
  <si>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</si>
  <si>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</si>
  <si>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</si>
  <si>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</si>
  <si>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</si>
  <si>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</si>
  <si>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</si>
  <si>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</si>
  <si>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</si>
  <si>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</si>
  <si>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</si>
  <si>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</si>
  <si>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</si>
  <si>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</si>
  <si>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</si>
  <si>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</si>
  <si>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</si>
  <si>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</si>
  <si>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</si>
  <si>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</si>
  <si>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</si>
  <si>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</si>
  <si>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</si>
  <si>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</si>
  <si>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</si>
  <si>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</si>
  <si>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</si>
  <si>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</si>
  <si>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</si>
  <si>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</si>
  <si>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</si>
  <si>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</si>
  <si>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</si>
  <si>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</si>
  <si>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</si>
  <si>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</si>
  <si>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</si>
  <si>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</si>
  <si>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</si>
  <si>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</si>
  <si>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</si>
  <si>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</si>
  <si>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</si>
  <si>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</si>
  <si>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</si>
  <si>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</si>
  <si>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</si>
  <si>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</si>
  <si>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</si>
  <si>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</si>
  <si>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</si>
  <si>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</si>
  <si>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</si>
  <si>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</si>
  <si>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</si>
  <si>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</si>
  <si>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</si>
  <si>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</si>
  <si>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</si>
  <si>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</si>
  <si>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</si>
  <si>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</si>
  <si>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</si>
  <si>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</si>
  <si>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</si>
  <si>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</si>
  <si>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</si>
  <si>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</si>
  <si>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</si>
  <si>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</si>
  <si>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</si>
  <si>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</si>
  <si>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</si>
  <si>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</si>
  <si>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</si>
  <si>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</si>
  <si>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</si>
  <si>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</si>
  <si>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</si>
  <si>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</si>
  <si>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</si>
  <si>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</si>
  <si>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</si>
  <si>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</si>
  <si>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</si>
  <si>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</si>
  <si>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</si>
  <si>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</si>
  <si>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</si>
  <si>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</si>
  <si>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</si>
  <si>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</si>
  <si>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</si>
  <si>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</si>
  <si>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</si>
  <si>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</si>
  <si>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</si>
  <si>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</si>
  <si>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</si>
  <si>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</si>
  <si>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</si>
  <si>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</si>
  <si>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</si>
  <si>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</si>
  <si>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</si>
  <si>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</si>
  <si>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</si>
  <si>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</si>
  <si>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</si>
  <si>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</si>
  <si>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</si>
  <si>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</si>
  <si>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</si>
  <si>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</si>
  <si>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</si>
  <si>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</si>
  <si>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</si>
  <si>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</si>
  <si>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</si>
  <si>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</si>
  <si>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</si>
  <si>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</si>
  <si>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</si>
  <si>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</si>
  <si>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</si>
  <si>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</si>
  <si>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</si>
  <si>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</si>
  <si>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</si>
  <si>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</si>
  <si>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</si>
  <si>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</si>
  <si>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</si>
  <si>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</si>
  <si>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</si>
  <si>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</si>
  <si>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</si>
  <si>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</si>
  <si>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</si>
  <si>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</si>
  <si>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</si>
  <si>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</si>
  <si>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</si>
  <si>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</si>
  <si>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</si>
  <si>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</si>
  <si>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</si>
  <si>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</si>
  <si>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</si>
  <si>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</si>
  <si>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</si>
  <si>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</si>
  <si>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</si>
  <si>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</si>
  <si>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</si>
  <si>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</si>
  <si>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</si>
  <si>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</si>
  <si>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</si>
  <si>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</si>
  <si>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</si>
  <si>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</si>
  <si>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</si>
  <si>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</si>
  <si>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</si>
  <si>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</si>
  <si>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</si>
  <si>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</si>
  <si>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</si>
  <si>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</si>
  <si>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</si>
  <si>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</si>
  <si>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</si>
  <si>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</si>
  <si>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</si>
  <si>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</si>
  <si>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</si>
  <si>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</si>
  <si>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</si>
  <si>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</si>
  <si>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</si>
  <si>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</si>
  <si>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</si>
  <si>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</si>
  <si>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</si>
  <si>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</si>
  <si>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</si>
  <si>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</si>
  <si>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</si>
  <si>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</si>
  <si>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</si>
  <si>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</si>
  <si>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</si>
  <si>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</si>
  <si>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</si>
  <si>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</si>
  <si>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</si>
  <si>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</si>
  <si>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</si>
  <si>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</si>
  <si>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</si>
  <si>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</si>
  <si>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</si>
  <si>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</si>
  <si>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</si>
  <si>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</si>
  <si>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</si>
  <si>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</si>
  <si>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</si>
  <si>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</si>
  <si>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</si>
  <si>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</si>
  <si>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</si>
  <si>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</si>
  <si>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</si>
  <si>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</si>
  <si>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</si>
  <si>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</si>
  <si>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</si>
  <si>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</si>
  <si>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</si>
  <si>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</si>
  <si>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</si>
  <si>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</si>
  <si>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</si>
  <si>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</si>
  <si>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</si>
  <si>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</si>
  <si>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</si>
  <si>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</si>
  <si>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</si>
  <si>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</si>
  <si>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</si>
  <si>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</si>
  <si>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</si>
  <si>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</si>
  <si>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</si>
  <si>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</si>
  <si>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</si>
  <si>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</si>
  <si>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</si>
  <si>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</si>
  <si>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</si>
  <si>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</si>
  <si>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</si>
  <si>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</si>
  <si>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</si>
  <si>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</si>
  <si>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</si>
  <si>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</si>
  <si>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</si>
  <si>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</si>
  <si>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</si>
  <si>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</si>
  <si>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</si>
  <si>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</si>
  <si>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</si>
  <si>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</si>
  <si>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</si>
  <si>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</si>
  <si>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</si>
  <si>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</si>
  <si>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</si>
  <si>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</si>
  <si>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</si>
  <si>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</si>
  <si>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</si>
  <si>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</si>
  <si>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</si>
  <si>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</si>
  <si>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</si>
  <si>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</si>
  <si>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</si>
  <si>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</si>
  <si>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</si>
  <si>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</si>
  <si>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</si>
  <si>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</si>
  <si>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</si>
  <si>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</si>
  <si>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</si>
  <si>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</si>
  <si>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</si>
  <si>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</si>
  <si>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</si>
  <si>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</si>
  <si>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</si>
  <si>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</si>
  <si>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</si>
  <si>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</si>
  <si>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</si>
  <si>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</si>
  <si>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</si>
  <si>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</si>
  <si>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</si>
  <si>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</si>
  <si>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</si>
  <si>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</si>
  <si>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</si>
  <si>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</si>
  <si>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</si>
  <si>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</si>
  <si>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</si>
  <si>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</si>
  <si>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</si>
  <si>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</si>
  <si>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</si>
  <si>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</si>
  <si>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</si>
  <si>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</si>
  <si>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</si>
  <si>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</si>
  <si>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</si>
  <si>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</si>
  <si>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</si>
  <si>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</si>
  <si>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</si>
  <si>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</si>
  <si>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</si>
  <si>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</si>
  <si>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</si>
  <si>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</si>
  <si>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</si>
  <si>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</si>
  <si>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</si>
  <si>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</si>
  <si>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</si>
  <si>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</si>
  <si>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</si>
  <si>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</si>
  <si>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</si>
  <si>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</si>
  <si>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</si>
  <si>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</si>
  <si>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</si>
  <si>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</si>
  <si>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</si>
  <si>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</si>
  <si>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</si>
  <si>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</si>
  <si>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</si>
  <si>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</si>
  <si>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</si>
  <si>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</si>
  <si>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</si>
  <si>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</si>
  <si>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</si>
  <si>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</si>
  <si>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</si>
  <si>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</si>
  <si>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</si>
  <si>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</si>
  <si>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</si>
  <si>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</si>
  <si>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</si>
  <si>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</si>
  <si>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</si>
  <si>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</si>
  <si>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</si>
  <si>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</si>
  <si>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</si>
  <si>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</si>
  <si>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</si>
  <si>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</si>
  <si>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</si>
  <si>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</si>
  <si>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</si>
  <si>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</si>
  <si>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</si>
  <si>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</si>
  <si>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</si>
  <si>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</si>
  <si>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</si>
  <si>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</si>
  <si>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</si>
  <si>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</si>
  <si>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</si>
  <si>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</si>
  <si>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</si>
  <si>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</si>
  <si>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</si>
  <si>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</si>
  <si>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</si>
  <si>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</si>
  <si>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</si>
  <si>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</si>
  <si>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</si>
  <si>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</si>
  <si>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</si>
  <si>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</si>
  <si>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</si>
  <si>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</si>
  <si>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</si>
  <si>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</si>
  <si>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</si>
  <si>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</si>
  <si>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</si>
  <si>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</si>
  <si>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</si>
  <si>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</si>
  <si>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</si>
  <si>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</si>
  <si>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</si>
  <si>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</si>
  <si>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</si>
  <si>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</si>
  <si>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</si>
  <si>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</si>
  <si>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</si>
  <si>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</si>
  <si>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</si>
  <si>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</si>
  <si>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</si>
  <si>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</si>
  <si>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</si>
  <si>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</si>
  <si>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</si>
  <si>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</si>
  <si>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</si>
  <si>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</si>
  <si>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</si>
  <si>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</si>
  <si>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</si>
  <si>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</si>
  <si>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</si>
  <si>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</si>
  <si>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</si>
  <si>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</si>
  <si>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</si>
  <si>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</si>
  <si>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</si>
  <si>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</si>
  <si>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</si>
  <si>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</si>
  <si>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</si>
  <si>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</si>
  <si>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</si>
  <si>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</si>
  <si>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</si>
  <si>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</si>
  <si>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</si>
  <si>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</si>
  <si>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</si>
  <si>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</si>
  <si>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</si>
  <si>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</si>
  <si>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</si>
  <si>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</si>
  <si>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</si>
  <si>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</si>
  <si>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</si>
  <si>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</si>
  <si>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</si>
  <si>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</si>
  <si>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</si>
  <si>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</si>
  <si>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</si>
  <si>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</si>
  <si>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</si>
  <si>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</si>
  <si>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</si>
  <si>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</si>
  <si>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</si>
  <si>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</si>
  <si>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</si>
  <si>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</si>
  <si>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</si>
  <si>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</si>
  <si>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</si>
  <si>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</si>
  <si>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</si>
  <si>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</si>
  <si>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</si>
  <si>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</si>
  <si>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</si>
  <si>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</si>
  <si>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</si>
  <si>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</si>
  <si>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</si>
  <si>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</si>
  <si>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</si>
  <si>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</si>
  <si>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</si>
  <si>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</si>
  <si>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</si>
  <si>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</si>
  <si>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</si>
  <si>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</si>
  <si>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</si>
  <si>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</si>
  <si>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</si>
  <si>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</si>
  <si>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</si>
  <si>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</si>
  <si>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</si>
  <si>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</si>
  <si>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</si>
  <si>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</si>
  <si>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</si>
  <si>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</si>
  <si>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</si>
  <si>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</si>
  <si>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</si>
  <si>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</si>
  <si>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</si>
  <si>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</si>
  <si>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</si>
  <si>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</si>
  <si>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</si>
  <si>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</si>
  <si>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</si>
  <si>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</si>
  <si>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</si>
  <si>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</si>
  <si>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</si>
  <si>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</si>
  <si>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</si>
  <si>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</si>
  <si>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</si>
  <si>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</si>
  <si>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</si>
  <si>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</si>
  <si>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</si>
  <si>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</si>
  <si>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</si>
  <si>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</si>
  <si>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</si>
  <si>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</si>
  <si>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</si>
  <si>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</si>
  <si>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</si>
  <si>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</si>
  <si>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</si>
  <si>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</si>
  <si>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</si>
  <si>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</si>
  <si>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</si>
  <si>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</si>
  <si>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</si>
  <si>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</si>
  <si>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</si>
  <si>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</si>
  <si>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</si>
  <si>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</si>
  <si>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</si>
  <si>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</si>
  <si>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</si>
  <si>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</si>
  <si>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</si>
  <si>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</si>
  <si>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</si>
  <si>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</si>
  <si>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</si>
  <si>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</si>
  <si>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</si>
  <si>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</si>
  <si>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</si>
  <si>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</si>
  <si>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</si>
  <si>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</si>
  <si>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</si>
  <si>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</si>
  <si>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</si>
  <si>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</si>
  <si>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</si>
  <si>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</si>
  <si>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</si>
  <si>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</si>
  <si>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</si>
  <si>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</si>
  <si>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</si>
  <si>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</si>
  <si>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</si>
  <si>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</si>
  <si>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</si>
  <si>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</si>
  <si>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</si>
  <si>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</si>
  <si>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</si>
  <si>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</si>
  <si>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</si>
  <si>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</si>
  <si>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</si>
  <si>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</si>
  <si>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</si>
  <si>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</si>
  <si>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</si>
  <si>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</si>
  <si>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</si>
  <si>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</si>
  <si>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</si>
  <si>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</si>
  <si>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</si>
  <si>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</si>
  <si>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</si>
  <si>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</si>
  <si>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</si>
  <si>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</si>
  <si>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</si>
  <si>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</si>
  <si>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</si>
  <si>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</si>
  <si>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</si>
  <si>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</si>
  <si>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</si>
  <si>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</si>
  <si>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</si>
  <si>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</si>
  <si>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</si>
  <si>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</si>
  <si>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</si>
  <si>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</si>
  <si>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</si>
  <si>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</si>
  <si>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</si>
  <si>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</si>
  <si>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</si>
  <si>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</si>
  <si>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</si>
  <si>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</si>
  <si>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</si>
  <si>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</si>
  <si>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</si>
  <si>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</si>
  <si>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</si>
  <si>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</si>
  <si>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</si>
  <si>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</si>
  <si>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</si>
  <si>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</si>
  <si>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</si>
  <si>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</si>
  <si>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</si>
  <si>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</si>
  <si>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</si>
  <si>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</si>
  <si>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</si>
  <si>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</si>
  <si>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</si>
  <si>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</si>
  <si>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</si>
  <si>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</si>
  <si>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</si>
  <si>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</si>
  <si>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</si>
  <si>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</si>
  <si>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</si>
  <si>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</si>
  <si>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</si>
  <si>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</si>
  <si>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</si>
  <si>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</si>
  <si>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</si>
  <si>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</si>
  <si>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</si>
  <si>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</si>
  <si>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</si>
  <si>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</si>
  <si>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</si>
  <si>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</si>
  <si>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</si>
  <si>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</si>
  <si>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</si>
  <si>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</si>
  <si>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</si>
  <si>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</si>
  <si>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</si>
  <si>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</si>
  <si>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</si>
  <si>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</si>
  <si>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</si>
  <si>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</si>
  <si>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</si>
  <si>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</si>
  <si>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</si>
  <si>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</si>
  <si>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</si>
  <si>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</si>
  <si>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</si>
  <si>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</si>
  <si>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</si>
  <si>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</si>
  <si>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</si>
  <si>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</si>
  <si>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</si>
  <si>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</si>
  <si>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</si>
  <si>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</si>
  <si>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</si>
  <si>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</si>
  <si>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</si>
  <si>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</si>
  <si>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</si>
  <si>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</si>
  <si>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</si>
  <si>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</si>
  <si>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</si>
  <si>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</si>
  <si>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</si>
  <si>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</si>
  <si>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</si>
  <si>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</si>
  <si>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</si>
  <si>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</si>
  <si>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</si>
  <si>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</si>
  <si>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</si>
  <si>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</si>
  <si>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</si>
  <si>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</si>
  <si>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</si>
  <si>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</si>
  <si>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</si>
  <si>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</si>
  <si>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</si>
  <si>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</si>
  <si>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</si>
  <si>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</si>
  <si>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</si>
  <si>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</si>
  <si>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</si>
  <si>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</si>
  <si>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</si>
  <si>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</si>
  <si>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</si>
  <si>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</si>
  <si>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</si>
  <si>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</si>
  <si>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</si>
  <si>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</si>
  <si>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</si>
  <si>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</si>
  <si>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</si>
  <si>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</si>
  <si>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</si>
  <si>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</si>
  <si>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</si>
  <si>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</si>
  <si>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</si>
  <si>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</si>
  <si>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</si>
  <si>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</si>
  <si>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</si>
  <si>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</si>
  <si>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</si>
  <si>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</si>
  <si>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</si>
  <si>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</si>
  <si>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</si>
  <si>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</si>
  <si>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</si>
  <si>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</si>
  <si>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</si>
  <si>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</si>
  <si>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</si>
  <si>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</si>
  <si>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</si>
  <si>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</si>
  <si>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</si>
  <si>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</si>
  <si>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</si>
  <si>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</si>
  <si>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</si>
  <si>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</si>
  <si>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</si>
  <si>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</si>
  <si>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</si>
  <si>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</si>
  <si>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</si>
  <si>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</si>
  <si>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</si>
  <si>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</si>
  <si>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</si>
  <si>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</si>
  <si>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</si>
  <si>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</si>
  <si>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</si>
  <si>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</si>
  <si>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</si>
  <si>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</si>
  <si>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</si>
  <si>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</si>
  <si>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</si>
  <si>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</si>
  <si>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</si>
  <si>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</si>
  <si>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</si>
  <si>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</si>
  <si>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</si>
  <si>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</si>
  <si>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</si>
  <si>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</si>
  <si>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</si>
  <si>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</si>
  <si>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</si>
  <si>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</si>
  <si>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</si>
  <si>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</si>
  <si>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</si>
  <si>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</si>
  <si>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</si>
  <si>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</si>
  <si>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</si>
  <si>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</si>
  <si>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</si>
  <si>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</si>
  <si>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</si>
  <si>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</si>
  <si>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</si>
  <si>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</si>
  <si>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</si>
  <si>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</si>
  <si>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</si>
  <si>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</si>
  <si>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</si>
  <si>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</si>
  <si>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</si>
  <si>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</si>
  <si>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</si>
  <si>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</si>
  <si>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</si>
  <si>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</si>
  <si>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</si>
  <si>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</si>
  <si>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</si>
  <si>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</si>
  <si>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</si>
  <si>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</si>
  <si>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</si>
  <si>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</si>
  <si>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</si>
  <si>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</si>
  <si>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</si>
  <si>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</si>
  <si>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</si>
  <si>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</si>
  <si>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</si>
  <si>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</si>
  <si>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</si>
  <si>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</si>
  <si>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</si>
  <si>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</si>
  <si>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</si>
  <si>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</si>
  <si>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</si>
  <si>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</si>
  <si>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</si>
  <si>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</si>
  <si>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</si>
  <si>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</si>
  <si>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</si>
  <si>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</si>
  <si>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</si>
  <si>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</si>
  <si>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</si>
  <si>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</si>
  <si>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</si>
  <si>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</si>
  <si>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</si>
  <si>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</si>
  <si>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</si>
  <si>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</si>
  <si>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</si>
  <si>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</si>
  <si>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</si>
  <si>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</si>
  <si>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</si>
  <si>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</si>
  <si>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</si>
  <si>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</si>
  <si>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</si>
  <si>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</si>
  <si>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</si>
  <si>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</si>
  <si>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</si>
  <si>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</si>
  <si>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</si>
  <si>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</si>
  <si>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</si>
  <si>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</si>
  <si>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</si>
  <si>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</si>
  <si>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</si>
  <si>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</si>
  <si>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</si>
  <si>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</si>
  <si>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</si>
  <si>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</si>
  <si>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</si>
  <si>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</si>
  <si>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</si>
  <si>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</si>
  <si>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</si>
  <si>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</si>
  <si>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</si>
  <si>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</si>
  <si>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</si>
  <si>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</si>
  <si>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</si>
  <si>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</si>
  <si>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</si>
  <si>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</si>
  <si>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</si>
  <si>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</si>
  <si>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</si>
  <si>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</si>
  <si>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</si>
  <si>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</si>
  <si>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</si>
  <si>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</si>
  <si>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</si>
  <si>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</si>
  <si>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</si>
  <si>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</si>
  <si>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</si>
  <si>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</si>
  <si>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</si>
  <si>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</si>
  <si>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</si>
  <si>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</si>
  <si>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</si>
  <si>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</si>
  <si>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</si>
  <si>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</si>
  <si>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</si>
  <si>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</si>
  <si>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</si>
  <si>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</si>
  <si>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</si>
  <si>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</si>
  <si>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</si>
  <si>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</si>
  <si>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</si>
  <si>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</si>
  <si>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</si>
  <si>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</si>
  <si>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</si>
  <si>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</si>
  <si>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</si>
  <si>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</si>
  <si>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</si>
  <si>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</si>
  <si>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</si>
  <si>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</si>
  <si>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</si>
  <si>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</si>
  <si>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</si>
  <si>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</si>
  <si>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</si>
  <si>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</si>
  <si>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</si>
  <si>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</si>
  <si>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</si>
  <si>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</si>
  <si>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</si>
  <si>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</si>
  <si>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</si>
  <si>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</si>
  <si>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</si>
  <si>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</si>
  <si>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</si>
  <si>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</si>
  <si>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</si>
  <si>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</si>
  <si>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</si>
  <si>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</si>
  <si>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</si>
  <si>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</si>
  <si>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</si>
  <si>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</si>
  <si>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</si>
  <si>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</si>
  <si>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</si>
  <si>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</si>
  <si>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</si>
  <si>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</si>
  <si>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</si>
  <si>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</si>
  <si>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</si>
  <si>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</si>
  <si>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</si>
  <si>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</si>
  <si>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</si>
  <si>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</si>
  <si>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</si>
  <si>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</si>
  <si>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</si>
  <si>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</si>
  <si>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</si>
  <si>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</si>
  <si>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</si>
  <si>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</si>
  <si>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</si>
  <si>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</si>
  <si>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</si>
  <si>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</si>
  <si>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</si>
  <si>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</si>
  <si>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</si>
  <si>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</si>
  <si>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</si>
  <si>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</si>
  <si>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</si>
  <si>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</si>
  <si>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</si>
  <si>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</si>
  <si>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</si>
  <si>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</si>
  <si>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</si>
  <si>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</si>
  <si>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</si>
  <si>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</si>
  <si>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</si>
  <si>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</si>
  <si>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</si>
  <si>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</si>
  <si>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</si>
  <si>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</si>
  <si>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</si>
  <si>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</si>
  <si>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</si>
  <si>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</si>
  <si>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</si>
  <si>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</si>
  <si>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</si>
  <si>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</si>
  <si>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</si>
  <si>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</si>
  <si>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</si>
  <si>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</si>
  <si>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</si>
  <si>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</si>
  <si>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</si>
  <si>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</si>
  <si>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</si>
  <si>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</si>
  <si>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</si>
  <si>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</si>
  <si>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</si>
  <si>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</si>
  <si>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</si>
  <si>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</si>
  <si>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</si>
  <si>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</si>
  <si>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</si>
  <si>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</si>
  <si>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</si>
  <si>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</si>
  <si>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</si>
  <si>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</si>
  <si>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</si>
  <si>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</si>
  <si>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</si>
  <si>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</si>
  <si>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</si>
  <si>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</si>
  <si>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</si>
  <si>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</si>
  <si>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</si>
  <si>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</si>
  <si>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</si>
  <si>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</si>
  <si>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</si>
  <si>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</si>
  <si>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</si>
  <si>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</si>
  <si>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</si>
  <si>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</si>
  <si>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</si>
  <si>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</si>
  <si>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</si>
  <si>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</si>
  <si>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</si>
  <si>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</si>
  <si>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</si>
  <si>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</si>
  <si>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</si>
  <si>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</si>
  <si>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</si>
  <si>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</si>
  <si>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</si>
  <si>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</si>
  <si>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</si>
  <si>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</si>
  <si>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</si>
  <si>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</si>
  <si>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</si>
  <si>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</si>
  <si>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</si>
  <si>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</si>
  <si>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</si>
  <si>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</si>
  <si>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</si>
  <si>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</si>
  <si>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</si>
  <si>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</si>
  <si>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</si>
  <si>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</si>
  <si>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</si>
  <si>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</si>
  <si>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</si>
  <si>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</si>
  <si>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</si>
  <si>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</si>
  <si>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</si>
  <si>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</si>
  <si>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</si>
  <si>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</si>
  <si>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</si>
  <si>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</si>
  <si>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</si>
  <si>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</si>
  <si>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</si>
  <si>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</si>
  <si>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</si>
  <si>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</si>
  <si>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</si>
  <si>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</si>
  <si>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</si>
  <si>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</si>
  <si>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</si>
  <si>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</si>
  <si>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</si>
  <si>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</si>
  <si>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</si>
  <si>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</si>
  <si>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</si>
  <si>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</si>
  <si>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</si>
  <si>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</si>
  <si>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</si>
  <si>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</si>
  <si>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</si>
  <si>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</si>
  <si>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</si>
  <si>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</si>
  <si>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</si>
  <si>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</si>
  <si>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</si>
  <si>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</si>
  <si>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</si>
  <si>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</si>
  <si>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</si>
  <si>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</si>
  <si>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</si>
  <si>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</si>
  <si>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</si>
  <si>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</si>
  <si>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</si>
  <si>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</si>
  <si>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</si>
  <si>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</si>
  <si>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</si>
  <si>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</si>
  <si>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</si>
  <si>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</si>
  <si>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</si>
  <si>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</si>
  <si>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</si>
  <si>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</si>
  <si>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</si>
  <si>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</si>
  <si>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</si>
  <si>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</si>
  <si>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</si>
  <si>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</si>
  <si>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</si>
  <si>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</si>
  <si>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</si>
  <si>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</si>
  <si>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</si>
  <si>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</si>
  <si>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</si>
  <si>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</si>
  <si>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</si>
  <si>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</si>
  <si>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</si>
  <si>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</si>
  <si>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</si>
  <si>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</si>
  <si>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</si>
  <si>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</si>
  <si>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</si>
  <si>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</si>
  <si>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</si>
  <si>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</si>
  <si>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</si>
  <si>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</si>
  <si>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</si>
  <si>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</si>
  <si>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</si>
  <si>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</si>
  <si>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</si>
  <si>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</si>
  <si>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</si>
  <si>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</si>
  <si>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</si>
  <si>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</si>
  <si>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</si>
  <si>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</si>
  <si>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</si>
  <si>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</si>
  <si>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</si>
  <si>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</si>
  <si>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</si>
  <si>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</si>
  <si>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</si>
  <si>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</si>
  <si>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</si>
  <si>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</si>
  <si>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</si>
  <si>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</si>
  <si>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</si>
  <si>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</si>
  <si>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</si>
  <si>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</si>
  <si>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</si>
  <si>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</si>
  <si>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</si>
  <si>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</si>
  <si>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</si>
  <si>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</si>
  <si>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</si>
  <si>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</si>
  <si>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</si>
  <si>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</si>
  <si>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</si>
  <si>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</si>
  <si>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</si>
  <si>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</si>
  <si>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</si>
  <si>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</si>
  <si>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</si>
  <si>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</si>
  <si>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</si>
  <si>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</si>
  <si>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</si>
  <si>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</si>
  <si>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</si>
  <si>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</si>
  <si>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</si>
  <si>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</si>
  <si>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</si>
  <si>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</si>
  <si>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</si>
  <si>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</si>
  <si>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</si>
  <si>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</si>
  <si>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</si>
  <si>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</si>
  <si>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</si>
  <si>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</si>
  <si>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</si>
  <si>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</si>
  <si>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</si>
  <si>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</si>
  <si>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</si>
  <si>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</si>
  <si>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</si>
  <si>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</si>
  <si>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</si>
  <si>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</si>
  <si>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</si>
  <si>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</si>
  <si>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</si>
  <si>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</si>
  <si>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</si>
  <si>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</si>
  <si>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</si>
  <si>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</si>
  <si>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</si>
  <si>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</si>
  <si>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</si>
  <si>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</si>
  <si>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</si>
  <si>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</si>
  <si>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</si>
  <si>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</si>
  <si>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</si>
  <si>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</si>
  <si>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</si>
  <si>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</si>
  <si>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</si>
  <si>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</si>
  <si>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</si>
  <si>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</si>
  <si>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</si>
  <si>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</si>
  <si>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</si>
  <si>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</si>
  <si>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</si>
  <si>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</si>
  <si>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</si>
  <si>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</si>
  <si>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</si>
  <si>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</si>
  <si>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</si>
  <si>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</si>
  <si>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</si>
  <si>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</si>
  <si>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</si>
  <si>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</si>
  <si>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</si>
  <si>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</si>
  <si>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</si>
  <si>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</si>
  <si>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</si>
  <si>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</si>
  <si>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</si>
  <si>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</si>
  <si>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</si>
  <si>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</si>
  <si>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</si>
  <si>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</si>
  <si>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</si>
  <si>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</si>
  <si>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</si>
  <si>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</si>
  <si>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</si>
  <si>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</si>
  <si>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</si>
  <si>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</si>
  <si>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</si>
  <si>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</si>
  <si>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</si>
  <si>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</si>
  <si>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</si>
  <si>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</si>
  <si>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</si>
  <si>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</si>
  <si>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</si>
  <si>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</si>
  <si>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</si>
  <si>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</si>
  <si>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</si>
  <si>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</si>
  <si>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</si>
  <si>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</si>
  <si>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</si>
  <si>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</si>
  <si>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</si>
  <si>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</si>
  <si>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</si>
  <si>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</si>
  <si>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</si>
  <si>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</si>
  <si>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</si>
  <si>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</si>
  <si>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</si>
  <si>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</si>
  <si>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</si>
  <si>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</si>
  <si>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</si>
  <si>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</si>
  <si>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</si>
  <si>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</si>
  <si>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</si>
  <si>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</si>
  <si>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</si>
  <si>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</si>
  <si>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</si>
  <si>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</si>
  <si>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</si>
  <si>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</si>
  <si>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</si>
  <si>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</si>
  <si>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</si>
  <si>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</si>
  <si>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</si>
  <si>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</si>
  <si>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</si>
  <si>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</si>
  <si>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</si>
  <si>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</si>
  <si>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</si>
  <si>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</si>
  <si>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</si>
  <si>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</si>
  <si>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</si>
  <si>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</si>
  <si>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</si>
  <si>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</si>
  <si>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</si>
  <si>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</si>
  <si>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</si>
  <si>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</si>
  <si>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</si>
  <si>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</si>
  <si>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</si>
  <si>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</si>
  <si>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</si>
  <si>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</si>
  <si>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</si>
  <si>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</si>
  <si>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</si>
  <si>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</si>
  <si>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</si>
  <si>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</si>
  <si>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</si>
  <si>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</si>
  <si>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</si>
  <si>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</si>
  <si>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</si>
  <si>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</si>
  <si>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</si>
  <si>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</si>
  <si>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</si>
  <si>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</si>
  <si>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</si>
  <si>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</si>
  <si>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</si>
  <si>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</si>
  <si>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</si>
  <si>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</si>
  <si>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</si>
  <si>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</si>
  <si>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</si>
  <si>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</si>
  <si>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</si>
  <si>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</si>
  <si>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</si>
  <si>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</si>
  <si>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</si>
  <si>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</si>
  <si>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</si>
  <si>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</si>
  <si>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</si>
  <si>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</si>
  <si>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</si>
  <si>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</si>
  <si>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</si>
  <si>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</si>
  <si>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</si>
  <si>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</si>
  <si>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</si>
  <si>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</si>
  <si>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</si>
  <si>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</si>
  <si>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</si>
  <si>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</si>
  <si>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</si>
  <si>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</si>
  <si>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</si>
  <si>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</si>
  <si>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</si>
  <si>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</si>
  <si>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</si>
  <si>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</si>
  <si>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</si>
  <si>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</si>
  <si>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</si>
  <si>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</si>
  <si>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</si>
  <si>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</si>
  <si>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</si>
  <si>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</si>
  <si>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</si>
  <si>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</si>
  <si>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</si>
  <si>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</si>
  <si>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</si>
  <si>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</si>
  <si>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</si>
  <si>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</si>
  <si>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</si>
  <si>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</si>
  <si>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</si>
  <si>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</si>
  <si>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</si>
  <si>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</si>
  <si>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</si>
  <si>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</si>
  <si>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</si>
  <si>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</si>
  <si>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</si>
  <si>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</si>
  <si>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</si>
  <si>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</si>
  <si>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</si>
  <si>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</si>
  <si>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</si>
  <si>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</si>
  <si>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</si>
  <si>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</si>
  <si>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</si>
  <si>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</si>
  <si>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</si>
  <si>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</si>
  <si>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</si>
  <si>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</si>
  <si>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</si>
  <si>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</si>
  <si>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</si>
  <si>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</si>
  <si>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</si>
  <si>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</si>
  <si>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</si>
  <si>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</si>
  <si>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</si>
  <si>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</si>
  <si>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</si>
  <si>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</si>
  <si>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</si>
  <si>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</si>
  <si>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</si>
  <si>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</si>
  <si>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</si>
  <si>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</si>
  <si>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</si>
  <si>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</si>
  <si>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</si>
  <si>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</si>
  <si>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</si>
  <si>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</si>
  <si>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</si>
  <si>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</si>
  <si>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</si>
  <si>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</si>
  <si>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</si>
  <si>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</si>
  <si>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</si>
  <si>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</si>
  <si>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</si>
  <si>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</si>
  <si>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</si>
  <si>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</si>
  <si>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</si>
  <si>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</si>
  <si>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</si>
  <si>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</si>
  <si>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</si>
  <si>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</si>
  <si>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</si>
  <si>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</si>
  <si>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</si>
  <si>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</si>
  <si>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</si>
  <si>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</si>
  <si>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</si>
  <si>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</si>
  <si>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</si>
  <si>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</si>
  <si>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</si>
  <si>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</si>
  <si>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</si>
  <si>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</si>
  <si>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</si>
  <si>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</si>
  <si>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</si>
  <si>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</si>
  <si>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</si>
  <si>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</si>
  <si>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</si>
  <si>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</si>
  <si>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</si>
  <si>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</si>
  <si>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</si>
  <si>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</si>
  <si>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</si>
  <si>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</si>
  <si>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</si>
  <si>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</si>
  <si>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</si>
  <si>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</si>
  <si>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</si>
  <si>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</si>
  <si>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</si>
  <si>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</si>
  <si>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</si>
  <si>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</si>
  <si>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</si>
  <si>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</si>
  <si>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</si>
  <si>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</si>
  <si>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</si>
  <si>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</si>
  <si>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</si>
  <si>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</si>
  <si>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</si>
  <si>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</si>
  <si>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</si>
  <si>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</si>
  <si>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</si>
  <si>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</si>
  <si>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</si>
  <si>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</si>
  <si>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</si>
  <si>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</si>
  <si>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</si>
  <si>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</si>
  <si>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</si>
  <si>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</si>
  <si>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</si>
  <si>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</si>
  <si>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</si>
  <si>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</si>
  <si>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</si>
  <si>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</si>
  <si>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</si>
  <si>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</si>
  <si>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</si>
  <si>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</si>
  <si>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</si>
  <si>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</si>
  <si>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</si>
  <si>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</si>
  <si>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</si>
  <si>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</si>
  <si>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</si>
  <si>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</si>
  <si>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</si>
  <si>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</si>
  <si>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</si>
  <si>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</si>
  <si>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</si>
  <si>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</si>
  <si>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</si>
  <si>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</si>
  <si>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</si>
  <si>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</si>
  <si>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</si>
  <si>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</si>
  <si>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</si>
  <si>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</si>
  <si>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</si>
  <si>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</si>
  <si>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</si>
  <si>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</si>
  <si>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</si>
  <si>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</si>
  <si>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</si>
  <si>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</si>
  <si>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</si>
  <si>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</si>
  <si>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</si>
  <si>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</si>
  <si>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</si>
  <si>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</si>
  <si>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</si>
  <si>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</si>
  <si>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</si>
  <si>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</si>
  <si>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</si>
  <si>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</si>
  <si>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</si>
  <si>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</si>
  <si>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</si>
  <si>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</si>
  <si>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</si>
  <si>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</si>
  <si>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</si>
  <si>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</si>
  <si>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</si>
  <si>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ГОСТ 948-2016</t>
  </si>
  <si>
    <t>Перемычка брусковая 1ПБ13-1</t>
  </si>
  <si>
    <t>1125 кг.</t>
  </si>
  <si>
    <t>Перемычка брусковая 2ПБ17-2</t>
  </si>
  <si>
    <t>142 кг.</t>
  </si>
  <si>
    <t>Перемычка брусковая 3ПБ18-37</t>
  </si>
  <si>
    <t>833 кг.</t>
  </si>
  <si>
    <t>Ведомость заполненийзап</t>
  </si>
  <si>
    <t>19 10 11/ 12 53 31</t>
  </si>
  <si>
    <t>Позиция</t>
  </si>
  <si>
    <t>Масса ед., кг</t>
  </si>
  <si>
    <t>ГОСТ 23747-2015</t>
  </si>
  <si>
    <t>ДАН Км Бпр Дв Р 2070x1510</t>
  </si>
  <si>
    <t xml:space="preserve"> </t>
  </si>
  <si>
    <t>ДАВ Км Бпр Дв Р 2070x1510</t>
  </si>
  <si>
    <t>3,13кв.м.</t>
  </si>
  <si>
    <t>ГОСТ 30970-2014</t>
  </si>
  <si>
    <t>ДПВ Км Бпр Дв Р 2070x1510</t>
  </si>
  <si>
    <t>ДПВ Км Бпр Дв Р правый 2070-1310</t>
  </si>
  <si>
    <t>ДПВ Км Бпр Оп Пр Р 2070-1010</t>
  </si>
  <si>
    <t>ДПВ Км Бпр Оп Л Р 2070-1010</t>
  </si>
  <si>
    <t>ДПВ Г Бпр Оп Пр Р 2070-1010</t>
  </si>
  <si>
    <t>ДПВ Г Бпр Оп Л Р 2070-1010</t>
  </si>
  <si>
    <t>ДПВ Км Бпр Оп Пр Р 2070-910</t>
  </si>
  <si>
    <t>ДПВ Км Бпр Оп Л Р 2070-910</t>
  </si>
  <si>
    <t>ДПВ Г Бпр Оп Пр Р 2070-910</t>
  </si>
  <si>
    <t>1,88кв.м.</t>
  </si>
  <si>
    <t>ДПВ Г Бпр Оп Л Р 2070-910</t>
  </si>
  <si>
    <t>3,76кв.м.</t>
  </si>
  <si>
    <t>ДПВ Г Бпр Оп Пр Р 2070-810</t>
  </si>
  <si>
    <t>ДПВ Г Бпр Оп Л Р 2070-810</t>
  </si>
  <si>
    <t>ГОСТ Р 57327-2016</t>
  </si>
  <si>
    <t>ДПСО 02/ Л 2070(h)x1310 EI 30</t>
  </si>
  <si>
    <t>2,71кв.м.</t>
  </si>
  <si>
    <t>ДПС 01 1700x900 EI 30</t>
  </si>
  <si>
    <t>ГОСТ 31173-2016</t>
  </si>
  <si>
    <t>ДСВ Оп Брг Пр Вн О 2070-1010</t>
  </si>
  <si>
    <t>ДПВ Км Бпр Дв Р левый 2070-1310</t>
  </si>
  <si>
    <t>ДПСО 01 Л 2070(h)x1010 EI 30</t>
  </si>
  <si>
    <t>ДПСО 01/ П 2070(h)x1010 EI 30</t>
  </si>
  <si>
    <t>ВРН 350(h)x600</t>
  </si>
  <si>
    <t>ОК-1</t>
  </si>
  <si>
    <t>ГОСТ 30674-99</t>
  </si>
  <si>
    <t>ОП  1000-800</t>
  </si>
  <si>
    <t>ОК-2</t>
  </si>
  <si>
    <t>ГОСТ 30673-2013</t>
  </si>
  <si>
    <t>ОАК Г1 1800(h)x2400 (4M1-16-K4)</t>
  </si>
  <si>
    <t>17,28кв.м.</t>
  </si>
  <si>
    <t>Стальной окрашеный отлив шириной 180 мм. L=п.м.</t>
  </si>
  <si>
    <t>ПД-2:ПВХ доска подоконная шириной 260 мм. L=п.м.</t>
  </si>
  <si>
    <t>ПД-3:ПВХ доска подоконная шириной 310 мм. L=п.м.</t>
  </si>
  <si>
    <t>ОК-3</t>
  </si>
  <si>
    <t>ОАК Г1 1800(h)x1500 (4M1-16-K4)</t>
  </si>
  <si>
    <t>8,1кв.м.</t>
  </si>
  <si>
    <t>ПД-1:ПВХ доска подоконная шириной 260 мм. L=п.м.</t>
  </si>
  <si>
    <t>ОК-4</t>
  </si>
  <si>
    <t>ГОСТ 21519-2003</t>
  </si>
  <si>
    <t>ОАК Г1 1100(h)x1400 (4M1-16-K4)</t>
  </si>
  <si>
    <t>ОК-5</t>
  </si>
  <si>
    <t>ОАК Г1 1800(h)x2000 (4M1-16-K4)</t>
  </si>
  <si>
    <t>10,8кв.м.</t>
  </si>
  <si>
    <t>Ведомость заполнений_зап</t>
  </si>
  <si>
    <t>_зап</t>
  </si>
  <si>
    <t>13,2кг. 
1,29кв.м.</t>
  </si>
  <si>
    <t>36,9кг. 
1,92кв.м.</t>
  </si>
  <si>
    <t>3,69кг. 
0,76кв.м.</t>
  </si>
  <si>
    <t>30кг. 
0,81кв.м.</t>
  </si>
  <si>
    <t>93,6кг. 
1,23кв.м.</t>
  </si>
  <si>
    <t>4,2кг. 
0,75кв.м.</t>
  </si>
  <si>
    <t>6кг. 
1,08кв.м.</t>
  </si>
  <si>
    <t>18,54кг. 
1,62кв.м.</t>
  </si>
  <si>
    <t>Кол-во на отм.</t>
  </si>
  <si>
    <t>Всего</t>
  </si>
  <si>
    <t>План 1 эт на отм. 0,000</t>
  </si>
  <si>
    <t>План 2 эт на отм. +3,400</t>
  </si>
  <si>
    <t>План 3 эт. на отм. +6,700</t>
  </si>
  <si>
    <t>Количество</t>
  </si>
  <si>
    <t>План кровли</t>
  </si>
  <si>
    <t>Бетон В7.5</t>
  </si>
  <si>
    <t>ГОСТ 25192-2012</t>
  </si>
  <si>
    <t>Пфм1</t>
  </si>
  <si>
    <t>Бетон В25 W6 F150</t>
  </si>
  <si>
    <t>Клеевой анкер "Elementa" EPX 400 S</t>
  </si>
  <si>
    <t>данный лист</t>
  </si>
  <si>
    <t>П-шки у торцов плиты</t>
  </si>
  <si>
    <t>ГОСТ 34028-2016</t>
  </si>
  <si>
    <t xml:space="preserve"> Фон верхняя сетка</t>
  </si>
  <si>
    <t xml:space="preserve"> Фон нижняя сетка</t>
  </si>
  <si>
    <t>Плита фундаментная монолитная Пфм1</t>
  </si>
  <si>
    <t>Толщина плиты, мм</t>
  </si>
  <si>
    <t>!!!</t>
  </si>
  <si>
    <t>Площадь, кв. м.</t>
  </si>
  <si>
    <t>Основной</t>
  </si>
  <si>
    <t>Набетонка</t>
  </si>
  <si>
    <t>Бетон В25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</si>
  <si>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</si>
  <si>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</si>
  <si>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</si>
  <si>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</si>
  <si>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</si>
  <si>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</si>
  <si>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</si>
  <si>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</si>
  <si>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</si>
  <si>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</si>
  <si>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</si>
  <si>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</si>
  <si>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</si>
  <si>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</si>
  <si>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</si>
  <si>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</si>
  <si>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</si>
  <si>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</si>
  <si>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</si>
  <si>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</si>
  <si>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</si>
  <si>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Пфм1_спец</t>
  </si>
  <si>
    <t>check</t>
  </si>
  <si>
    <t>Марка элемента</t>
  </si>
  <si>
    <t>Изделия арматурные</t>
  </si>
  <si>
    <t>Объём бетона, куб.м.</t>
  </si>
  <si>
    <t>Арматура класса</t>
  </si>
  <si>
    <t>⌀12</t>
  </si>
  <si>
    <t>Пфм1, на все</t>
  </si>
  <si>
    <t>Пфм1_кж</t>
  </si>
  <si>
    <t>_кж</t>
  </si>
  <si>
    <t>19 10 18/ 12 47 41</t>
  </si>
  <si>
    <t>---</t>
  </si>
  <si>
    <t>Неверный формат файла</t>
  </si>
  <si>
    <t>Данные отсутвуют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</si>
</sst>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49" fontId="21" fillId="0" borderId="19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0" fontId="21" fillId="33" borderId="18" xfId="0" applyFont="1" applyFill="1" applyBorder="1" applyAlignment="1">
      <alignment horizontal="center" vertical="center" wrapText="1"/>
    </xf>
    <xf numFmtId="0" fontId="21" fillId="34" borderId="18" xfId="0" applyFont="1" applyFill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wrapText="1"/>
    </xf>
    <xf numFmtId="0" fontId="21" fillId="35" borderId="10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31" xfId="0" applyFont="1" applyFill="1" applyBorder="1" applyAlignment="1">
      <alignment horizontal="center" vertical="center" wrapText="1"/>
    </xf>
    <xf numFmtId="0" fontId="21" fillId="33" borderId="20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2" fillId="0" borderId="34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shrinkToFi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2" fillId="37" borderId="37" xfId="0" applyFont="1" applyFill="1" applyBorder="1" applyAlignment="1">
      <alignment horizontal="center" vertical="center" shrinkToFit="1"/>
    </xf>
    <xf numFmtId="0" fontId="21" fillId="38" borderId="2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textRotation="90" wrapText="1"/>
    </xf>
    <xf numFmtId="0" fontId="21" fillId="0" borderId="10" xfId="0" applyFont="1" applyFill="1" applyBorder="1" applyAlignment="1">
      <alignment horizontal="center" vertical="center" textRotation="90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91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0.2\&#1090;&#1077;&#1082;&#1091;&#1097;&#1080;&#1077;%20&#1087;&#1088;&#1086;&#1077;&#1082;&#1090;&#1099;\&#1071;&#1076;&#1077;&#1088;&#1085;&#1099;&#1081;%20&#1094;&#1077;&#1085;&#1090;&#1088;%20&#1055;&#1080;&#1090;&#1077;&#1088;\&#1055;&#1088;&#1086;&#1077;&#1082;&#1090;\&#1042;%20&#1088;&#1072;&#1073;&#1086;&#1090;&#1077;\&#1054;&#1090;&#1076;&#1077;&#1083;%20&#1057;&#1050;\!DWG\&#1040;&#1088;&#1084;&#1080;&#1088;&#1086;&#1074;&#1072;&#1085;&#1080;&#1077;\&#1074;%20&#1088;&#1072;&#1073;&#1086;&#1090;&#1077;\&#1057;&#1087;&#1077;&#1094;&#1080;&#1092;&#1080;&#1082;&#1072;&#1094;&#1080;&#1103;\&#1057;&#1087;&#1077;&#1094;-&#1050;&#104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Стм1_спец"/>
      <sheetName val="Сводная_спец"/>
      <sheetName val="Ппм1_спец"/>
      <sheetName val="Пдм1_спец"/>
      <sheetName val="Изделия_спец.И"/>
      <sheetName val="!System"/>
      <sheetName val="Пфм1_об"/>
      <sheetName val="Пфм1_кж"/>
      <sheetName val="Пдм1_об"/>
      <sheetName val="Пдм1_кж"/>
      <sheetName val="Стм1_об"/>
      <sheetName val="Стм1_кж"/>
      <sheetName val="Сводная_гр"/>
      <sheetName val="Ппм1_об"/>
      <sheetName val="Ппм1_кж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0">
          <cell r="A10" t="str">
            <v>Кр2</v>
          </cell>
          <cell r="C10" t="str">
            <v>данный лист</v>
          </cell>
          <cell r="D10" t="str">
            <v>Каркас Кр2</v>
          </cell>
        </row>
        <row r="15">
          <cell r="A15" t="str">
            <v>Мн1</v>
          </cell>
          <cell r="C15" t="str">
            <v>данный лист</v>
          </cell>
          <cell r="D15" t="str">
            <v>Закладная деталь Мн1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8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2765</v>
      </c>
      <c r="G2" s="7">
        <v>1</v>
      </c>
      <c r="H2" s="7" t="s">
        <v>2776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ht="30" x14ac:dyDescent="0.25">
      <c r="D3" s="8" t="s">
        <v>2710</v>
      </c>
      <c r="G3" s="7">
        <v>1</v>
      </c>
      <c r="H3" s="7" t="s">
        <v>2657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1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ht="30" x14ac:dyDescent="0.25">
      <c r="D4" s="8" t="s">
        <v>2656</v>
      </c>
      <c r="G4" s="7">
        <v>1</v>
      </c>
      <c r="H4" s="7" t="s">
        <v>2657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1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ht="30" x14ac:dyDescent="0.25">
      <c r="D5" s="8" t="s">
        <v>2773</v>
      </c>
      <c r="G5" s="7">
        <v>1</v>
      </c>
      <c r="H5" s="7" t="s">
        <v>2775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B6" s="8" t="s">
        <v>2376</v>
      </c>
    </row>
    <row r="7" spans="1:22" x14ac:dyDescent="0.25">
      <c r="A7" s="8" t="s">
        <v>25</v>
      </c>
    </row>
    <row r="8" spans="1:22" x14ac:dyDescent="0.25">
      <c r="A8" s="8" t="s">
        <v>24</v>
      </c>
    </row>
  </sheetData>
  <sortState ref="A2:V8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6" location="'!System'!B2" display="'!System'!B2"/>
    <hyperlink ref="A7" location="'|Лог|'!A1" display="'|Лог|'!A1"/>
    <hyperlink ref="A8" location="'|Содержание|'!A1" display="'|Содержание|'!A1"/>
    <hyperlink ref="D3" location="'Ведомость заполнений_зап'!D4" display="'Ведомость заполнений_зап'!D4"/>
    <hyperlink ref="D4" location="'Ведомость заполненийзап'!D4" display="'Ведомость заполненийзап'!D4"/>
    <hyperlink ref="D5" location="'Пфм1_кж'!D4" display="'Пфм1_кж'!D4"/>
    <hyperlink ref="E2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372" workbookViewId="0">
      <selection activeCell="C4393" sqref="C439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2633</v>
      </c>
      <c r="C2" s="1" t="s">
        <v>2640</v>
      </c>
      <c r="D2" s="1" t="s">
        <v>2641</v>
      </c>
      <c r="E2" s="1" t="s">
        <v>2638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2633</v>
      </c>
      <c r="C3" s="1" t="s">
        <v>2637</v>
      </c>
      <c r="D3" s="1" t="s">
        <v>2638</v>
      </c>
      <c r="E3" s="10" t="s">
        <v>2639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2633</v>
      </c>
      <c r="C4" s="1" t="s">
        <v>2640</v>
      </c>
      <c r="D4" s="1" t="s">
        <v>2641</v>
      </c>
      <c r="E4" s="10" t="s">
        <v>2638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2633</v>
      </c>
      <c r="C5" s="1" t="s">
        <v>2637</v>
      </c>
      <c r="D5" s="1" t="s">
        <v>2638</v>
      </c>
      <c r="E5" s="1" t="s">
        <v>2639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2633</v>
      </c>
      <c r="C6" s="1" t="s">
        <v>2640</v>
      </c>
      <c r="D6" s="1" t="s">
        <v>2641</v>
      </c>
      <c r="E6" s="1" t="s">
        <v>2638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2633</v>
      </c>
      <c r="C7" s="1" t="s">
        <v>2637</v>
      </c>
      <c r="D7" s="1" t="s">
        <v>2638</v>
      </c>
      <c r="E7" s="1" t="s">
        <v>2639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2633</v>
      </c>
      <c r="C8" s="1" t="s">
        <v>2640</v>
      </c>
      <c r="D8" s="1" t="s">
        <v>2641</v>
      </c>
      <c r="E8" s="10" t="s">
        <v>2638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2633</v>
      </c>
      <c r="C9" s="1" t="s">
        <v>2637</v>
      </c>
      <c r="D9" s="1" t="s">
        <v>2638</v>
      </c>
      <c r="E9" s="10" t="s">
        <v>2639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2633</v>
      </c>
      <c r="C10" s="1" t="s">
        <v>2642</v>
      </c>
      <c r="D10" s="1" t="s">
        <v>2636</v>
      </c>
      <c r="E10" s="10" t="s">
        <v>2634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2633</v>
      </c>
      <c r="C11" s="1" t="s">
        <v>2642</v>
      </c>
      <c r="D11" s="1" t="s">
        <v>2636</v>
      </c>
      <c r="E11" s="10" t="s">
        <v>2634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2633</v>
      </c>
      <c r="C12" s="1" t="s">
        <v>2643</v>
      </c>
      <c r="D12" s="1" t="s">
        <v>2635</v>
      </c>
      <c r="E12" s="1" t="s">
        <v>2634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2633</v>
      </c>
      <c r="C13" s="1" t="s">
        <v>2643</v>
      </c>
      <c r="D13" s="1"/>
      <c r="E13" s="1" t="s">
        <v>2634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2633</v>
      </c>
      <c r="C14" s="1" t="s">
        <v>2656</v>
      </c>
      <c r="D14" s="1"/>
      <c r="E14" s="1" t="s">
        <v>2634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2633</v>
      </c>
      <c r="C15" s="1" t="s">
        <v>2710</v>
      </c>
      <c r="D15" s="1" t="s">
        <v>2711</v>
      </c>
      <c r="E15" s="10" t="s">
        <v>2634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2633</v>
      </c>
      <c r="C16" s="1" t="s">
        <v>2656</v>
      </c>
      <c r="D16" s="1"/>
      <c r="E16" s="10" t="s">
        <v>2634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2633</v>
      </c>
      <c r="C17" s="1" t="s">
        <v>2710</v>
      </c>
      <c r="D17" s="1"/>
      <c r="E17" s="1" t="s">
        <v>2634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2633</v>
      </c>
      <c r="C18" s="1" t="s">
        <v>2656</v>
      </c>
      <c r="D18" s="1"/>
      <c r="E18" s="10" t="s">
        <v>2634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2633</v>
      </c>
      <c r="C19" s="1" t="s">
        <v>2710</v>
      </c>
      <c r="D19" s="1"/>
      <c r="E19" s="1" t="s">
        <v>2634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2633</v>
      </c>
      <c r="C20" s="1" t="s">
        <v>2656</v>
      </c>
      <c r="D20" s="1"/>
      <c r="E20" s="1" t="s">
        <v>2634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2633</v>
      </c>
      <c r="C21" s="1" t="s">
        <v>2710</v>
      </c>
      <c r="D21" s="1"/>
      <c r="E21" s="1" t="s">
        <v>2634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2633</v>
      </c>
      <c r="C22" s="1" t="s">
        <v>2656</v>
      </c>
      <c r="D22" s="1"/>
      <c r="E22" s="1" t="s">
        <v>2634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2633</v>
      </c>
      <c r="C23" s="1" t="s">
        <v>2710</v>
      </c>
      <c r="D23" s="1"/>
      <c r="E23" s="10" t="s">
        <v>2634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2633</v>
      </c>
      <c r="C24" s="1" t="s">
        <v>2656</v>
      </c>
      <c r="D24" s="1"/>
      <c r="E24" s="1" t="s">
        <v>2634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2633</v>
      </c>
      <c r="C25" s="1" t="s">
        <v>2710</v>
      </c>
      <c r="D25" s="1"/>
      <c r="E25" s="10" t="s">
        <v>2634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>
        <v>43756.532604166663</v>
      </c>
      <c r="B26" s="1" t="s">
        <v>2633</v>
      </c>
      <c r="C26" s="1" t="s">
        <v>2765</v>
      </c>
      <c r="D26" s="1" t="s">
        <v>2766</v>
      </c>
      <c r="E26" s="1">
        <v>0</v>
      </c>
      <c r="F26" s="1">
        <v>3.78</v>
      </c>
      <c r="G26" s="1">
        <v>3.94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43756.532754629632</v>
      </c>
      <c r="B27" s="1" t="s">
        <v>2633</v>
      </c>
      <c r="C27" s="1" t="s">
        <v>2765</v>
      </c>
      <c r="D27" s="1" t="s">
        <v>2766</v>
      </c>
      <c r="E27" s="1">
        <v>0</v>
      </c>
      <c r="F27" s="1">
        <v>3.78</v>
      </c>
      <c r="G27" s="1">
        <v>3.94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43756.533113425925</v>
      </c>
      <c r="B28" s="1" t="s">
        <v>2633</v>
      </c>
      <c r="C28" s="1" t="s">
        <v>2773</v>
      </c>
      <c r="D28" s="1" t="s">
        <v>2774</v>
      </c>
      <c r="E28" s="1" t="s">
        <v>2634</v>
      </c>
      <c r="F28" s="1">
        <v>3.78</v>
      </c>
      <c r="G28" s="1">
        <v>3.94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43756.533136574071</v>
      </c>
      <c r="B29" s="1" t="s">
        <v>2633</v>
      </c>
      <c r="C29" s="1" t="s">
        <v>2765</v>
      </c>
      <c r="D29" s="1" t="s">
        <v>2766</v>
      </c>
      <c r="E29" s="1">
        <v>0</v>
      </c>
      <c r="F29" s="1">
        <v>3.78</v>
      </c>
      <c r="G29" s="1">
        <v>3.94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43756.533159722225</v>
      </c>
      <c r="B30" s="1" t="s">
        <v>2633</v>
      </c>
      <c r="C30" s="1" t="s">
        <v>2773</v>
      </c>
      <c r="D30" s="1"/>
      <c r="E30" s="10" t="s">
        <v>2777</v>
      </c>
      <c r="F30" s="1">
        <v>3.78</v>
      </c>
      <c r="G30" s="1">
        <v>3.94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43756.533159722225</v>
      </c>
      <c r="B31" s="1" t="s">
        <v>2633</v>
      </c>
      <c r="C31" s="1" t="s">
        <v>2773</v>
      </c>
      <c r="D31" s="1"/>
      <c r="E31" s="1" t="s">
        <v>2778</v>
      </c>
      <c r="F31" s="1">
        <v>3.78</v>
      </c>
      <c r="G31" s="1">
        <v>3.94</v>
      </c>
      <c r="H31" s="1">
        <v>3.24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43756.533935185187</v>
      </c>
      <c r="B32" s="1" t="s">
        <v>2633</v>
      </c>
      <c r="C32" s="1" t="s">
        <v>2765</v>
      </c>
      <c r="D32" s="1" t="s">
        <v>2766</v>
      </c>
      <c r="E32" s="10">
        <v>0</v>
      </c>
      <c r="F32" s="1">
        <v>3.78</v>
      </c>
      <c r="G32" s="1">
        <v>3.94</v>
      </c>
      <c r="H32" s="1">
        <v>3.24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43756.533946759257</v>
      </c>
      <c r="B33" s="1" t="s">
        <v>2633</v>
      </c>
      <c r="C33" s="1" t="s">
        <v>2773</v>
      </c>
      <c r="D33" s="1"/>
      <c r="E33" s="1" t="s">
        <v>2634</v>
      </c>
      <c r="F33" s="1">
        <v>3.78</v>
      </c>
      <c r="G33" s="1">
        <v>3.94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4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4"/>
      <c r="B37" s="1"/>
      <c r="C37" s="1"/>
      <c r="D37" s="1"/>
      <c r="E37" s="10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4"/>
      <c r="B38" s="1"/>
      <c r="C38" s="1"/>
      <c r="D38" s="1"/>
      <c r="E38" s="10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4"/>
      <c r="B39" s="1"/>
      <c r="C39" s="1"/>
      <c r="D39" s="1"/>
      <c r="E39" s="10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4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4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4"/>
      <c r="B43" s="1"/>
      <c r="C43" s="1"/>
      <c r="D43" s="1"/>
      <c r="E43" s="10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4"/>
      <c r="B44" s="1"/>
      <c r="C44" s="1"/>
      <c r="D44" s="1"/>
      <c r="E44" s="10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4"/>
      <c r="B45" s="1"/>
      <c r="C45" s="1"/>
      <c r="D45" s="1"/>
      <c r="E45" s="10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4"/>
      <c r="B46" s="1"/>
      <c r="C46" s="1"/>
      <c r="D46" s="1"/>
      <c r="E46" s="10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4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4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4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4"/>
      <c r="B50" s="1"/>
      <c r="C50" s="1"/>
      <c r="D50" s="1"/>
      <c r="E50" s="10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4"/>
      <c r="B51" s="1"/>
      <c r="C51" s="1"/>
      <c r="D51" s="1"/>
      <c r="E51" s="10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4"/>
      <c r="B52" s="1"/>
      <c r="C52" s="1"/>
      <c r="D52" s="1"/>
      <c r="E52" s="10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4"/>
      <c r="B53" s="1"/>
      <c r="C53" s="1"/>
      <c r="D53" s="1"/>
      <c r="E53" s="10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4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4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4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4"/>
      <c r="B57" s="1"/>
      <c r="C57" s="1"/>
      <c r="D57" s="1"/>
      <c r="E57" s="10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4"/>
      <c r="B58" s="1"/>
      <c r="C58" s="1"/>
      <c r="D58" s="1"/>
      <c r="E58" s="10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4"/>
      <c r="B60" s="1"/>
      <c r="C60" s="1"/>
      <c r="D60" s="1"/>
      <c r="E60" s="10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4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4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4"/>
      <c r="B65" s="1"/>
      <c r="C65" s="1"/>
      <c r="D65" s="1"/>
      <c r="E65" s="10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4"/>
      <c r="B67" s="1"/>
      <c r="C67" s="1"/>
      <c r="D67" s="1"/>
      <c r="E67" s="10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4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4"/>
      <c r="B70" s="1"/>
      <c r="C70" s="1"/>
      <c r="D70" s="1"/>
      <c r="E70" s="10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4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4"/>
      <c r="B72" s="1"/>
      <c r="C72" s="1"/>
      <c r="D72" s="1"/>
      <c r="E72" s="10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4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4"/>
      <c r="B74" s="1"/>
      <c r="C74" s="1"/>
      <c r="D74" s="1"/>
      <c r="E74" s="10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4"/>
      <c r="B75" s="1"/>
      <c r="C75" s="1"/>
      <c r="D75" s="1"/>
      <c r="E75" s="10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4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4"/>
      <c r="B77" s="1"/>
      <c r="C77" s="1"/>
      <c r="D77" s="1"/>
      <c r="E77" s="10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4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4"/>
      <c r="B79" s="1"/>
      <c r="C79" s="1"/>
      <c r="D79" s="1"/>
      <c r="E79" s="10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4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4"/>
      <c r="B81" s="1"/>
      <c r="C81" s="1"/>
      <c r="D81" s="1"/>
      <c r="E81" s="10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/>
      <c r="B82" s="1"/>
      <c r="C82" s="1"/>
      <c r="D82" s="1"/>
      <c r="E82" s="10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4"/>
      <c r="B86" s="1"/>
      <c r="C86" s="1"/>
      <c r="D86" s="1"/>
      <c r="E86" s="10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4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4"/>
      <c r="B91" s="1"/>
      <c r="C91" s="1"/>
      <c r="D91" s="1"/>
      <c r="E91" s="10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4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4"/>
      <c r="B93" s="1"/>
      <c r="C93" s="1"/>
      <c r="D93" s="1"/>
      <c r="E93" s="10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4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4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4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4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4"/>
      <c r="B98" s="1"/>
      <c r="C98" s="1"/>
      <c r="D98" s="1"/>
      <c r="E98" s="10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4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4"/>
      <c r="B102" s="1"/>
      <c r="C102" s="1"/>
      <c r="D102" s="1"/>
      <c r="E102" s="10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4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4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4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4"/>
      <c r="B107" s="1"/>
      <c r="C107" s="1"/>
      <c r="D107" s="1"/>
      <c r="E107" s="10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4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4"/>
      <c r="B109" s="1"/>
      <c r="C109" s="1"/>
      <c r="D109" s="1"/>
      <c r="E109" s="10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4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4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4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4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4"/>
      <c r="B114" s="1"/>
      <c r="C114" s="1"/>
      <c r="D114" s="1"/>
      <c r="E114" s="10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4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4"/>
      <c r="B116" s="1"/>
      <c r="C116" s="1"/>
      <c r="D116" s="1"/>
      <c r="E116" s="10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4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4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4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4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4"/>
      <c r="B121" s="1"/>
      <c r="C121" s="1"/>
      <c r="D121" s="1"/>
      <c r="E121" s="10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4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4"/>
      <c r="B123" s="1"/>
      <c r="C123" s="1"/>
      <c r="D123" s="1"/>
      <c r="E123" s="10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4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4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4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4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4"/>
      <c r="B128" s="1"/>
      <c r="C128" s="1"/>
      <c r="D128" s="1"/>
      <c r="E128" s="10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4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4"/>
      <c r="B130" s="1"/>
      <c r="C130" s="1"/>
      <c r="D130" s="1"/>
      <c r="E130" s="10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4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4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4"/>
      <c r="B135" s="1"/>
      <c r="C135" s="1"/>
      <c r="D135" s="1"/>
      <c r="E135" s="10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4"/>
      <c r="B137" s="1"/>
      <c r="C137" s="1"/>
      <c r="D137" s="1"/>
      <c r="E137" s="10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4"/>
      <c r="B142" s="1"/>
      <c r="C142" s="1"/>
      <c r="D142" s="1"/>
      <c r="E142" s="10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4"/>
      <c r="B144" s="1"/>
      <c r="C144" s="1"/>
      <c r="D144" s="1"/>
      <c r="E144" s="10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4"/>
      <c r="B149" s="1"/>
      <c r="C149" s="1"/>
      <c r="D149" s="1"/>
      <c r="E149" s="10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4"/>
      <c r="B151" s="1"/>
      <c r="C151" s="1"/>
      <c r="D151" s="1"/>
      <c r="E151" s="10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4"/>
      <c r="B156" s="1"/>
      <c r="C156" s="1"/>
      <c r="D156" s="1"/>
      <c r="E156" s="10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4"/>
      <c r="B160" s="1"/>
      <c r="C160" s="1"/>
      <c r="D160" s="1"/>
      <c r="E160" s="10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4"/>
      <c r="B165" s="1"/>
      <c r="C165" s="1"/>
      <c r="D165" s="1"/>
      <c r="E165" s="10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4"/>
      <c r="B172" s="1"/>
      <c r="C172" s="1"/>
      <c r="D172" s="1"/>
      <c r="E172" s="10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0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0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0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0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0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0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0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U17"/>
  <sheetViews>
    <sheetView workbookViewId="0">
      <selection activeCell="V17" sqref="V17:V1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55" t="s">
        <v>2764</v>
      </c>
      <c r="B1" s="54" t="s">
        <v>2644</v>
      </c>
      <c r="C1" s="54" t="s">
        <v>2645</v>
      </c>
      <c r="D1" s="54" t="s">
        <v>2646</v>
      </c>
      <c r="E1" s="54" t="s">
        <v>2763</v>
      </c>
      <c r="F1" s="54" t="s">
        <v>2762</v>
      </c>
      <c r="G1" s="54" t="s">
        <v>2761</v>
      </c>
      <c r="H1" s="54" t="s">
        <v>2760</v>
      </c>
      <c r="I1" s="54"/>
      <c r="J1" s="54"/>
      <c r="K1" s="54" t="s">
        <v>2759</v>
      </c>
      <c r="L1" s="54"/>
      <c r="M1" s="54"/>
      <c r="N1" s="54"/>
      <c r="O1" s="54"/>
      <c r="P1" s="54"/>
      <c r="Q1" s="54"/>
      <c r="R1" s="54" t="s">
        <v>2758</v>
      </c>
      <c r="S1" s="54" t="s">
        <v>2757</v>
      </c>
      <c r="T1" s="54"/>
      <c r="U1" s="53"/>
    </row>
    <row r="2" spans="1:21" ht="63" x14ac:dyDescent="0.25">
      <c r="A2" s="12"/>
      <c r="B2" s="13"/>
      <c r="C2" s="13"/>
      <c r="D2" s="13"/>
      <c r="E2" s="13"/>
      <c r="F2" s="13"/>
      <c r="G2" s="13"/>
      <c r="H2" s="13" t="s">
        <v>2756</v>
      </c>
      <c r="I2" s="13" t="s">
        <v>2755</v>
      </c>
      <c r="J2" s="13" t="s">
        <v>2754</v>
      </c>
      <c r="K2" s="13" t="s">
        <v>2753</v>
      </c>
      <c r="L2" s="13" t="s">
        <v>2752</v>
      </c>
      <c r="M2" s="13" t="s">
        <v>2751</v>
      </c>
      <c r="N2" s="13" t="s">
        <v>2750</v>
      </c>
      <c r="O2" s="13" t="s">
        <v>2749</v>
      </c>
      <c r="P2" s="13" t="s">
        <v>2748</v>
      </c>
      <c r="Q2" s="13" t="s">
        <v>2747</v>
      </c>
      <c r="R2" s="13"/>
      <c r="S2" s="13" t="s">
        <v>2746</v>
      </c>
      <c r="T2" s="13" t="s">
        <v>2745</v>
      </c>
      <c r="U2" s="14" t="s">
        <v>2744</v>
      </c>
    </row>
    <row r="3" spans="1:21" ht="15.75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</row>
    <row r="4" spans="1:21" ht="15.75" x14ac:dyDescent="0.25">
      <c r="A4" s="52" t="s">
        <v>2729</v>
      </c>
      <c r="B4" s="45" t="s">
        <v>2739</v>
      </c>
      <c r="C4" s="45" t="s">
        <v>2741</v>
      </c>
      <c r="D4" s="45" t="s">
        <v>2743</v>
      </c>
      <c r="E4" s="45">
        <v>35.423999999999999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51"/>
    </row>
    <row r="5" spans="1:21" ht="15.75" x14ac:dyDescent="0.25">
      <c r="A5" s="52" t="s">
        <v>2729</v>
      </c>
      <c r="B5" s="45" t="s">
        <v>2739</v>
      </c>
      <c r="C5" s="45" t="s">
        <v>2742</v>
      </c>
      <c r="D5" s="45" t="s">
        <v>2727</v>
      </c>
      <c r="E5" s="45">
        <v>12.29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51"/>
    </row>
    <row r="6" spans="1:21" ht="15.75" x14ac:dyDescent="0.25">
      <c r="A6" s="52" t="s">
        <v>2729</v>
      </c>
      <c r="B6" s="45" t="s">
        <v>2739</v>
      </c>
      <c r="C6" s="45" t="s">
        <v>2741</v>
      </c>
      <c r="D6" s="45" t="s">
        <v>2740</v>
      </c>
      <c r="E6" s="45">
        <v>118.08</v>
      </c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51"/>
    </row>
    <row r="7" spans="1:21" ht="15.75" x14ac:dyDescent="0.25">
      <c r="A7" s="52" t="s">
        <v>2729</v>
      </c>
      <c r="B7" s="45" t="s">
        <v>2739</v>
      </c>
      <c r="C7" s="45"/>
      <c r="D7" s="45" t="s">
        <v>2738</v>
      </c>
      <c r="E7" s="45">
        <v>300</v>
      </c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51"/>
    </row>
    <row r="8" spans="1:21" ht="15.75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</row>
    <row r="9" spans="1:21" ht="31.5" x14ac:dyDescent="0.25">
      <c r="A9" s="49" t="s">
        <v>2729</v>
      </c>
      <c r="B9" s="48" t="s">
        <v>2729</v>
      </c>
      <c r="C9" s="48"/>
      <c r="D9" s="48" t="s">
        <v>2737</v>
      </c>
      <c r="E9" s="48">
        <v>1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7"/>
    </row>
    <row r="10" spans="1:21" ht="15.75" x14ac:dyDescent="0.25">
      <c r="A10" s="12" t="s">
        <v>2729</v>
      </c>
      <c r="B10" s="13">
        <v>1</v>
      </c>
      <c r="C10" s="13" t="s">
        <v>2734</v>
      </c>
      <c r="D10" s="13" t="s">
        <v>2736</v>
      </c>
      <c r="E10" s="13">
        <v>2</v>
      </c>
      <c r="F10" s="45">
        <v>0.88800000000000001</v>
      </c>
      <c r="G10" s="13" t="s">
        <v>20</v>
      </c>
      <c r="H10" s="13">
        <v>632470</v>
      </c>
      <c r="I10" s="13">
        <v>12</v>
      </c>
      <c r="J10" s="13" t="s">
        <v>2</v>
      </c>
      <c r="K10" s="13"/>
      <c r="L10" s="13"/>
      <c r="M10" s="13"/>
      <c r="N10" s="13"/>
      <c r="O10" s="13"/>
      <c r="P10" s="13"/>
      <c r="Q10" s="13"/>
      <c r="R10" s="13"/>
      <c r="S10" s="13">
        <v>500</v>
      </c>
      <c r="T10" s="13">
        <v>600</v>
      </c>
      <c r="U10" s="14">
        <v>30</v>
      </c>
    </row>
    <row r="11" spans="1:21" ht="15.75" x14ac:dyDescent="0.25">
      <c r="A11" s="12" t="s">
        <v>2729</v>
      </c>
      <c r="B11" s="13">
        <v>1</v>
      </c>
      <c r="C11" s="13" t="s">
        <v>2734</v>
      </c>
      <c r="D11" s="13" t="s">
        <v>2735</v>
      </c>
      <c r="E11" s="13">
        <v>2</v>
      </c>
      <c r="F11" s="45">
        <v>0.88800000000000001</v>
      </c>
      <c r="G11" s="13" t="s">
        <v>20</v>
      </c>
      <c r="H11" s="13">
        <v>632470</v>
      </c>
      <c r="I11" s="13">
        <v>12</v>
      </c>
      <c r="J11" s="13" t="s">
        <v>2</v>
      </c>
      <c r="K11" s="13"/>
      <c r="L11" s="13"/>
      <c r="M11" s="13"/>
      <c r="N11" s="13"/>
      <c r="O11" s="13"/>
      <c r="P11" s="13"/>
      <c r="Q11" s="13"/>
      <c r="R11" s="13"/>
      <c r="S11" s="13">
        <v>500</v>
      </c>
      <c r="T11" s="13">
        <v>600</v>
      </c>
      <c r="U11" s="14">
        <v>30</v>
      </c>
    </row>
    <row r="12" spans="1:21" ht="15.75" x14ac:dyDescent="0.25">
      <c r="A12" s="12" t="s">
        <v>2729</v>
      </c>
      <c r="B12" s="13">
        <v>2</v>
      </c>
      <c r="C12" s="13" t="s">
        <v>2734</v>
      </c>
      <c r="D12" s="13" t="s">
        <v>2733</v>
      </c>
      <c r="E12" s="13">
        <v>220</v>
      </c>
      <c r="F12" s="45">
        <v>0.88800000000000001</v>
      </c>
      <c r="G12" s="13" t="s">
        <v>0</v>
      </c>
      <c r="H12" s="13">
        <v>1275</v>
      </c>
      <c r="I12" s="13">
        <v>12</v>
      </c>
      <c r="J12" s="13" t="s">
        <v>2</v>
      </c>
      <c r="K12" s="13"/>
      <c r="L12" s="13"/>
      <c r="M12" s="13"/>
      <c r="N12" s="13"/>
      <c r="O12" s="13"/>
      <c r="P12" s="13"/>
      <c r="Q12" s="13"/>
      <c r="R12" s="13"/>
      <c r="S12" s="13">
        <v>500</v>
      </c>
      <c r="T12" s="13">
        <v>600</v>
      </c>
      <c r="U12" s="14">
        <v>30</v>
      </c>
    </row>
    <row r="13" spans="1:21" ht="15.75" x14ac:dyDescent="0.25">
      <c r="A13" s="12" t="s">
        <v>2729</v>
      </c>
      <c r="B13" s="13" t="str">
        <f>[1]Изделия_спец.И!A10</f>
        <v>Кр2</v>
      </c>
      <c r="C13" s="13" t="str">
        <f>[1]Изделия_спец.И!C10</f>
        <v>данный лист</v>
      </c>
      <c r="D13" s="13" t="str">
        <f>[1]Изделия_спец.И!D10</f>
        <v>Каркас Кр2</v>
      </c>
      <c r="E13" s="13">
        <v>125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</row>
    <row r="14" spans="1:21" ht="15.75" x14ac:dyDescent="0.25">
      <c r="A14" s="12" t="s">
        <v>2729</v>
      </c>
      <c r="B14" s="13" t="str">
        <f>[1]Изделия_спец.И!A15</f>
        <v>Мн1</v>
      </c>
      <c r="C14" s="13" t="str">
        <f>[1]Изделия_спец.И!C15</f>
        <v>данный лист</v>
      </c>
      <c r="D14" s="13" t="str">
        <f>[1]Изделия_спец.И!D15</f>
        <v>Закладная деталь Мн1</v>
      </c>
      <c r="E14" s="13">
        <v>63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</row>
    <row r="15" spans="1:21" ht="31.5" x14ac:dyDescent="0.25">
      <c r="A15" s="12" t="s">
        <v>2729</v>
      </c>
      <c r="B15" s="13"/>
      <c r="C15" s="13" t="s">
        <v>2732</v>
      </c>
      <c r="D15" s="13" t="s">
        <v>2731</v>
      </c>
      <c r="E15" s="13">
        <v>10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4"/>
    </row>
    <row r="16" spans="1:21" ht="15.75" x14ac:dyDescent="0.25">
      <c r="A16" s="12" t="s">
        <v>2729</v>
      </c>
      <c r="B16" s="13"/>
      <c r="C16" s="46" t="s">
        <v>2728</v>
      </c>
      <c r="D16" s="46" t="s">
        <v>2730</v>
      </c>
      <c r="E16" s="46">
        <v>35.423999999999999</v>
      </c>
      <c r="F16" s="45" t="s">
        <v>4</v>
      </c>
      <c r="G16" s="13" t="s">
        <v>3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</row>
    <row r="17" spans="1:21" ht="16.5" thickBot="1" x14ac:dyDescent="0.3">
      <c r="A17" s="15" t="s">
        <v>2729</v>
      </c>
      <c r="B17" s="16"/>
      <c r="C17" s="44" t="s">
        <v>2728</v>
      </c>
      <c r="D17" s="44" t="s">
        <v>2727</v>
      </c>
      <c r="E17" s="44">
        <v>12.29</v>
      </c>
      <c r="F17" s="43" t="s">
        <v>4</v>
      </c>
      <c r="G17" s="16" t="s">
        <v>3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7"/>
    </row>
  </sheetData>
  <conditionalFormatting sqref="A1:U17">
    <cfRule type="containsText" dxfId="105" priority="14" stopIfTrue="1" operator="containsText" text="шт.)">
      <formula>NOT(ISERROR(SEARCH("шт.)",A1)))</formula>
    </cfRule>
    <cfRule type="containsText" dxfId="104" priority="13" stopIfTrue="1" operator="containsText" text=", на ">
      <formula>NOT(ISERROR(SEARCH(", на ",A1)))</formula>
    </cfRule>
    <cfRule type="containsText" dxfId="103" priority="12" stopIfTrue="1" operator="containsText" text="Элементы на отм.">
      <formula>NOT(ISERROR(SEARCH("Элементы на отм.",A1)))</formula>
    </cfRule>
    <cfRule type="containsText" dxfId="102" priority="11" stopIfTrue="1" operator="containsText" text=" Прокат ">
      <formula>NOT(ISERROR(SEARCH(" Прокат ",A1)))</formula>
    </cfRule>
    <cfRule type="containsText" dxfId="101" priority="10" stopIfTrue="1" operator="containsText" text=" Изделия арматурные ">
      <formula>NOT(ISERROR(SEARCH(" Изделия арматурные ",A1)))</formula>
    </cfRule>
    <cfRule type="containsText" dxfId="100" priority="9" stopIfTrue="1" operator="containsText" text=" Материалы ">
      <formula>NOT(ISERROR(SEARCH(" Материалы ",A1)))</formula>
    </cfRule>
    <cfRule type="containsText" dxfId="99" priority="8" stopIfTrue="1" operator="containsText" text=" Изделия ">
      <formula>NOT(ISERROR(SEARCH(" Изделия ",A1)))</formula>
    </cfRule>
    <cfRule type="containsText" dxfId="98" priority="7" stopIfTrue="1" operator="containsText" text=" Сборочные единицы ">
      <formula>NOT(ISERROR(SEARCH(" Сборочные единицы ",A1)))</formula>
    </cfRule>
    <cfRule type="containsText" dxfId="97" priority="6" stopIfTrue="1" operator="containsText" text=" Заполнения проёмов ">
      <formula>NOT(ISERROR(SEARCH(" Заполнения проёмов ",A1)))</formula>
    </cfRule>
    <cfRule type="containsText" dxfId="96" priority="5" stopIfTrue="1" operator="containsText" text=" Сборочные единицы ">
      <formula>NOT(ISERROR(SEARCH(" Сборочные единицы ",A1)))</formula>
    </cfRule>
    <cfRule type="containsText" dxfId="95" priority="4" stopIfTrue="1" operator="containsText" text=" Заполнения проёмов ">
      <formula>NOT(ISERROR(SEARCH(" Заполнения проёмов ",A1)))</formula>
    </cfRule>
    <cfRule type="containsText" dxfId="94" priority="3" stopIfTrue="1" operator="containsText" text="!!!">
      <formula>NOT(ISERROR(SEARCH("!!!",A1)))</formula>
    </cfRule>
    <cfRule type="containsText" dxfId="93" priority="2" stopIfTrue="1" operator="containsText" text="ИЗ ФАЙЛА">
      <formula>NOT(ISERROR(SEARCH("ИЗ ФАЙЛА",A1)))</formula>
    </cfRule>
    <cfRule type="containsText" dxfId="9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warning" allowBlank="1" showInputMessage="1" showErrorMessage="1">
          <x14:formula1>
            <xm:f>'!System'!$AU$1:$AU$6</xm:f>
          </x14:formula1>
          <xm:sqref>G3:G17</xm:sqref>
        </x14:dataValidation>
        <x14:dataValidation type="list" allowBlank="1" showInputMessage="1" showErrorMessage="1">
          <x14:formula1>
            <xm:f>'!System'!$AA$1:$AI$1</xm:f>
          </x14:formula1>
          <xm:sqref>J3:J17</xm:sqref>
        </x14:dataValidation>
        <x14:dataValidation type="list" allowBlank="1" showInputMessage="1" showErrorMessage="1">
          <x14:formula1>
            <xm:f>'!System'!$A$1:$Y$1</xm:f>
          </x14:formula1>
          <xm:sqref>L3:L17</xm:sqref>
        </x14:dataValidation>
        <x14:dataValidation type="list" allowBlank="1" showInputMessage="1" showErrorMessage="1">
          <x14:formula1>
            <xm:f>'!System'!$AJ$1:$AT$1</xm:f>
          </x14:formula1>
          <xm:sqref>O3:O17</xm:sqref>
        </x14:dataValidation>
        <x14:dataValidation type="list" allowBlank="1" showInputMessage="1" showErrorMessage="1">
          <x14:formula1>
            <xm:f>'!System'!$AV$1:$AV$5</xm:f>
          </x14:formula1>
          <xm:sqref>P3:P17</xm:sqref>
        </x14:dataValidation>
        <x14:dataValidation type="list" allowBlank="1" showInputMessage="1" showErrorMessage="1">
          <x14:formula1>
            <xm:f>'!System'!$AA$2:$AA$17</xm:f>
          </x14:formula1>
          <xm:sqref>I10</xm:sqref>
        </x14:dataValidation>
        <x14:dataValidation type="list" allowBlank="1" showInputMessage="1" showErrorMessage="1">
          <x14:formula1>
            <xm:f>'!System'!$AA$2:$AA$17</xm:f>
          </x14:formula1>
          <xm:sqref>I11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I5"/>
  <sheetViews>
    <sheetView workbookViewId="0">
      <selection activeCell="E25" sqref="E2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31" t="s">
        <v>2644</v>
      </c>
      <c r="B1" s="24" t="s">
        <v>2645</v>
      </c>
      <c r="C1" s="24" t="s">
        <v>2646</v>
      </c>
      <c r="D1" s="33" t="s">
        <v>2720</v>
      </c>
      <c r="E1" s="34"/>
      <c r="F1" s="35"/>
      <c r="G1" s="24" t="s">
        <v>2721</v>
      </c>
      <c r="H1" s="24" t="s">
        <v>2647</v>
      </c>
      <c r="I1" s="26" t="s">
        <v>2648</v>
      </c>
    </row>
    <row r="2" spans="1:9" ht="63" x14ac:dyDescent="0.25">
      <c r="A2" s="32"/>
      <c r="B2" s="25"/>
      <c r="C2" s="25"/>
      <c r="D2" s="13" t="s">
        <v>2722</v>
      </c>
      <c r="E2" s="13" t="s">
        <v>2723</v>
      </c>
      <c r="F2" s="13" t="s">
        <v>2724</v>
      </c>
      <c r="G2" s="25"/>
      <c r="H2" s="25"/>
      <c r="I2" s="27"/>
    </row>
    <row r="3" spans="1:9" ht="15.75" x14ac:dyDescent="0.25">
      <c r="A3" s="12">
        <v>1</v>
      </c>
      <c r="B3" s="28" t="s">
        <v>2649</v>
      </c>
      <c r="C3" s="13" t="s">
        <v>2650</v>
      </c>
      <c r="D3" s="13">
        <v>16</v>
      </c>
      <c r="E3" s="13">
        <v>18</v>
      </c>
      <c r="F3" s="13">
        <v>11</v>
      </c>
      <c r="G3" s="13">
        <v>45</v>
      </c>
      <c r="H3" s="13">
        <v>25</v>
      </c>
      <c r="I3" s="14" t="s">
        <v>2651</v>
      </c>
    </row>
    <row r="4" spans="1:9" ht="31.5" x14ac:dyDescent="0.25">
      <c r="A4" s="12">
        <v>3</v>
      </c>
      <c r="B4" s="29"/>
      <c r="C4" s="13" t="s">
        <v>2654</v>
      </c>
      <c r="D4" s="13">
        <v>3</v>
      </c>
      <c r="E4" s="13">
        <v>3</v>
      </c>
      <c r="F4" s="13">
        <v>1</v>
      </c>
      <c r="G4" s="13">
        <v>7</v>
      </c>
      <c r="H4" s="13">
        <v>119</v>
      </c>
      <c r="I4" s="14" t="s">
        <v>2655</v>
      </c>
    </row>
    <row r="5" spans="1:9" ht="16.5" thickBot="1" x14ac:dyDescent="0.3">
      <c r="A5" s="15">
        <v>2</v>
      </c>
      <c r="B5" s="30"/>
      <c r="C5" s="16" t="s">
        <v>2652</v>
      </c>
      <c r="D5" s="16" t="s">
        <v>4</v>
      </c>
      <c r="E5" s="16">
        <v>1</v>
      </c>
      <c r="F5" s="16">
        <v>1</v>
      </c>
      <c r="G5" s="16">
        <v>2</v>
      </c>
      <c r="H5" s="16">
        <v>71</v>
      </c>
      <c r="I5" s="17" t="s">
        <v>2653</v>
      </c>
    </row>
  </sheetData>
  <mergeCells count="8">
    <mergeCell ref="H1:H2"/>
    <mergeCell ref="I1:I2"/>
    <mergeCell ref="B3:B5"/>
    <mergeCell ref="A1:A2"/>
    <mergeCell ref="B1:B2"/>
    <mergeCell ref="C1:C2"/>
    <mergeCell ref="D1:F1"/>
    <mergeCell ref="G1:G2"/>
  </mergeCells>
  <conditionalFormatting sqref="A1:I5">
    <cfRule type="containsText" dxfId="283" priority="1" stopIfTrue="1" operator="containsText" text="С ЛИСТА">
      <formula>NOT(ISERROR(SEARCH("С ЛИСТА",A1)))</formula>
    </cfRule>
    <cfRule type="containsText" dxfId="282" priority="2" stopIfTrue="1" operator="containsText" text="ИЗ ФАЙЛА">
      <formula>NOT(ISERROR(SEARCH("ИЗ ФАЙЛА",A1)))</formula>
    </cfRule>
    <cfRule type="containsText" dxfId="281" priority="3" stopIfTrue="1" operator="containsText" text="!!!">
      <formula>NOT(ISERROR(SEARCH("!!!",A1)))</formula>
    </cfRule>
    <cfRule type="containsText" dxfId="280" priority="4" stopIfTrue="1" operator="containsText" text=" Заполнения проёмов ">
      <formula>NOT(ISERROR(SEARCH(" Заполнения проёмов ",A1)))</formula>
    </cfRule>
    <cfRule type="containsText" dxfId="279" priority="5" stopIfTrue="1" operator="containsText" text=" Сборочные единицы ">
      <formula>NOT(ISERROR(SEARCH(" Сборочные единицы ",A1)))</formula>
    </cfRule>
    <cfRule type="containsText" dxfId="278" priority="6" stopIfTrue="1" operator="containsText" text=" Заполнения проёмов ">
      <formula>NOT(ISERROR(SEARCH(" Заполнения проёмов ",A1)))</formula>
    </cfRule>
    <cfRule type="containsText" dxfId="277" priority="7" stopIfTrue="1" operator="containsText" text=" Сборочные единицы ">
      <formula>NOT(ISERROR(SEARCH(" Сборочные единицы ",A1)))</formula>
    </cfRule>
    <cfRule type="containsText" dxfId="276" priority="8" stopIfTrue="1" operator="containsText" text=" Изделия ">
      <formula>NOT(ISERROR(SEARCH(" Изделия ",A1)))</formula>
    </cfRule>
    <cfRule type="containsText" dxfId="275" priority="9" stopIfTrue="1" operator="containsText" text=" Материалы ">
      <formula>NOT(ISERROR(SEARCH(" Материалы ",A1)))</formula>
    </cfRule>
    <cfRule type="containsText" dxfId="274" priority="10" stopIfTrue="1" operator="containsText" text=" Изделия арматурные ">
      <formula>NOT(ISERROR(SEARCH(" Изделия арматурные ",A1)))</formula>
    </cfRule>
    <cfRule type="containsText" dxfId="273" priority="11" stopIfTrue="1" operator="containsText" text=" Прокат ">
      <formula>NOT(ISERROR(SEARCH(" Прокат ",A1)))</formula>
    </cfRule>
    <cfRule type="containsText" dxfId="272" priority="12" stopIfTrue="1" operator="containsText" text="Элементы на отм.">
      <formula>NOT(ISERROR(SEARCH("Элементы на отм.",A1)))</formula>
    </cfRule>
    <cfRule type="containsText" dxfId="271" priority="13" stopIfTrue="1" operator="containsText" text=", на ">
      <formula>NOT(ISERROR(SEARCH(", на ",A1)))</formula>
    </cfRule>
    <cfRule type="containsText" dxfId="270" priority="14" stopIfTrue="1" operator="containsText" text="шт.)">
      <formula>NOT(ISERROR(SEARCH("шт.)",A1)))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J37"/>
  <sheetViews>
    <sheetView workbookViewId="0">
      <selection activeCell="Q11" sqref="Q11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38" t="s">
        <v>2658</v>
      </c>
      <c r="B1" s="40" t="s">
        <v>2645</v>
      </c>
      <c r="C1" s="40" t="s">
        <v>2646</v>
      </c>
      <c r="D1" s="40" t="s">
        <v>2725</v>
      </c>
      <c r="E1" s="40"/>
      <c r="F1" s="40"/>
      <c r="G1" s="40"/>
      <c r="H1" s="40" t="s">
        <v>2721</v>
      </c>
      <c r="I1" s="40" t="s">
        <v>2659</v>
      </c>
      <c r="J1" s="36" t="s">
        <v>2648</v>
      </c>
    </row>
    <row r="2" spans="1:10" ht="47.25" x14ac:dyDescent="0.25">
      <c r="A2" s="39"/>
      <c r="B2" s="41"/>
      <c r="C2" s="41"/>
      <c r="D2" s="19" t="s">
        <v>2722</v>
      </c>
      <c r="E2" s="19" t="s">
        <v>2723</v>
      </c>
      <c r="F2" s="19" t="s">
        <v>2724</v>
      </c>
      <c r="G2" s="19" t="s">
        <v>2726</v>
      </c>
      <c r="H2" s="41"/>
      <c r="I2" s="41"/>
      <c r="J2" s="37"/>
    </row>
    <row r="3" spans="1:10" ht="22.7" customHeight="1" x14ac:dyDescent="0.25">
      <c r="A3" s="18">
        <v>1</v>
      </c>
      <c r="B3" s="41" t="s">
        <v>2660</v>
      </c>
      <c r="C3" s="19" t="s">
        <v>2661</v>
      </c>
      <c r="D3" s="19">
        <v>2</v>
      </c>
      <c r="E3" s="19" t="s">
        <v>4</v>
      </c>
      <c r="F3" s="19" t="s">
        <v>4</v>
      </c>
      <c r="G3" s="19" t="s">
        <v>4</v>
      </c>
      <c r="H3" s="19">
        <v>2</v>
      </c>
      <c r="I3" s="19" t="s">
        <v>2662</v>
      </c>
      <c r="J3" s="20" t="s">
        <v>2662</v>
      </c>
    </row>
    <row r="4" spans="1:10" ht="22.7" customHeight="1" x14ac:dyDescent="0.25">
      <c r="A4" s="18">
        <v>2</v>
      </c>
      <c r="B4" s="41"/>
      <c r="C4" s="19" t="s">
        <v>2663</v>
      </c>
      <c r="D4" s="19">
        <v>2</v>
      </c>
      <c r="E4" s="19" t="s">
        <v>4</v>
      </c>
      <c r="F4" s="19" t="s">
        <v>4</v>
      </c>
      <c r="G4" s="19" t="s">
        <v>4</v>
      </c>
      <c r="H4" s="19">
        <v>2</v>
      </c>
      <c r="I4" s="19" t="s">
        <v>2662</v>
      </c>
      <c r="J4" s="20" t="s">
        <v>2664</v>
      </c>
    </row>
    <row r="5" spans="1:10" ht="22.7" customHeight="1" x14ac:dyDescent="0.25">
      <c r="A5" s="18">
        <v>3</v>
      </c>
      <c r="B5" s="41" t="s">
        <v>2665</v>
      </c>
      <c r="C5" s="19" t="s">
        <v>2666</v>
      </c>
      <c r="D5" s="19">
        <v>1</v>
      </c>
      <c r="E5" s="19" t="s">
        <v>4</v>
      </c>
      <c r="F5" s="19" t="s">
        <v>4</v>
      </c>
      <c r="G5" s="19" t="s">
        <v>4</v>
      </c>
      <c r="H5" s="19">
        <v>1</v>
      </c>
      <c r="I5" s="19" t="s">
        <v>2662</v>
      </c>
      <c r="J5" s="20" t="s">
        <v>2662</v>
      </c>
    </row>
    <row r="6" spans="1:10" ht="22.7" customHeight="1" x14ac:dyDescent="0.25">
      <c r="A6" s="18">
        <v>4</v>
      </c>
      <c r="B6" s="41"/>
      <c r="C6" s="19" t="s">
        <v>2667</v>
      </c>
      <c r="D6" s="19" t="s">
        <v>4</v>
      </c>
      <c r="E6" s="19">
        <v>2</v>
      </c>
      <c r="F6" s="19" t="s">
        <v>4</v>
      </c>
      <c r="G6" s="19" t="s">
        <v>4</v>
      </c>
      <c r="H6" s="19">
        <v>2</v>
      </c>
      <c r="I6" s="19" t="s">
        <v>2662</v>
      </c>
      <c r="J6" s="20" t="s">
        <v>2662</v>
      </c>
    </row>
    <row r="7" spans="1:10" ht="22.7" customHeight="1" x14ac:dyDescent="0.25">
      <c r="A7" s="18">
        <v>5</v>
      </c>
      <c r="B7" s="41"/>
      <c r="C7" s="19" t="s">
        <v>2668</v>
      </c>
      <c r="D7" s="19" t="s">
        <v>4</v>
      </c>
      <c r="E7" s="19">
        <v>4</v>
      </c>
      <c r="F7" s="19">
        <v>9</v>
      </c>
      <c r="G7" s="19" t="s">
        <v>4</v>
      </c>
      <c r="H7" s="19">
        <v>13</v>
      </c>
      <c r="I7" s="19" t="s">
        <v>2662</v>
      </c>
      <c r="J7" s="20" t="s">
        <v>2662</v>
      </c>
    </row>
    <row r="8" spans="1:10" ht="22.7" customHeight="1" x14ac:dyDescent="0.25">
      <c r="A8" s="18">
        <v>6</v>
      </c>
      <c r="B8" s="41"/>
      <c r="C8" s="19" t="s">
        <v>2669</v>
      </c>
      <c r="D8" s="19" t="s">
        <v>4</v>
      </c>
      <c r="E8" s="19">
        <v>5</v>
      </c>
      <c r="F8" s="19">
        <v>4</v>
      </c>
      <c r="G8" s="19" t="s">
        <v>4</v>
      </c>
      <c r="H8" s="19">
        <v>9</v>
      </c>
      <c r="I8" s="19" t="s">
        <v>2662</v>
      </c>
      <c r="J8" s="20" t="s">
        <v>2662</v>
      </c>
    </row>
    <row r="9" spans="1:10" ht="22.7" customHeight="1" x14ac:dyDescent="0.25">
      <c r="A9" s="18">
        <v>7</v>
      </c>
      <c r="B9" s="41"/>
      <c r="C9" s="19" t="s">
        <v>2670</v>
      </c>
      <c r="D9" s="19" t="s">
        <v>4</v>
      </c>
      <c r="E9" s="19">
        <v>1</v>
      </c>
      <c r="F9" s="19" t="s">
        <v>4</v>
      </c>
      <c r="G9" s="19" t="s">
        <v>4</v>
      </c>
      <c r="H9" s="19">
        <v>1</v>
      </c>
      <c r="I9" s="19" t="s">
        <v>2662</v>
      </c>
      <c r="J9" s="20" t="s">
        <v>2662</v>
      </c>
    </row>
    <row r="10" spans="1:10" ht="22.7" customHeight="1" x14ac:dyDescent="0.25">
      <c r="A10" s="18">
        <v>8</v>
      </c>
      <c r="B10" s="41"/>
      <c r="C10" s="19" t="s">
        <v>2671</v>
      </c>
      <c r="D10" s="19">
        <v>5</v>
      </c>
      <c r="E10" s="19">
        <v>2</v>
      </c>
      <c r="F10" s="19" t="s">
        <v>4</v>
      </c>
      <c r="G10" s="19" t="s">
        <v>4</v>
      </c>
      <c r="H10" s="19">
        <v>7</v>
      </c>
      <c r="I10" s="19" t="s">
        <v>2662</v>
      </c>
      <c r="J10" s="20" t="s">
        <v>2662</v>
      </c>
    </row>
    <row r="11" spans="1:10" ht="22.7" customHeight="1" x14ac:dyDescent="0.25">
      <c r="A11" s="18">
        <v>9</v>
      </c>
      <c r="B11" s="41"/>
      <c r="C11" s="19" t="s">
        <v>2672</v>
      </c>
      <c r="D11" s="19">
        <v>7</v>
      </c>
      <c r="E11" s="19">
        <v>2</v>
      </c>
      <c r="F11" s="19">
        <v>3</v>
      </c>
      <c r="G11" s="19" t="s">
        <v>4</v>
      </c>
      <c r="H11" s="19">
        <v>12</v>
      </c>
      <c r="I11" s="19" t="s">
        <v>2662</v>
      </c>
      <c r="J11" s="20" t="s">
        <v>2662</v>
      </c>
    </row>
    <row r="12" spans="1:10" ht="22.7" customHeight="1" x14ac:dyDescent="0.25">
      <c r="A12" s="18">
        <v>10</v>
      </c>
      <c r="B12" s="41"/>
      <c r="C12" s="19" t="s">
        <v>2673</v>
      </c>
      <c r="D12" s="19">
        <v>1</v>
      </c>
      <c r="E12" s="19">
        <v>4</v>
      </c>
      <c r="F12" s="19">
        <v>1</v>
      </c>
      <c r="G12" s="19" t="s">
        <v>4</v>
      </c>
      <c r="H12" s="19">
        <v>6</v>
      </c>
      <c r="I12" s="19" t="s">
        <v>2662</v>
      </c>
      <c r="J12" s="20" t="s">
        <v>2662</v>
      </c>
    </row>
    <row r="13" spans="1:10" ht="22.7" customHeight="1" x14ac:dyDescent="0.25">
      <c r="A13" s="18">
        <v>11</v>
      </c>
      <c r="B13" s="41"/>
      <c r="C13" s="19" t="s">
        <v>2674</v>
      </c>
      <c r="D13" s="19">
        <v>3</v>
      </c>
      <c r="E13" s="19">
        <v>3</v>
      </c>
      <c r="F13" s="19" t="s">
        <v>4</v>
      </c>
      <c r="G13" s="19" t="s">
        <v>4</v>
      </c>
      <c r="H13" s="19">
        <v>6</v>
      </c>
      <c r="I13" s="19" t="s">
        <v>2662</v>
      </c>
      <c r="J13" s="20" t="s">
        <v>2675</v>
      </c>
    </row>
    <row r="14" spans="1:10" ht="22.7" customHeight="1" x14ac:dyDescent="0.25">
      <c r="A14" s="18">
        <v>12</v>
      </c>
      <c r="B14" s="41"/>
      <c r="C14" s="19" t="s">
        <v>2676</v>
      </c>
      <c r="D14" s="19">
        <v>3</v>
      </c>
      <c r="E14" s="19">
        <v>1</v>
      </c>
      <c r="F14" s="19">
        <v>2</v>
      </c>
      <c r="G14" s="19" t="s">
        <v>4</v>
      </c>
      <c r="H14" s="19">
        <v>6</v>
      </c>
      <c r="I14" s="19" t="s">
        <v>2662</v>
      </c>
      <c r="J14" s="20" t="s">
        <v>2677</v>
      </c>
    </row>
    <row r="15" spans="1:10" ht="22.7" customHeight="1" x14ac:dyDescent="0.25">
      <c r="A15" s="18">
        <v>13</v>
      </c>
      <c r="B15" s="41"/>
      <c r="C15" s="19" t="s">
        <v>2678</v>
      </c>
      <c r="D15" s="19">
        <v>6</v>
      </c>
      <c r="E15" s="19">
        <v>3</v>
      </c>
      <c r="F15" s="19">
        <v>5</v>
      </c>
      <c r="G15" s="19" t="s">
        <v>4</v>
      </c>
      <c r="H15" s="19">
        <v>14</v>
      </c>
      <c r="I15" s="19" t="s">
        <v>2662</v>
      </c>
      <c r="J15" s="20" t="s">
        <v>2662</v>
      </c>
    </row>
    <row r="16" spans="1:10" ht="22.7" customHeight="1" x14ac:dyDescent="0.25">
      <c r="A16" s="18">
        <v>14</v>
      </c>
      <c r="B16" s="41"/>
      <c r="C16" s="19" t="s">
        <v>2679</v>
      </c>
      <c r="D16" s="19">
        <v>6</v>
      </c>
      <c r="E16" s="19">
        <v>5</v>
      </c>
      <c r="F16" s="19">
        <v>1</v>
      </c>
      <c r="G16" s="19" t="s">
        <v>4</v>
      </c>
      <c r="H16" s="19">
        <v>12</v>
      </c>
      <c r="I16" s="19" t="s">
        <v>2662</v>
      </c>
      <c r="J16" s="20" t="s">
        <v>2662</v>
      </c>
    </row>
    <row r="17" spans="1:10" ht="22.7" customHeight="1" x14ac:dyDescent="0.25">
      <c r="A17" s="18">
        <v>15</v>
      </c>
      <c r="B17" s="41" t="s">
        <v>2680</v>
      </c>
      <c r="C17" s="19" t="s">
        <v>2681</v>
      </c>
      <c r="D17" s="19">
        <v>1</v>
      </c>
      <c r="E17" s="19">
        <v>1</v>
      </c>
      <c r="F17" s="19">
        <v>1</v>
      </c>
      <c r="G17" s="19" t="s">
        <v>4</v>
      </c>
      <c r="H17" s="19">
        <v>3</v>
      </c>
      <c r="I17" s="19" t="s">
        <v>2662</v>
      </c>
      <c r="J17" s="20" t="s">
        <v>2682</v>
      </c>
    </row>
    <row r="18" spans="1:10" ht="22.7" customHeight="1" x14ac:dyDescent="0.25">
      <c r="A18" s="18">
        <v>16</v>
      </c>
      <c r="B18" s="41"/>
      <c r="C18" s="19" t="s">
        <v>2681</v>
      </c>
      <c r="D18" s="19">
        <v>1</v>
      </c>
      <c r="E18" s="19">
        <v>1</v>
      </c>
      <c r="F18" s="19">
        <v>1</v>
      </c>
      <c r="G18" s="19" t="s">
        <v>4</v>
      </c>
      <c r="H18" s="19">
        <v>3</v>
      </c>
      <c r="I18" s="19" t="s">
        <v>2662</v>
      </c>
      <c r="J18" s="20" t="s">
        <v>2662</v>
      </c>
    </row>
    <row r="19" spans="1:10" ht="22.7" customHeight="1" x14ac:dyDescent="0.25">
      <c r="A19" s="18">
        <v>17</v>
      </c>
      <c r="B19" s="41"/>
      <c r="C19" s="19" t="s">
        <v>2683</v>
      </c>
      <c r="D19" s="19" t="s">
        <v>4</v>
      </c>
      <c r="E19" s="19" t="s">
        <v>4</v>
      </c>
      <c r="F19" s="19" t="s">
        <v>4</v>
      </c>
      <c r="G19" s="19">
        <v>1</v>
      </c>
      <c r="H19" s="19">
        <v>1</v>
      </c>
      <c r="I19" s="19" t="s">
        <v>2662</v>
      </c>
      <c r="J19" s="20" t="s">
        <v>2662</v>
      </c>
    </row>
    <row r="20" spans="1:10" ht="22.7" customHeight="1" x14ac:dyDescent="0.25">
      <c r="A20" s="18">
        <v>18</v>
      </c>
      <c r="B20" s="19" t="s">
        <v>2684</v>
      </c>
      <c r="C20" s="19" t="s">
        <v>2685</v>
      </c>
      <c r="D20" s="19">
        <v>1</v>
      </c>
      <c r="E20" s="19" t="s">
        <v>4</v>
      </c>
      <c r="F20" s="19" t="s">
        <v>4</v>
      </c>
      <c r="G20" s="19" t="s">
        <v>4</v>
      </c>
      <c r="H20" s="19">
        <v>1</v>
      </c>
      <c r="I20" s="19" t="s">
        <v>2662</v>
      </c>
      <c r="J20" s="20" t="s">
        <v>2662</v>
      </c>
    </row>
    <row r="21" spans="1:10" ht="22.7" customHeight="1" x14ac:dyDescent="0.25">
      <c r="A21" s="18">
        <v>19</v>
      </c>
      <c r="B21" s="19" t="s">
        <v>2665</v>
      </c>
      <c r="C21" s="19" t="s">
        <v>2686</v>
      </c>
      <c r="D21" s="19" t="s">
        <v>4</v>
      </c>
      <c r="E21" s="19">
        <v>1</v>
      </c>
      <c r="F21" s="19">
        <v>1</v>
      </c>
      <c r="G21" s="19" t="s">
        <v>4</v>
      </c>
      <c r="H21" s="19">
        <v>2</v>
      </c>
      <c r="I21" s="19" t="s">
        <v>2662</v>
      </c>
      <c r="J21" s="20" t="s">
        <v>2662</v>
      </c>
    </row>
    <row r="22" spans="1:10" ht="22.7" customHeight="1" x14ac:dyDescent="0.25">
      <c r="A22" s="18">
        <v>20</v>
      </c>
      <c r="B22" s="41" t="s">
        <v>2680</v>
      </c>
      <c r="C22" s="19" t="s">
        <v>2687</v>
      </c>
      <c r="D22" s="19" t="s">
        <v>4</v>
      </c>
      <c r="E22" s="19" t="s">
        <v>4</v>
      </c>
      <c r="F22" s="19">
        <v>1</v>
      </c>
      <c r="G22" s="19" t="s">
        <v>4</v>
      </c>
      <c r="H22" s="19">
        <v>1</v>
      </c>
      <c r="I22" s="19" t="s">
        <v>2662</v>
      </c>
      <c r="J22" s="20" t="s">
        <v>2662</v>
      </c>
    </row>
    <row r="23" spans="1:10" ht="22.7" customHeight="1" x14ac:dyDescent="0.25">
      <c r="A23" s="18">
        <v>21</v>
      </c>
      <c r="B23" s="41"/>
      <c r="C23" s="19" t="s">
        <v>2688</v>
      </c>
      <c r="D23" s="19">
        <v>2</v>
      </c>
      <c r="E23" s="19">
        <v>1</v>
      </c>
      <c r="F23" s="19">
        <v>1</v>
      </c>
      <c r="G23" s="19" t="s">
        <v>4</v>
      </c>
      <c r="H23" s="19">
        <v>4</v>
      </c>
      <c r="I23" s="19" t="s">
        <v>2662</v>
      </c>
      <c r="J23" s="20" t="s">
        <v>2662</v>
      </c>
    </row>
    <row r="24" spans="1:10" ht="22.7" customHeight="1" x14ac:dyDescent="0.25">
      <c r="A24" s="18" t="s">
        <v>4</v>
      </c>
      <c r="B24" s="19" t="s">
        <v>4</v>
      </c>
      <c r="C24" s="19" t="s">
        <v>2689</v>
      </c>
      <c r="D24" s="19">
        <v>6</v>
      </c>
      <c r="E24" s="19">
        <v>1</v>
      </c>
      <c r="F24" s="19">
        <v>1</v>
      </c>
      <c r="G24" s="19" t="s">
        <v>4</v>
      </c>
      <c r="H24" s="19">
        <v>8</v>
      </c>
      <c r="I24" s="19" t="s">
        <v>2662</v>
      </c>
      <c r="J24" s="20" t="s">
        <v>2662</v>
      </c>
    </row>
    <row r="25" spans="1:10" ht="22.7" customHeight="1" x14ac:dyDescent="0.25">
      <c r="A25" s="18" t="s">
        <v>2690</v>
      </c>
      <c r="B25" s="19" t="s">
        <v>2691</v>
      </c>
      <c r="C25" s="19" t="s">
        <v>2692</v>
      </c>
      <c r="D25" s="19" t="s">
        <v>4</v>
      </c>
      <c r="E25" s="19">
        <v>1</v>
      </c>
      <c r="F25" s="19">
        <v>1</v>
      </c>
      <c r="G25" s="19" t="s">
        <v>4</v>
      </c>
      <c r="H25" s="19">
        <v>2</v>
      </c>
      <c r="I25" s="19" t="s">
        <v>2662</v>
      </c>
      <c r="J25" s="20" t="s">
        <v>2662</v>
      </c>
    </row>
    <row r="26" spans="1:10" ht="22.7" customHeight="1" x14ac:dyDescent="0.25">
      <c r="A26" s="39" t="s">
        <v>2693</v>
      </c>
      <c r="B26" s="19" t="s">
        <v>2694</v>
      </c>
      <c r="C26" s="19" t="s">
        <v>2695</v>
      </c>
      <c r="D26" s="19">
        <v>1</v>
      </c>
      <c r="E26" s="19">
        <v>5</v>
      </c>
      <c r="F26" s="19">
        <v>5</v>
      </c>
      <c r="G26" s="19" t="s">
        <v>4</v>
      </c>
      <c r="H26" s="19">
        <v>11</v>
      </c>
      <c r="I26" s="19" t="s">
        <v>2662</v>
      </c>
      <c r="J26" s="20" t="s">
        <v>2696</v>
      </c>
    </row>
    <row r="27" spans="1:10" ht="31.5" x14ac:dyDescent="0.25">
      <c r="A27" s="39"/>
      <c r="B27" s="19" t="s">
        <v>2662</v>
      </c>
      <c r="C27" s="19" t="s">
        <v>2697</v>
      </c>
      <c r="D27" s="19">
        <v>2.4</v>
      </c>
      <c r="E27" s="19">
        <v>12</v>
      </c>
      <c r="F27" s="19">
        <v>12</v>
      </c>
      <c r="G27" s="19" t="s">
        <v>4</v>
      </c>
      <c r="H27" s="19">
        <v>26.4</v>
      </c>
      <c r="I27" s="19">
        <v>0.5</v>
      </c>
      <c r="J27" s="20" t="s">
        <v>2712</v>
      </c>
    </row>
    <row r="28" spans="1:10" ht="31.5" x14ac:dyDescent="0.25">
      <c r="A28" s="39"/>
      <c r="B28" s="41" t="s">
        <v>2694</v>
      </c>
      <c r="C28" s="19" t="s">
        <v>2698</v>
      </c>
      <c r="D28" s="19">
        <v>2.46</v>
      </c>
      <c r="E28" s="19">
        <v>9.84</v>
      </c>
      <c r="F28" s="19">
        <v>12.3</v>
      </c>
      <c r="G28" s="19" t="s">
        <v>4</v>
      </c>
      <c r="H28" s="19">
        <v>24.6</v>
      </c>
      <c r="I28" s="19">
        <v>1.5</v>
      </c>
      <c r="J28" s="20" t="s">
        <v>2713</v>
      </c>
    </row>
    <row r="29" spans="1:10" ht="31.5" x14ac:dyDescent="0.25">
      <c r="A29" s="39"/>
      <c r="B29" s="41"/>
      <c r="C29" s="19" t="s">
        <v>2699</v>
      </c>
      <c r="D29" s="19" t="s">
        <v>4</v>
      </c>
      <c r="E29" s="19">
        <v>2.46</v>
      </c>
      <c r="F29" s="19" t="s">
        <v>4</v>
      </c>
      <c r="G29" s="19" t="s">
        <v>4</v>
      </c>
      <c r="H29" s="19">
        <v>2.46</v>
      </c>
      <c r="I29" s="19">
        <v>1.5</v>
      </c>
      <c r="J29" s="20" t="s">
        <v>2714</v>
      </c>
    </row>
    <row r="30" spans="1:10" ht="22.7" customHeight="1" x14ac:dyDescent="0.25">
      <c r="A30" s="39" t="s">
        <v>2700</v>
      </c>
      <c r="B30" s="41"/>
      <c r="C30" s="19" t="s">
        <v>2701</v>
      </c>
      <c r="D30" s="19">
        <v>10</v>
      </c>
      <c r="E30" s="19">
        <v>15</v>
      </c>
      <c r="F30" s="19">
        <v>15</v>
      </c>
      <c r="G30" s="19" t="s">
        <v>4</v>
      </c>
      <c r="H30" s="19">
        <v>40</v>
      </c>
      <c r="I30" s="19" t="s">
        <v>2662</v>
      </c>
      <c r="J30" s="20" t="s">
        <v>2702</v>
      </c>
    </row>
    <row r="31" spans="1:10" ht="31.5" x14ac:dyDescent="0.25">
      <c r="A31" s="39"/>
      <c r="B31" s="19" t="s">
        <v>2662</v>
      </c>
      <c r="C31" s="19" t="s">
        <v>2697</v>
      </c>
      <c r="D31" s="19">
        <v>15</v>
      </c>
      <c r="E31" s="19">
        <v>22.5</v>
      </c>
      <c r="F31" s="19">
        <v>22.5</v>
      </c>
      <c r="G31" s="19" t="s">
        <v>4</v>
      </c>
      <c r="H31" s="19">
        <v>60</v>
      </c>
      <c r="I31" s="19">
        <v>0.5</v>
      </c>
      <c r="J31" s="20" t="s">
        <v>2715</v>
      </c>
    </row>
    <row r="32" spans="1:10" ht="31.5" x14ac:dyDescent="0.25">
      <c r="A32" s="39"/>
      <c r="B32" s="19" t="s">
        <v>2694</v>
      </c>
      <c r="C32" s="19" t="s">
        <v>2703</v>
      </c>
      <c r="D32" s="19">
        <v>15.600000000000001</v>
      </c>
      <c r="E32" s="19">
        <v>23.400000000000002</v>
      </c>
      <c r="F32" s="19">
        <v>23.400000000000002</v>
      </c>
      <c r="G32" s="19" t="s">
        <v>4</v>
      </c>
      <c r="H32" s="19">
        <v>62.400000000000006</v>
      </c>
      <c r="I32" s="19">
        <v>1.5</v>
      </c>
      <c r="J32" s="20" t="s">
        <v>2716</v>
      </c>
    </row>
    <row r="33" spans="1:10" ht="22.7" customHeight="1" x14ac:dyDescent="0.25">
      <c r="A33" s="39" t="s">
        <v>2704</v>
      </c>
      <c r="B33" s="19" t="s">
        <v>2705</v>
      </c>
      <c r="C33" s="19" t="s">
        <v>2706</v>
      </c>
      <c r="D33" s="19">
        <v>2</v>
      </c>
      <c r="E33" s="19">
        <v>2</v>
      </c>
      <c r="F33" s="19">
        <v>2</v>
      </c>
      <c r="G33" s="19" t="s">
        <v>4</v>
      </c>
      <c r="H33" s="19">
        <v>6</v>
      </c>
      <c r="I33" s="19" t="s">
        <v>2662</v>
      </c>
      <c r="J33" s="20" t="s">
        <v>2662</v>
      </c>
    </row>
    <row r="34" spans="1:10" ht="31.5" x14ac:dyDescent="0.25">
      <c r="A34" s="39"/>
      <c r="B34" s="19" t="s">
        <v>2662</v>
      </c>
      <c r="C34" s="19" t="s">
        <v>2697</v>
      </c>
      <c r="D34" s="19">
        <v>2.8</v>
      </c>
      <c r="E34" s="19">
        <v>2.8</v>
      </c>
      <c r="F34" s="19">
        <v>2.8</v>
      </c>
      <c r="G34" s="19" t="s">
        <v>4</v>
      </c>
      <c r="H34" s="19">
        <v>8.3999999999999986</v>
      </c>
      <c r="I34" s="19">
        <v>0.5</v>
      </c>
      <c r="J34" s="20" t="s">
        <v>2717</v>
      </c>
    </row>
    <row r="35" spans="1:10" ht="22.7" customHeight="1" x14ac:dyDescent="0.25">
      <c r="A35" s="39" t="s">
        <v>2707</v>
      </c>
      <c r="B35" s="19" t="s">
        <v>2694</v>
      </c>
      <c r="C35" s="19" t="s">
        <v>2708</v>
      </c>
      <c r="D35" s="19">
        <v>2</v>
      </c>
      <c r="E35" s="19">
        <v>2</v>
      </c>
      <c r="F35" s="19">
        <v>2</v>
      </c>
      <c r="G35" s="19" t="s">
        <v>4</v>
      </c>
      <c r="H35" s="19">
        <v>6</v>
      </c>
      <c r="I35" s="19" t="s">
        <v>2662</v>
      </c>
      <c r="J35" s="20" t="s">
        <v>2709</v>
      </c>
    </row>
    <row r="36" spans="1:10" ht="31.5" x14ac:dyDescent="0.25">
      <c r="A36" s="39"/>
      <c r="B36" s="19" t="s">
        <v>2662</v>
      </c>
      <c r="C36" s="19" t="s">
        <v>2697</v>
      </c>
      <c r="D36" s="19">
        <v>4</v>
      </c>
      <c r="E36" s="19">
        <v>4</v>
      </c>
      <c r="F36" s="19">
        <v>4</v>
      </c>
      <c r="G36" s="19" t="s">
        <v>4</v>
      </c>
      <c r="H36" s="19">
        <v>12</v>
      </c>
      <c r="I36" s="19">
        <v>0.5</v>
      </c>
      <c r="J36" s="20" t="s">
        <v>2718</v>
      </c>
    </row>
    <row r="37" spans="1:10" ht="32.25" thickBot="1" x14ac:dyDescent="0.3">
      <c r="A37" s="42"/>
      <c r="B37" s="21" t="s">
        <v>2694</v>
      </c>
      <c r="C37" s="21" t="s">
        <v>2698</v>
      </c>
      <c r="D37" s="21">
        <v>4.12</v>
      </c>
      <c r="E37" s="21">
        <v>4.12</v>
      </c>
      <c r="F37" s="21">
        <v>4.12</v>
      </c>
      <c r="G37" s="21" t="s">
        <v>4</v>
      </c>
      <c r="H37" s="21">
        <v>12.36</v>
      </c>
      <c r="I37" s="21">
        <v>1.5</v>
      </c>
      <c r="J37" s="22" t="s">
        <v>2719</v>
      </c>
    </row>
  </sheetData>
  <mergeCells count="16">
    <mergeCell ref="A30:A32"/>
    <mergeCell ref="A33:A34"/>
    <mergeCell ref="A35:A37"/>
    <mergeCell ref="B3:B4"/>
    <mergeCell ref="B5:B16"/>
    <mergeCell ref="B17:B19"/>
    <mergeCell ref="B22:B23"/>
    <mergeCell ref="B28:B30"/>
    <mergeCell ref="A26:A29"/>
    <mergeCell ref="J1:J2"/>
    <mergeCell ref="A1:A2"/>
    <mergeCell ref="B1:B2"/>
    <mergeCell ref="C1:C2"/>
    <mergeCell ref="D1:G1"/>
    <mergeCell ref="H1:H2"/>
    <mergeCell ref="I1:I2"/>
  </mergeCells>
  <conditionalFormatting sqref="A1:J37">
    <cfRule type="containsText" dxfId="269" priority="1" stopIfTrue="1" operator="containsText" text="С ЛИСТА">
      <formula>NOT(ISERROR(SEARCH("С ЛИСТА",A1)))</formula>
    </cfRule>
    <cfRule type="containsText" dxfId="268" priority="2" stopIfTrue="1" operator="containsText" text="ИЗ ФАЙЛА">
      <formula>NOT(ISERROR(SEARCH("ИЗ ФАЙЛА",A1)))</formula>
    </cfRule>
    <cfRule type="containsText" dxfId="267" priority="3" stopIfTrue="1" operator="containsText" text="!!!">
      <formula>NOT(ISERROR(SEARCH("!!!",A1)))</formula>
    </cfRule>
    <cfRule type="containsText" dxfId="266" priority="4" stopIfTrue="1" operator="containsText" text=" Заполнения проёмов ">
      <formula>NOT(ISERROR(SEARCH(" Заполнения проёмов ",A1)))</formula>
    </cfRule>
    <cfRule type="containsText" dxfId="265" priority="5" stopIfTrue="1" operator="containsText" text=" Сборочные единицы ">
      <formula>NOT(ISERROR(SEARCH(" Сборочные единицы ",A1)))</formula>
    </cfRule>
    <cfRule type="containsText" dxfId="264" priority="6" stopIfTrue="1" operator="containsText" text=" Заполнения проёмов ">
      <formula>NOT(ISERROR(SEARCH(" Заполнения проёмов ",A1)))</formula>
    </cfRule>
    <cfRule type="containsText" dxfId="263" priority="7" stopIfTrue="1" operator="containsText" text=" Сборочные единицы ">
      <formula>NOT(ISERROR(SEARCH(" Сборочные единицы ",A1)))</formula>
    </cfRule>
    <cfRule type="containsText" dxfId="262" priority="8" stopIfTrue="1" operator="containsText" text=" Изделия ">
      <formula>NOT(ISERROR(SEARCH(" Изделия ",A1)))</formula>
    </cfRule>
    <cfRule type="containsText" dxfId="261" priority="9" stopIfTrue="1" operator="containsText" text=" Материалы ">
      <formula>NOT(ISERROR(SEARCH(" Материалы ",A1)))</formula>
    </cfRule>
    <cfRule type="containsText" dxfId="260" priority="10" stopIfTrue="1" operator="containsText" text=" Изделия арматурные ">
      <formula>NOT(ISERROR(SEARCH(" Изделия арматурные ",A1)))</formula>
    </cfRule>
    <cfRule type="containsText" dxfId="259" priority="11" stopIfTrue="1" operator="containsText" text=" Прокат ">
      <formula>NOT(ISERROR(SEARCH(" Прокат ",A1)))</formula>
    </cfRule>
    <cfRule type="containsText" dxfId="258" priority="12" stopIfTrue="1" operator="containsText" text="Элементы на отм.">
      <formula>NOT(ISERROR(SEARCH("Элементы на отм.",A1)))</formula>
    </cfRule>
    <cfRule type="containsText" dxfId="257" priority="13" stopIfTrue="1" operator="containsText" text=", на ">
      <formula>NOT(ISERROR(SEARCH(", на ",A1)))</formula>
    </cfRule>
    <cfRule type="containsText" dxfId="256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R6"/>
  <sheetViews>
    <sheetView tabSelected="1" workbookViewId="0">
      <selection sqref="A1:A5"/>
    </sheetView>
  </sheetViews>
  <sheetFormatPr defaultRowHeight="15" outlineLevelCol="1" x14ac:dyDescent="0.25"/>
  <cols>
    <col min="1" max="1" width="16.28515625" style="9" customWidth="1"/>
    <col min="2" max="8" width="8.140625" style="9" customWidth="1"/>
    <col min="9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8" ht="22.7" customHeight="1" x14ac:dyDescent="0.25">
      <c r="A1" s="56" t="s">
        <v>2767</v>
      </c>
      <c r="B1" s="57" t="s">
        <v>2768</v>
      </c>
      <c r="C1" s="57"/>
      <c r="D1" s="57"/>
      <c r="E1" s="33" t="s">
        <v>2721</v>
      </c>
      <c r="F1" s="56" t="s">
        <v>2769</v>
      </c>
      <c r="G1" s="57"/>
      <c r="H1" s="58" t="s">
        <v>2721</v>
      </c>
    </row>
    <row r="2" spans="1:8" ht="22.7" customHeight="1" x14ac:dyDescent="0.25">
      <c r="A2" s="59"/>
      <c r="B2" s="60" t="s">
        <v>2770</v>
      </c>
      <c r="C2" s="60"/>
      <c r="D2" s="60" t="s">
        <v>2721</v>
      </c>
      <c r="E2" s="65"/>
      <c r="F2" s="69" t="s">
        <v>2730</v>
      </c>
      <c r="G2" s="70" t="s">
        <v>2727</v>
      </c>
      <c r="H2" s="61"/>
    </row>
    <row r="3" spans="1:8" ht="22.7" customHeight="1" x14ac:dyDescent="0.25">
      <c r="A3" s="59"/>
      <c r="B3" s="60" t="s">
        <v>2</v>
      </c>
      <c r="C3" s="60"/>
      <c r="D3" s="60"/>
      <c r="E3" s="65"/>
      <c r="F3" s="69"/>
      <c r="G3" s="70"/>
      <c r="H3" s="61"/>
    </row>
    <row r="4" spans="1:8" ht="22.7" customHeight="1" x14ac:dyDescent="0.25">
      <c r="A4" s="59"/>
      <c r="B4" s="60" t="s">
        <v>2734</v>
      </c>
      <c r="C4" s="60"/>
      <c r="D4" s="60"/>
      <c r="E4" s="65"/>
      <c r="F4" s="69"/>
      <c r="G4" s="70"/>
      <c r="H4" s="61"/>
    </row>
    <row r="5" spans="1:8" ht="22.7" customHeight="1" thickBot="1" x14ac:dyDescent="0.3">
      <c r="A5" s="62"/>
      <c r="B5" s="23" t="s">
        <v>2771</v>
      </c>
      <c r="C5" s="23" t="s">
        <v>2721</v>
      </c>
      <c r="D5" s="28"/>
      <c r="E5" s="66"/>
      <c r="F5" s="69"/>
      <c r="G5" s="70"/>
      <c r="H5" s="61"/>
    </row>
    <row r="6" spans="1:8" ht="22.7" customHeight="1" thickBot="1" x14ac:dyDescent="0.3">
      <c r="A6" s="63" t="s">
        <v>2772</v>
      </c>
      <c r="B6" s="64">
        <v>2497.34</v>
      </c>
      <c r="C6" s="64">
        <v>2497.34</v>
      </c>
      <c r="D6" s="64">
        <v>2497.34</v>
      </c>
      <c r="E6" s="67">
        <v>2497.34</v>
      </c>
      <c r="F6" s="15">
        <v>35.43</v>
      </c>
      <c r="G6" s="16">
        <v>12.29</v>
      </c>
      <c r="H6" s="68">
        <v>47.72</v>
      </c>
    </row>
  </sheetData>
  <mergeCells count="11">
    <mergeCell ref="D2:D5"/>
    <mergeCell ref="F1:G1"/>
    <mergeCell ref="H1:H5"/>
    <mergeCell ref="F2:F5"/>
    <mergeCell ref="G2:G5"/>
    <mergeCell ref="A1:A5"/>
    <mergeCell ref="E1:E5"/>
    <mergeCell ref="B1:D1"/>
    <mergeCell ref="B2:C2"/>
    <mergeCell ref="B3:C3"/>
    <mergeCell ref="B4:C4"/>
  </mergeCells>
  <conditionalFormatting sqref="A1:E5">
    <cfRule type="containsText" dxfId="48" priority="42" stopIfTrue="1" operator="containsText" text="шт.)">
      <formula>NOT(ISERROR(SEARCH("шт.)",A1)))</formula>
    </cfRule>
    <cfRule type="containsText" dxfId="47" priority="41" stopIfTrue="1" operator="containsText" text=", на ">
      <formula>NOT(ISERROR(SEARCH(", на ",A1)))</formula>
    </cfRule>
    <cfRule type="containsText" dxfId="46" priority="40" stopIfTrue="1" operator="containsText" text="Элементы на отм.">
      <formula>NOT(ISERROR(SEARCH("Элементы на отм.",A1)))</formula>
    </cfRule>
    <cfRule type="containsText" dxfId="45" priority="39" stopIfTrue="1" operator="containsText" text=" Прокат ">
      <formula>NOT(ISERROR(SEARCH(" Прокат ",A1)))</formula>
    </cfRule>
    <cfRule type="containsText" dxfId="44" priority="38" stopIfTrue="1" operator="containsText" text=" Изделия арматурные ">
      <formula>NOT(ISERROR(SEARCH(" Изделия арматурные ",A1)))</formula>
    </cfRule>
    <cfRule type="containsText" dxfId="43" priority="37" stopIfTrue="1" operator="containsText" text=" Материалы ">
      <formula>NOT(ISERROR(SEARCH(" Материалы ",A1)))</formula>
    </cfRule>
    <cfRule type="containsText" dxfId="42" priority="36" stopIfTrue="1" operator="containsText" text=" Изделия ">
      <formula>NOT(ISERROR(SEARCH(" Изделия ",A1)))</formula>
    </cfRule>
    <cfRule type="containsText" dxfId="41" priority="35" stopIfTrue="1" operator="containsText" text=" Сборочные единицы ">
      <formula>NOT(ISERROR(SEARCH(" Сборочные единицы ",A1)))</formula>
    </cfRule>
    <cfRule type="containsText" dxfId="40" priority="34" stopIfTrue="1" operator="containsText" text=" Заполнения проёмов ">
      <formula>NOT(ISERROR(SEARCH(" Заполнения проёмов ",A1)))</formula>
    </cfRule>
    <cfRule type="containsText" dxfId="39" priority="33" stopIfTrue="1" operator="containsText" text=" Сборочные единицы ">
      <formula>NOT(ISERROR(SEARCH(" Сборочные единицы ",A1)))</formula>
    </cfRule>
    <cfRule type="containsText" dxfId="38" priority="32" stopIfTrue="1" operator="containsText" text=" Заполнения проёмов ">
      <formula>NOT(ISERROR(SEARCH(" Заполнения проёмов ",A1)))</formula>
    </cfRule>
    <cfRule type="containsText" dxfId="37" priority="31" stopIfTrue="1" operator="containsText" text="!!!">
      <formula>NOT(ISERROR(SEARCH("!!!",A1)))</formula>
    </cfRule>
    <cfRule type="containsText" dxfId="36" priority="30" stopIfTrue="1" operator="containsText" text="ИЗ ФАЙЛА">
      <formula>NOT(ISERROR(SEARCH("ИЗ ФАЙЛА",A1)))</formula>
    </cfRule>
    <cfRule type="containsText" dxfId="35" priority="29" stopIfTrue="1" operator="containsText" text="С ЛИСТА">
      <formula>NOT(ISERROR(SEARCH("С ЛИСТА",A1)))</formula>
    </cfRule>
  </conditionalFormatting>
  <conditionalFormatting sqref="A6:E6">
    <cfRule type="containsText" dxfId="34" priority="28" stopIfTrue="1" operator="containsText" text="шт.)">
      <formula>NOT(ISERROR(SEARCH("шт.)",A6)))</formula>
    </cfRule>
    <cfRule type="containsText" dxfId="33" priority="27" stopIfTrue="1" operator="containsText" text=", на ">
      <formula>NOT(ISERROR(SEARCH(", на ",A6)))</formula>
    </cfRule>
    <cfRule type="containsText" dxfId="32" priority="26" stopIfTrue="1" operator="containsText" text="Элементы на отм.">
      <formula>NOT(ISERROR(SEARCH("Элементы на отм.",A6)))</formula>
    </cfRule>
    <cfRule type="containsText" dxfId="31" priority="25" stopIfTrue="1" operator="containsText" text=" Прокат ">
      <formula>NOT(ISERROR(SEARCH(" Прокат ",A6)))</formula>
    </cfRule>
    <cfRule type="containsText" dxfId="30" priority="24" stopIfTrue="1" operator="containsText" text=" Изделия арматурные ">
      <formula>NOT(ISERROR(SEARCH(" Изделия арматурные ",A6)))</formula>
    </cfRule>
    <cfRule type="containsText" dxfId="29" priority="23" stopIfTrue="1" operator="containsText" text=" Материалы ">
      <formula>NOT(ISERROR(SEARCH(" Материалы ",A6)))</formula>
    </cfRule>
    <cfRule type="containsText" dxfId="28" priority="22" stopIfTrue="1" operator="containsText" text=" Изделия ">
      <formula>NOT(ISERROR(SEARCH(" Изделия ",A6)))</formula>
    </cfRule>
    <cfRule type="containsText" dxfId="27" priority="21" stopIfTrue="1" operator="containsText" text=" Сборочные единицы ">
      <formula>NOT(ISERROR(SEARCH(" Сборочные единицы ",A6)))</formula>
    </cfRule>
    <cfRule type="containsText" dxfId="26" priority="20" stopIfTrue="1" operator="containsText" text=" Заполнения проёмов ">
      <formula>NOT(ISERROR(SEARCH(" Заполнения проёмов ",A6)))</formula>
    </cfRule>
    <cfRule type="containsText" dxfId="25" priority="19" stopIfTrue="1" operator="containsText" text=" Сборочные единицы ">
      <formula>NOT(ISERROR(SEARCH(" Сборочные единицы ",A6)))</formula>
    </cfRule>
    <cfRule type="containsText" dxfId="24" priority="18" stopIfTrue="1" operator="containsText" text=" Заполнения проёмов ">
      <formula>NOT(ISERROR(SEARCH(" Заполнения проёмов ",A6)))</formula>
    </cfRule>
    <cfRule type="containsText" dxfId="23" priority="17" stopIfTrue="1" operator="containsText" text="!!!">
      <formula>NOT(ISERROR(SEARCH("!!!",A6)))</formula>
    </cfRule>
    <cfRule type="containsText" dxfId="22" priority="16" stopIfTrue="1" operator="containsText" text="ИЗ ФАЙЛА">
      <formula>NOT(ISERROR(SEARCH("ИЗ ФАЙЛА",A6)))</formula>
    </cfRule>
    <cfRule type="containsText" dxfId="21" priority="15" stopIfTrue="1" operator="containsText" text="С ЛИСТА">
      <formula>NOT(ISERROR(SEARCH("С ЛИСТА",A6)))</formula>
    </cfRule>
  </conditionalFormatting>
  <conditionalFormatting sqref="F1:H6">
    <cfRule type="containsText" dxfId="20" priority="14" stopIfTrue="1" operator="containsText" text="шт.)">
      <formula>NOT(ISERROR(SEARCH("шт.)",F1)))</formula>
    </cfRule>
    <cfRule type="containsText" dxfId="19" priority="13" stopIfTrue="1" operator="containsText" text=", на ">
      <formula>NOT(ISERROR(SEARCH(", на ",F1)))</formula>
    </cfRule>
    <cfRule type="containsText" dxfId="18" priority="12" stopIfTrue="1" operator="containsText" text="Элементы на отм.">
      <formula>NOT(ISERROR(SEARCH("Элементы на отм.",F1)))</formula>
    </cfRule>
    <cfRule type="containsText" dxfId="17" priority="11" stopIfTrue="1" operator="containsText" text=" Прокат ">
      <formula>NOT(ISERROR(SEARCH(" Прокат ",F1)))</formula>
    </cfRule>
    <cfRule type="containsText" dxfId="16" priority="10" stopIfTrue="1" operator="containsText" text=" Изделия арматурные ">
      <formula>NOT(ISERROR(SEARCH(" Изделия арматурные ",F1)))</formula>
    </cfRule>
    <cfRule type="containsText" dxfId="15" priority="9" stopIfTrue="1" operator="containsText" text=" Материалы ">
      <formula>NOT(ISERROR(SEARCH(" Материалы ",F1)))</formula>
    </cfRule>
    <cfRule type="containsText" dxfId="14" priority="8" stopIfTrue="1" operator="containsText" text=" Изделия ">
      <formula>NOT(ISERROR(SEARCH(" Изделия ",F1)))</formula>
    </cfRule>
    <cfRule type="containsText" dxfId="13" priority="7" stopIfTrue="1" operator="containsText" text=" Сборочные единицы ">
      <formula>NOT(ISERROR(SEARCH(" Сборочные единицы ",F1)))</formula>
    </cfRule>
    <cfRule type="containsText" dxfId="12" priority="6" stopIfTrue="1" operator="containsText" text=" Заполнения проёмов ">
      <formula>NOT(ISERROR(SEARCH(" Заполнения проёмов ",F1)))</formula>
    </cfRule>
    <cfRule type="containsText" dxfId="11" priority="5" stopIfTrue="1" operator="containsText" text=" Сборочные единицы ">
      <formula>NOT(ISERROR(SEARCH(" Сборочные единицы ",F1)))</formula>
    </cfRule>
    <cfRule type="containsText" dxfId="10" priority="4" stopIfTrue="1" operator="containsText" text=" Заполнения проёмов ">
      <formula>NOT(ISERROR(SEARCH(" Заполнения проёмов ",F1)))</formula>
    </cfRule>
    <cfRule type="containsText" dxfId="9" priority="3" stopIfTrue="1" operator="containsText" text="!!!">
      <formula>NOT(ISERROR(SEARCH("!!!",F1)))</formula>
    </cfRule>
    <cfRule type="containsText" dxfId="8" priority="2" stopIfTrue="1" operator="containsText" text="ИЗ ФАЙЛА">
      <formula>NOT(ISERROR(SEARCH("ИЗ ФАЙЛА",F1)))</formula>
    </cfRule>
    <cfRule type="containsText" dxfId="7" priority="1" stopIfTrue="1" operator="containsText" text="С ЛИСТА">
      <formula>NOT(ISERROR(SEARCH("С ЛИСТА",F1)))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2378</v>
      </c>
      <c r="R1" t="s">
        <v>2619</v>
      </c>
      <c r="S1" t="s">
        <v>2378</v>
      </c>
      <c r="T1" t="s">
        <v>2387</v>
      </c>
      <c r="U1" t="s">
        <v>2390</v>
      </c>
      <c r="V1" t="s">
        <v>2491</v>
      </c>
      <c r="W1" t="s">
        <v>2542</v>
      </c>
      <c r="X1" t="s">
        <v>2566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2580</v>
      </c>
      <c r="Q3" t="s">
        <v>2379</v>
      </c>
      <c r="R3" t="s">
        <v>2620</v>
      </c>
      <c r="S3" t="s">
        <v>2379</v>
      </c>
      <c r="T3" t="s">
        <v>2388</v>
      </c>
      <c r="U3" t="s">
        <v>2391</v>
      </c>
      <c r="V3" t="s">
        <v>2492</v>
      </c>
      <c r="W3" t="s">
        <v>2543</v>
      </c>
      <c r="X3" t="s">
        <v>2567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2581</v>
      </c>
      <c r="Q4" t="s">
        <v>2380</v>
      </c>
      <c r="R4" t="s">
        <v>2621</v>
      </c>
      <c r="S4" t="s">
        <v>2380</v>
      </c>
      <c r="T4" t="s">
        <v>2389</v>
      </c>
      <c r="U4" t="s">
        <v>2392</v>
      </c>
      <c r="V4" t="s">
        <v>2493</v>
      </c>
      <c r="W4" t="s">
        <v>2544</v>
      </c>
      <c r="X4" t="s">
        <v>2568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2582</v>
      </c>
      <c r="Q5" t="s">
        <v>2381</v>
      </c>
      <c r="R5" t="s">
        <v>2622</v>
      </c>
      <c r="S5" t="s">
        <v>2381</v>
      </c>
      <c r="U5" t="s">
        <v>2393</v>
      </c>
      <c r="V5" t="s">
        <v>2494</v>
      </c>
      <c r="W5" t="s">
        <v>2545</v>
      </c>
      <c r="X5" t="s">
        <v>2569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2583</v>
      </c>
      <c r="Q6" t="s">
        <v>2382</v>
      </c>
      <c r="R6" t="s">
        <v>2623</v>
      </c>
      <c r="S6" t="s">
        <v>2382</v>
      </c>
      <c r="U6" t="s">
        <v>2394</v>
      </c>
      <c r="V6" t="s">
        <v>2495</v>
      </c>
      <c r="W6" t="s">
        <v>2546</v>
      </c>
      <c r="X6" t="s">
        <v>2570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2584</v>
      </c>
      <c r="Q7" t="s">
        <v>2383</v>
      </c>
      <c r="R7" t="s">
        <v>2624</v>
      </c>
      <c r="S7" t="s">
        <v>2383</v>
      </c>
      <c r="U7" t="s">
        <v>2395</v>
      </c>
      <c r="V7" t="s">
        <v>2496</v>
      </c>
      <c r="W7" t="s">
        <v>2547</v>
      </c>
      <c r="X7" t="s">
        <v>2571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2585</v>
      </c>
      <c r="Q8" t="s">
        <v>2384</v>
      </c>
      <c r="R8" t="s">
        <v>2625</v>
      </c>
      <c r="S8" t="s">
        <v>2384</v>
      </c>
      <c r="U8" t="s">
        <v>2396</v>
      </c>
      <c r="V8" t="s">
        <v>2497</v>
      </c>
      <c r="W8" t="s">
        <v>2548</v>
      </c>
      <c r="X8" t="s">
        <v>2572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2586</v>
      </c>
      <c r="Q9" t="s">
        <v>2385</v>
      </c>
      <c r="R9" t="s">
        <v>2626</v>
      </c>
      <c r="S9" t="s">
        <v>2385</v>
      </c>
      <c r="U9" t="s">
        <v>2397</v>
      </c>
      <c r="V9" t="s">
        <v>2498</v>
      </c>
      <c r="W9" t="s">
        <v>2549</v>
      </c>
      <c r="X9" t="s">
        <v>2573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2587</v>
      </c>
      <c r="Q10" t="s">
        <v>2386</v>
      </c>
      <c r="R10" t="s">
        <v>2627</v>
      </c>
      <c r="S10" t="s">
        <v>2386</v>
      </c>
      <c r="U10" t="s">
        <v>2398</v>
      </c>
      <c r="V10" t="s">
        <v>2499</v>
      </c>
      <c r="W10" t="s">
        <v>2550</v>
      </c>
      <c r="X10" t="s">
        <v>2574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2588</v>
      </c>
      <c r="R11" t="s">
        <v>2628</v>
      </c>
      <c r="U11" t="s">
        <v>2399</v>
      </c>
      <c r="V11" t="s">
        <v>2500</v>
      </c>
      <c r="W11" t="s">
        <v>2551</v>
      </c>
      <c r="X11" t="s">
        <v>2575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2629</v>
      </c>
      <c r="U12" t="s">
        <v>2400</v>
      </c>
      <c r="V12" t="s">
        <v>2501</v>
      </c>
      <c r="W12" t="s">
        <v>2552</v>
      </c>
      <c r="X12" t="s">
        <v>2576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2589</v>
      </c>
      <c r="R13" t="s">
        <v>2630</v>
      </c>
      <c r="U13" t="s">
        <v>2401</v>
      </c>
      <c r="V13" t="s">
        <v>2502</v>
      </c>
      <c r="W13" t="s">
        <v>1745</v>
      </c>
      <c r="X13" t="s">
        <v>2577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2590</v>
      </c>
      <c r="R14" t="s">
        <v>2631</v>
      </c>
      <c r="U14" t="s">
        <v>2402</v>
      </c>
      <c r="V14" t="s">
        <v>2503</v>
      </c>
      <c r="W14" t="s">
        <v>1777</v>
      </c>
      <c r="X14" t="s">
        <v>2578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2591</v>
      </c>
      <c r="R15" t="s">
        <v>2632</v>
      </c>
      <c r="U15" t="s">
        <v>2403</v>
      </c>
      <c r="V15" t="s">
        <v>2504</v>
      </c>
      <c r="W15" t="s">
        <v>1747</v>
      </c>
      <c r="X15" t="s">
        <v>2579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2592</v>
      </c>
      <c r="U16" t="s">
        <v>2404</v>
      </c>
      <c r="V16" t="s">
        <v>2505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2593</v>
      </c>
      <c r="U17" t="s">
        <v>2405</v>
      </c>
      <c r="V17" t="s">
        <v>2506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2406</v>
      </c>
      <c r="V18" t="s">
        <v>2507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2594</v>
      </c>
      <c r="U19" t="s">
        <v>2407</v>
      </c>
      <c r="V19" t="s">
        <v>2508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2595</v>
      </c>
      <c r="U20" t="s">
        <v>2408</v>
      </c>
      <c r="V20" t="s">
        <v>2509</v>
      </c>
      <c r="W20" t="s">
        <v>2553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2596</v>
      </c>
      <c r="U21" t="s">
        <v>2409</v>
      </c>
      <c r="V21" t="s">
        <v>2510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2597</v>
      </c>
      <c r="U22" t="s">
        <v>2410</v>
      </c>
      <c r="V22" t="s">
        <v>2511</v>
      </c>
      <c r="W22" t="s">
        <v>2554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2598</v>
      </c>
      <c r="U23" t="s">
        <v>2411</v>
      </c>
      <c r="V23" t="s">
        <v>2512</v>
      </c>
      <c r="W23" t="s">
        <v>2555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2599</v>
      </c>
      <c r="U24" t="s">
        <v>2412</v>
      </c>
      <c r="V24" t="s">
        <v>2513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2600</v>
      </c>
      <c r="U25" t="s">
        <v>2413</v>
      </c>
      <c r="V25" t="s">
        <v>2514</v>
      </c>
      <c r="W25" t="s">
        <v>2556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2601</v>
      </c>
      <c r="U26" t="s">
        <v>2414</v>
      </c>
      <c r="V26" t="s">
        <v>2515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2602</v>
      </c>
      <c r="U27" t="s">
        <v>2415</v>
      </c>
      <c r="V27" t="s">
        <v>2516</v>
      </c>
      <c r="W27" t="s">
        <v>2557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2603</v>
      </c>
      <c r="U28" t="s">
        <v>2416</v>
      </c>
      <c r="V28" t="s">
        <v>2517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2604</v>
      </c>
      <c r="U29" t="s">
        <v>2417</v>
      </c>
      <c r="V29" t="s">
        <v>2518</v>
      </c>
      <c r="W29" t="s">
        <v>2558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2605</v>
      </c>
      <c r="U30" t="s">
        <v>2418</v>
      </c>
      <c r="V30" t="s">
        <v>2519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2606</v>
      </c>
      <c r="U31" t="s">
        <v>2419</v>
      </c>
      <c r="V31" t="s">
        <v>2520</v>
      </c>
      <c r="W31" t="s">
        <v>2559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2607</v>
      </c>
      <c r="U32" t="s">
        <v>2420</v>
      </c>
      <c r="V32" t="s">
        <v>2521</v>
      </c>
      <c r="W32" t="s">
        <v>2560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2608</v>
      </c>
      <c r="U33" t="s">
        <v>2421</v>
      </c>
      <c r="V33" t="s">
        <v>2522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2609</v>
      </c>
      <c r="U34" t="s">
        <v>2422</v>
      </c>
      <c r="V34" t="s">
        <v>2523</v>
      </c>
      <c r="W34" t="s">
        <v>2561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2610</v>
      </c>
      <c r="U35" t="s">
        <v>2423</v>
      </c>
      <c r="V35" t="s">
        <v>2524</v>
      </c>
      <c r="W35" t="s">
        <v>2562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2611</v>
      </c>
      <c r="U36" t="s">
        <v>2424</v>
      </c>
      <c r="V36" t="s">
        <v>2525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2612</v>
      </c>
      <c r="U37" t="s">
        <v>2425</v>
      </c>
      <c r="V37" t="s">
        <v>2526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2613</v>
      </c>
      <c r="U38" t="s">
        <v>2426</v>
      </c>
      <c r="V38" t="s">
        <v>2527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2614</v>
      </c>
      <c r="U39" t="s">
        <v>2427</v>
      </c>
      <c r="V39" t="s">
        <v>2528</v>
      </c>
      <c r="W39" t="s">
        <v>2563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2615</v>
      </c>
      <c r="U40" t="s">
        <v>2428</v>
      </c>
      <c r="V40" t="s">
        <v>2529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2616</v>
      </c>
      <c r="U41" t="s">
        <v>2429</v>
      </c>
      <c r="V41" t="s">
        <v>2530</v>
      </c>
      <c r="W41" t="s">
        <v>2564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2617</v>
      </c>
      <c r="U42" t="s">
        <v>2430</v>
      </c>
      <c r="V42" t="s">
        <v>2531</v>
      </c>
      <c r="W42" t="s">
        <v>2565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2618</v>
      </c>
      <c r="U43" t="s">
        <v>2431</v>
      </c>
      <c r="V43" t="s">
        <v>2532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2432</v>
      </c>
      <c r="V44" t="s">
        <v>2533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2433</v>
      </c>
      <c r="V45" t="s">
        <v>2534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2434</v>
      </c>
      <c r="V46" t="s">
        <v>2535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2435</v>
      </c>
      <c r="V47" t="s">
        <v>2536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2436</v>
      </c>
      <c r="V48" t="s">
        <v>2537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2437</v>
      </c>
      <c r="V49" t="s">
        <v>2538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2438</v>
      </c>
      <c r="V50" t="s">
        <v>2539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2439</v>
      </c>
      <c r="V51" t="s">
        <v>2540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2440</v>
      </c>
      <c r="V52" t="s">
        <v>2541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2448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2449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2458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2459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2468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2469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2478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2479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2488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2489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|Содержание|</vt:lpstr>
      <vt:lpstr>|Лог|</vt:lpstr>
      <vt:lpstr>Пфм1_спец</vt:lpstr>
      <vt:lpstr>Ведомость заполненийзап</vt:lpstr>
      <vt:lpstr>Ведомость заполнений_зап</vt:lpstr>
      <vt:lpstr>Пфм1_кж</vt:lpstr>
      <vt:lpstr>!System</vt:lpstr>
      <vt:lpstr>'Ведомость заполнений_зап'!Заголовки_для_печати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2019-10-18T09:48:58Z</dcterms:modified>
</cp:coreProperties>
</file>